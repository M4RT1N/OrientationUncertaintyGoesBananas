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charts/chart2.xml" ContentType="application/vnd.openxmlformats-officedocument.drawingml.char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ml.chartshap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345" yWindow="270" windowWidth="13680" windowHeight="8265"/>
  </bookViews>
  <sheets>
    <sheet name="Samplespace" sheetId="3" r:id="rId1"/>
    <sheet name="stereo_Cirklar_streck" sheetId="4" state="hidden" r:id="rId2"/>
  </sheets>
  <functionGroups/>
  <definedNames>
    <definedName name="Az">#REF!</definedName>
    <definedName name="dI">#REF!</definedName>
    <definedName name="xb">#REF!</definedName>
    <definedName name="yb">#REF!</definedName>
    <definedName name="zb">#REF!</definedName>
  </definedNames>
  <calcPr calcId="125725" iterateDelta="0.01"/>
</workbook>
</file>

<file path=xl/calcChain.xml><?xml version="1.0" encoding="utf-8"?>
<calcChain xmlns="http://schemas.openxmlformats.org/spreadsheetml/2006/main">
  <c r="O55" i="4"/>
  <c r="O52"/>
  <c r="O49"/>
  <c r="O46"/>
  <c r="O43"/>
  <c r="O40"/>
  <c r="O37"/>
  <c r="O34"/>
  <c r="O31"/>
  <c r="O28"/>
  <c r="O25"/>
  <c r="O22"/>
  <c r="O19"/>
  <c r="O16"/>
  <c r="O13"/>
  <c r="O10"/>
  <c r="K10"/>
  <c r="K11"/>
  <c r="L11"/>
  <c r="K12"/>
  <c r="L12"/>
  <c r="K13"/>
  <c r="L13"/>
  <c r="K14"/>
  <c r="L14"/>
  <c r="K15"/>
  <c r="L15"/>
  <c r="K16"/>
  <c r="L16"/>
  <c r="K17"/>
  <c r="L17"/>
  <c r="K18"/>
  <c r="L18"/>
  <c r="K19"/>
  <c r="L19"/>
  <c r="K20"/>
  <c r="L20"/>
  <c r="K21"/>
  <c r="L21"/>
  <c r="K22"/>
  <c r="L22"/>
  <c r="K23"/>
  <c r="L23"/>
  <c r="K24"/>
  <c r="L24"/>
  <c r="K25"/>
  <c r="L25"/>
  <c r="K26"/>
  <c r="L26"/>
  <c r="K27"/>
  <c r="L27"/>
  <c r="K28"/>
  <c r="L28"/>
  <c r="K29"/>
  <c r="L29"/>
  <c r="K30"/>
  <c r="L30"/>
  <c r="K31"/>
  <c r="L31"/>
  <c r="K32"/>
  <c r="L32"/>
  <c r="K33"/>
  <c r="L33"/>
  <c r="K34"/>
  <c r="L34"/>
  <c r="K35"/>
  <c r="L35"/>
  <c r="K36"/>
  <c r="L36"/>
  <c r="K37"/>
  <c r="L37"/>
  <c r="K38"/>
  <c r="L38"/>
  <c r="K39"/>
  <c r="L39"/>
  <c r="K40"/>
  <c r="L40"/>
  <c r="K41"/>
  <c r="L41"/>
  <c r="K42"/>
  <c r="L42"/>
  <c r="K43"/>
  <c r="L43"/>
  <c r="K44"/>
  <c r="L44"/>
  <c r="K45"/>
  <c r="L45"/>
  <c r="K46"/>
  <c r="L46"/>
  <c r="K47"/>
  <c r="L47"/>
  <c r="K48"/>
  <c r="L48"/>
  <c r="K49"/>
  <c r="L49"/>
  <c r="K50"/>
  <c r="L50"/>
  <c r="K51"/>
  <c r="L51"/>
  <c r="K52"/>
  <c r="L52"/>
  <c r="K53"/>
  <c r="L53"/>
  <c r="K54"/>
  <c r="L54"/>
  <c r="K55"/>
  <c r="L55"/>
  <c r="K56"/>
  <c r="L56"/>
  <c r="K57"/>
  <c r="L57"/>
  <c r="K58"/>
  <c r="L58"/>
  <c r="K59"/>
  <c r="L59"/>
  <c r="K60"/>
  <c r="L60"/>
  <c r="K61"/>
  <c r="L61"/>
  <c r="K62"/>
  <c r="L62"/>
  <c r="K63"/>
  <c r="L63"/>
  <c r="K64"/>
  <c r="L64"/>
  <c r="K65"/>
  <c r="L65"/>
  <c r="K66"/>
  <c r="L66"/>
  <c r="K67"/>
  <c r="L67"/>
  <c r="K68"/>
  <c r="L68"/>
  <c r="K69"/>
  <c r="L69"/>
  <c r="K70"/>
  <c r="L70"/>
  <c r="K71"/>
  <c r="L71"/>
  <c r="K72"/>
  <c r="L72"/>
  <c r="K73"/>
  <c r="L73"/>
  <c r="K74"/>
  <c r="L74"/>
  <c r="K75"/>
  <c r="L75"/>
  <c r="K76"/>
  <c r="L76"/>
  <c r="K77"/>
  <c r="L77"/>
  <c r="K78"/>
  <c r="L78"/>
  <c r="K79"/>
  <c r="L79"/>
  <c r="K80"/>
  <c r="L80"/>
  <c r="K81"/>
  <c r="L81"/>
  <c r="K82"/>
  <c r="L82"/>
  <c r="K83"/>
  <c r="L83"/>
  <c r="K84"/>
  <c r="L84"/>
  <c r="K85"/>
  <c r="L85"/>
  <c r="K86"/>
  <c r="L86"/>
  <c r="K87"/>
  <c r="L87"/>
  <c r="K88"/>
  <c r="L88"/>
  <c r="K89"/>
  <c r="L89"/>
  <c r="K90"/>
  <c r="L90"/>
  <c r="K91"/>
  <c r="L91"/>
  <c r="K92"/>
  <c r="L92"/>
  <c r="K93"/>
  <c r="L93"/>
  <c r="K94"/>
  <c r="L94"/>
  <c r="K95"/>
  <c r="L95"/>
  <c r="K96"/>
  <c r="L96"/>
  <c r="K97"/>
  <c r="L97"/>
  <c r="K98"/>
  <c r="L98"/>
  <c r="K99"/>
  <c r="L99"/>
  <c r="K100"/>
  <c r="L100"/>
  <c r="K101"/>
  <c r="L101"/>
  <c r="K102"/>
  <c r="L102"/>
  <c r="K103"/>
  <c r="L103"/>
  <c r="K104"/>
  <c r="L104"/>
  <c r="K105"/>
  <c r="L105"/>
  <c r="K106"/>
  <c r="L106"/>
  <c r="K107"/>
  <c r="L107"/>
  <c r="K108"/>
  <c r="L108"/>
  <c r="K109"/>
  <c r="L109"/>
  <c r="K110"/>
  <c r="L110"/>
  <c r="K111"/>
  <c r="L111"/>
  <c r="K112"/>
  <c r="L112"/>
  <c r="K113"/>
  <c r="L113"/>
  <c r="K114"/>
  <c r="L114"/>
  <c r="K115"/>
  <c r="L115"/>
  <c r="K116"/>
  <c r="L116"/>
  <c r="K117"/>
  <c r="L117"/>
  <c r="K118"/>
  <c r="L118"/>
  <c r="K119"/>
  <c r="L119"/>
  <c r="K120"/>
  <c r="L120"/>
  <c r="K121"/>
  <c r="L121"/>
  <c r="K122"/>
  <c r="L122"/>
  <c r="K123"/>
  <c r="L123"/>
  <c r="K124"/>
  <c r="L124"/>
  <c r="K125"/>
  <c r="L125"/>
  <c r="K126"/>
  <c r="L126"/>
  <c r="K127"/>
  <c r="L127"/>
  <c r="K128"/>
  <c r="L128"/>
  <c r="K129"/>
  <c r="L129"/>
  <c r="K130"/>
  <c r="L130"/>
  <c r="K131"/>
  <c r="L131"/>
  <c r="K132"/>
  <c r="L132"/>
  <c r="K133"/>
  <c r="L133"/>
  <c r="K134"/>
  <c r="L134"/>
  <c r="K135"/>
  <c r="L135"/>
  <c r="K136"/>
  <c r="L136"/>
  <c r="K137"/>
  <c r="L137"/>
  <c r="K138"/>
  <c r="L138"/>
  <c r="K139"/>
  <c r="L139"/>
  <c r="K140"/>
  <c r="L140"/>
  <c r="K141"/>
  <c r="L141"/>
  <c r="K142"/>
  <c r="L142"/>
  <c r="K143"/>
  <c r="L143"/>
  <c r="K144"/>
  <c r="L144"/>
  <c r="K145"/>
  <c r="L145"/>
  <c r="K146"/>
  <c r="L146"/>
  <c r="K147"/>
  <c r="L147"/>
  <c r="K148"/>
  <c r="L148"/>
  <c r="K149"/>
  <c r="L149"/>
  <c r="K150"/>
  <c r="L150"/>
  <c r="K151"/>
  <c r="L151"/>
  <c r="K152"/>
  <c r="L152"/>
  <c r="K153"/>
  <c r="L153"/>
  <c r="K154"/>
  <c r="L154"/>
  <c r="K155"/>
  <c r="L155"/>
  <c r="K156"/>
  <c r="L156"/>
  <c r="K157"/>
  <c r="L157"/>
  <c r="K158"/>
  <c r="L158"/>
  <c r="K159"/>
  <c r="L159"/>
  <c r="K160"/>
  <c r="L160"/>
  <c r="K161"/>
  <c r="L161"/>
  <c r="K162"/>
  <c r="L162"/>
  <c r="K163"/>
  <c r="L163"/>
  <c r="K164"/>
  <c r="L164"/>
  <c r="K165"/>
  <c r="L165"/>
  <c r="K166"/>
  <c r="L166"/>
  <c r="K167"/>
  <c r="L167"/>
  <c r="K168"/>
  <c r="L168"/>
  <c r="K169"/>
  <c r="L169"/>
  <c r="K170"/>
  <c r="L170"/>
  <c r="K171"/>
  <c r="L171"/>
  <c r="K172"/>
  <c r="L172"/>
  <c r="K173"/>
  <c r="L173"/>
  <c r="K174"/>
  <c r="L174"/>
  <c r="K175"/>
  <c r="L175"/>
  <c r="K176"/>
  <c r="L176"/>
  <c r="K177"/>
  <c r="L177"/>
  <c r="K178"/>
  <c r="L178"/>
  <c r="K179"/>
  <c r="L179"/>
  <c r="K180"/>
  <c r="L180"/>
  <c r="K181"/>
  <c r="L181"/>
  <c r="K182"/>
  <c r="L182"/>
  <c r="K183"/>
  <c r="L183"/>
  <c r="K184"/>
  <c r="L184"/>
  <c r="K185"/>
  <c r="L185"/>
  <c r="K186"/>
  <c r="L186"/>
  <c r="K187"/>
  <c r="L187"/>
  <c r="K188"/>
  <c r="L188"/>
  <c r="K189"/>
  <c r="L189"/>
  <c r="K190"/>
  <c r="L190"/>
  <c r="L10"/>
  <c r="S7" i="3"/>
  <c r="M2" i="4"/>
  <c r="I3"/>
  <c r="M3" s="1"/>
  <c r="R9" i="3"/>
  <c r="R7"/>
  <c r="S9" l="1"/>
  <c r="O56" i="4"/>
  <c r="P105" s="1"/>
  <c r="P10"/>
  <c r="P13" s="1"/>
  <c r="P104"/>
  <c r="O53"/>
  <c r="P102" s="1"/>
  <c r="O50"/>
  <c r="P99" s="1"/>
  <c r="O47"/>
  <c r="P96" s="1"/>
  <c r="O44"/>
  <c r="P93" s="1"/>
  <c r="O41"/>
  <c r="P90" s="1"/>
  <c r="O38"/>
  <c r="P87" s="1"/>
  <c r="O35"/>
  <c r="P84" s="1"/>
  <c r="O32"/>
  <c r="P81" s="1"/>
  <c r="O29"/>
  <c r="P78" s="1"/>
  <c r="O26"/>
  <c r="P75" s="1"/>
  <c r="O23"/>
  <c r="P72" s="1"/>
  <c r="O20"/>
  <c r="P69" s="1"/>
  <c r="O17"/>
  <c r="P66" s="1"/>
  <c r="O14"/>
  <c r="P63" s="1"/>
  <c r="O11"/>
  <c r="P60" s="1"/>
  <c r="F4"/>
  <c r="E5"/>
  <c r="F5"/>
  <c r="E6"/>
  <c r="F6"/>
  <c r="E7"/>
  <c r="F7"/>
  <c r="E8"/>
  <c r="F8"/>
  <c r="E9"/>
  <c r="F9"/>
  <c r="E10"/>
  <c r="F10"/>
  <c r="E11"/>
  <c r="F11"/>
  <c r="E12"/>
  <c r="F12"/>
  <c r="E13"/>
  <c r="F13"/>
  <c r="E14"/>
  <c r="F14"/>
  <c r="E15"/>
  <c r="F15"/>
  <c r="E16"/>
  <c r="F16"/>
  <c r="E17"/>
  <c r="F17"/>
  <c r="E18"/>
  <c r="F18"/>
  <c r="E19"/>
  <c r="F19"/>
  <c r="E20"/>
  <c r="F20"/>
  <c r="E21"/>
  <c r="F21"/>
  <c r="E22"/>
  <c r="F22"/>
  <c r="E23"/>
  <c r="F23"/>
  <c r="E24"/>
  <c r="F24"/>
  <c r="E25"/>
  <c r="F25"/>
  <c r="E26"/>
  <c r="F26"/>
  <c r="E27"/>
  <c r="F27"/>
  <c r="E28"/>
  <c r="F28"/>
  <c r="E29"/>
  <c r="F29"/>
  <c r="E30"/>
  <c r="F30"/>
  <c r="E31"/>
  <c r="F31"/>
  <c r="E32"/>
  <c r="F32"/>
  <c r="E33"/>
  <c r="F33"/>
  <c r="E34"/>
  <c r="F34"/>
  <c r="E35"/>
  <c r="F35"/>
  <c r="E36"/>
  <c r="F36"/>
  <c r="E37"/>
  <c r="F37"/>
  <c r="E38"/>
  <c r="F38"/>
  <c r="E39"/>
  <c r="F39"/>
  <c r="E40"/>
  <c r="F40"/>
  <c r="E41"/>
  <c r="F41"/>
  <c r="E42"/>
  <c r="F42"/>
  <c r="E43"/>
  <c r="F43"/>
  <c r="E44"/>
  <c r="F44"/>
  <c r="E45"/>
  <c r="F45"/>
  <c r="E46"/>
  <c r="F46"/>
  <c r="E47"/>
  <c r="F47"/>
  <c r="E48"/>
  <c r="F48"/>
  <c r="E49"/>
  <c r="F49"/>
  <c r="E50"/>
  <c r="F50"/>
  <c r="E51"/>
  <c r="F51"/>
  <c r="E52"/>
  <c r="F52"/>
  <c r="E53"/>
  <c r="F53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E64"/>
  <c r="F64"/>
  <c r="E65"/>
  <c r="F65"/>
  <c r="E66"/>
  <c r="F66"/>
  <c r="E67"/>
  <c r="F67"/>
  <c r="E68"/>
  <c r="F68"/>
  <c r="E69"/>
  <c r="F69"/>
  <c r="E70"/>
  <c r="F70"/>
  <c r="E71"/>
  <c r="F71"/>
  <c r="E72"/>
  <c r="F72"/>
  <c r="E73"/>
  <c r="F73"/>
  <c r="E74"/>
  <c r="F74"/>
  <c r="E75"/>
  <c r="F75"/>
  <c r="E76"/>
  <c r="F76"/>
  <c r="E77"/>
  <c r="F77"/>
  <c r="E78"/>
  <c r="F78"/>
  <c r="E79"/>
  <c r="F79"/>
  <c r="E80"/>
  <c r="F80"/>
  <c r="E81"/>
  <c r="F81"/>
  <c r="E82"/>
  <c r="F82"/>
  <c r="E83"/>
  <c r="F83"/>
  <c r="E84"/>
  <c r="F84"/>
  <c r="E85"/>
  <c r="F85"/>
  <c r="E86"/>
  <c r="F86"/>
  <c r="E87"/>
  <c r="F87"/>
  <c r="E88"/>
  <c r="F88"/>
  <c r="E89"/>
  <c r="F89"/>
  <c r="E90"/>
  <c r="F90"/>
  <c r="E91"/>
  <c r="F91"/>
  <c r="E92"/>
  <c r="F92"/>
  <c r="E93"/>
  <c r="F93"/>
  <c r="E94"/>
  <c r="F94"/>
  <c r="E95"/>
  <c r="F95"/>
  <c r="E96"/>
  <c r="F96"/>
  <c r="E97"/>
  <c r="F97"/>
  <c r="E98"/>
  <c r="F98"/>
  <c r="E99"/>
  <c r="F99"/>
  <c r="E100"/>
  <c r="F100"/>
  <c r="E101"/>
  <c r="F101"/>
  <c r="E102"/>
  <c r="F102"/>
  <c r="E103"/>
  <c r="F103"/>
  <c r="E104"/>
  <c r="F104"/>
  <c r="E105"/>
  <c r="F105"/>
  <c r="E106"/>
  <c r="F106"/>
  <c r="E107"/>
  <c r="F107"/>
  <c r="E108"/>
  <c r="F108"/>
  <c r="E109"/>
  <c r="F109"/>
  <c r="E110"/>
  <c r="F110"/>
  <c r="E111"/>
  <c r="F111"/>
  <c r="E112"/>
  <c r="F112"/>
  <c r="E113"/>
  <c r="F113"/>
  <c r="E114"/>
  <c r="F114"/>
  <c r="E115"/>
  <c r="F115"/>
  <c r="E116"/>
  <c r="F116"/>
  <c r="E117"/>
  <c r="F117"/>
  <c r="E118"/>
  <c r="F118"/>
  <c r="E119"/>
  <c r="F119"/>
  <c r="E120"/>
  <c r="F120"/>
  <c r="E121"/>
  <c r="F121"/>
  <c r="E122"/>
  <c r="F122"/>
  <c r="E123"/>
  <c r="F123"/>
  <c r="E124"/>
  <c r="F124"/>
  <c r="E125"/>
  <c r="F125"/>
  <c r="E126"/>
  <c r="F126"/>
  <c r="E127"/>
  <c r="F127"/>
  <c r="E128"/>
  <c r="F128"/>
  <c r="E129"/>
  <c r="F129"/>
  <c r="E130"/>
  <c r="F130"/>
  <c r="E131"/>
  <c r="F131"/>
  <c r="E132"/>
  <c r="F132"/>
  <c r="E133"/>
  <c r="F133"/>
  <c r="E134"/>
  <c r="F134"/>
  <c r="E135"/>
  <c r="F135"/>
  <c r="E136"/>
  <c r="F136"/>
  <c r="E137"/>
  <c r="F137"/>
  <c r="E138"/>
  <c r="F138"/>
  <c r="E139"/>
  <c r="F139"/>
  <c r="E140"/>
  <c r="F140"/>
  <c r="E141"/>
  <c r="F141"/>
  <c r="E142"/>
  <c r="F142"/>
  <c r="E143"/>
  <c r="F143"/>
  <c r="E144"/>
  <c r="F144"/>
  <c r="E145"/>
  <c r="F145"/>
  <c r="E146"/>
  <c r="F146"/>
  <c r="E147"/>
  <c r="F147"/>
  <c r="E148"/>
  <c r="F148"/>
  <c r="E149"/>
  <c r="F149"/>
  <c r="E150"/>
  <c r="F150"/>
  <c r="E151"/>
  <c r="F151"/>
  <c r="E152"/>
  <c r="F152"/>
  <c r="E153"/>
  <c r="F153"/>
  <c r="E154"/>
  <c r="F154"/>
  <c r="E155"/>
  <c r="F155"/>
  <c r="E156"/>
  <c r="F156"/>
  <c r="E157"/>
  <c r="F157"/>
  <c r="E158"/>
  <c r="F158"/>
  <c r="E159"/>
  <c r="F159"/>
  <c r="E160"/>
  <c r="F160"/>
  <c r="E161"/>
  <c r="F161"/>
  <c r="E162"/>
  <c r="F162"/>
  <c r="E163"/>
  <c r="F163"/>
  <c r="E164"/>
  <c r="F164"/>
  <c r="E165"/>
  <c r="F165"/>
  <c r="E166"/>
  <c r="F166"/>
  <c r="E167"/>
  <c r="F167"/>
  <c r="E168"/>
  <c r="F168"/>
  <c r="E169"/>
  <c r="F169"/>
  <c r="E170"/>
  <c r="F170"/>
  <c r="E171"/>
  <c r="F171"/>
  <c r="E172"/>
  <c r="F172"/>
  <c r="E173"/>
  <c r="F173"/>
  <c r="E174"/>
  <c r="F174"/>
  <c r="E175"/>
  <c r="F175"/>
  <c r="E176"/>
  <c r="F176"/>
  <c r="E177"/>
  <c r="F177"/>
  <c r="E178"/>
  <c r="F178"/>
  <c r="E179"/>
  <c r="F179"/>
  <c r="E180"/>
  <c r="F180"/>
  <c r="E181"/>
  <c r="F181"/>
  <c r="E182"/>
  <c r="F182"/>
  <c r="E183"/>
  <c r="F183"/>
  <c r="E184"/>
  <c r="F184"/>
  <c r="E4"/>
  <c r="S4"/>
  <c r="R5"/>
  <c r="S5"/>
  <c r="R4"/>
  <c r="P4"/>
  <c r="O4"/>
  <c r="O5"/>
  <c r="P5"/>
  <c r="P59" l="1"/>
  <c r="O59"/>
  <c r="P95"/>
  <c r="P74"/>
  <c r="P101"/>
  <c r="P77"/>
  <c r="P98"/>
  <c r="P71"/>
  <c r="P16"/>
  <c r="O62"/>
  <c r="P80"/>
  <c r="P11"/>
  <c r="P83"/>
  <c r="P86"/>
  <c r="P89"/>
  <c r="P92"/>
  <c r="P62"/>
  <c r="P65"/>
  <c r="P68"/>
  <c r="P19" l="1"/>
  <c r="O65"/>
  <c r="P14"/>
  <c r="O60"/>
  <c r="P17" l="1"/>
  <c r="O63"/>
  <c r="O68"/>
  <c r="P22"/>
  <c r="P20" l="1"/>
  <c r="O66"/>
  <c r="P25"/>
  <c r="O71"/>
  <c r="P28" l="1"/>
  <c r="O74"/>
  <c r="O69"/>
  <c r="P23"/>
  <c r="P26" l="1"/>
  <c r="O72"/>
  <c r="O77"/>
  <c r="P31"/>
  <c r="O80" l="1"/>
  <c r="P34"/>
  <c r="P29"/>
  <c r="O75"/>
  <c r="P37" l="1"/>
  <c r="O83"/>
  <c r="P35"/>
  <c r="O78"/>
  <c r="P32"/>
  <c r="O81" s="1"/>
  <c r="O84" l="1"/>
  <c r="P38"/>
  <c r="O86"/>
  <c r="P40"/>
  <c r="P43" l="1"/>
  <c r="O89"/>
  <c r="P41"/>
  <c r="O87"/>
  <c r="O90" l="1"/>
  <c r="P44"/>
  <c r="O92"/>
  <c r="P46"/>
  <c r="O95" l="1"/>
  <c r="P49"/>
  <c r="O93"/>
  <c r="P47"/>
  <c r="O96" l="1"/>
  <c r="P50"/>
  <c r="O98"/>
  <c r="P52"/>
  <c r="P55" l="1"/>
  <c r="O104" s="1"/>
  <c r="O101"/>
  <c r="P53"/>
  <c r="O99"/>
  <c r="P56" l="1"/>
  <c r="O105" s="1"/>
  <c r="O102"/>
</calcChain>
</file>

<file path=xl/sharedStrings.xml><?xml version="1.0" encoding="utf-8"?>
<sst xmlns="http://schemas.openxmlformats.org/spreadsheetml/2006/main" count="28" uniqueCount="18">
  <si>
    <t>Alpha</t>
  </si>
  <si>
    <t>Beta</t>
  </si>
  <si>
    <t>W</t>
  </si>
  <si>
    <t>Trend</t>
  </si>
  <si>
    <t>Plunge</t>
  </si>
  <si>
    <t>x</t>
  </si>
  <si>
    <t>y</t>
  </si>
  <si>
    <t>omega</t>
  </si>
  <si>
    <t>här---&gt;</t>
  </si>
  <si>
    <t>Uncertainty</t>
  </si>
  <si>
    <t>Points</t>
  </si>
  <si>
    <t>Constituents</t>
  </si>
  <si>
    <t>Spaces</t>
  </si>
  <si>
    <t>Expected val</t>
  </si>
  <si>
    <t>Bearing</t>
  </si>
  <si>
    <t>Inclination</t>
  </si>
  <si>
    <t>28.1°</t>
  </si>
  <si>
    <t>Stigsson M. and Munier R., 2013. Orientation Uncertainty goes Bananas: An algorithm to visualise the uncertainty sample space on stereonets for oriented objects measured in boreholes. Computers and Geosciences</t>
  </si>
</sst>
</file>

<file path=xl/styles.xml><?xml version="1.0" encoding="utf-8"?>
<styleSheet xmlns="http://schemas.openxmlformats.org/spreadsheetml/2006/main">
  <numFmts count="1">
    <numFmt numFmtId="164" formatCode="0.0"/>
  </numFmts>
  <fonts count="5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Symbol"/>
      <family val="1"/>
      <charset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7">
    <xf numFmtId="0" fontId="0" fillId="0" borderId="0" xfId="0"/>
    <xf numFmtId="0" fontId="0" fillId="3" borderId="0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0" fontId="0" fillId="3" borderId="0" xfId="0" applyFill="1"/>
    <xf numFmtId="0" fontId="3" fillId="2" borderId="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right"/>
    </xf>
    <xf numFmtId="0" fontId="3" fillId="2" borderId="5" xfId="0" applyFont="1" applyFill="1" applyBorder="1"/>
    <xf numFmtId="0" fontId="4" fillId="3" borderId="0" xfId="0" applyFont="1" applyFill="1" applyBorder="1"/>
    <xf numFmtId="164" fontId="0" fillId="2" borderId="1" xfId="0" applyNumberFormat="1" applyFill="1" applyBorder="1"/>
    <xf numFmtId="0" fontId="0" fillId="4" borderId="2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9" xfId="0" applyFill="1" applyBorder="1"/>
    <xf numFmtId="0" fontId="1" fillId="3" borderId="0" xfId="0" applyFont="1" applyFill="1" applyBorder="1"/>
    <xf numFmtId="0" fontId="0" fillId="0" borderId="1" xfId="0" applyFill="1" applyBorder="1"/>
    <xf numFmtId="0" fontId="0" fillId="4" borderId="0" xfId="0" applyFill="1" applyBorder="1"/>
    <xf numFmtId="11" fontId="0" fillId="4" borderId="0" xfId="0" applyNumberFormat="1" applyFill="1" applyBorder="1"/>
    <xf numFmtId="0" fontId="0" fillId="5" borderId="0" xfId="0" applyFill="1"/>
    <xf numFmtId="0" fontId="0" fillId="5" borderId="0" xfId="0" applyFill="1" applyBorder="1"/>
    <xf numFmtId="11" fontId="0" fillId="5" borderId="0" xfId="0" applyNumberFormat="1" applyFill="1" applyBorder="1"/>
    <xf numFmtId="0" fontId="3" fillId="4" borderId="0" xfId="0" applyFont="1" applyFill="1" applyBorder="1" applyAlignment="1">
      <alignment horizontal="right"/>
    </xf>
    <xf numFmtId="0" fontId="3" fillId="4" borderId="0" xfId="0" applyFont="1" applyFill="1" applyBorder="1" applyAlignment="1">
      <alignment horizontal="right" vertical="top"/>
    </xf>
    <xf numFmtId="0" fontId="1" fillId="4" borderId="0" xfId="0" applyFont="1" applyFill="1" applyBorder="1" applyAlignment="1">
      <alignment horizontal="right"/>
    </xf>
    <xf numFmtId="2" fontId="1" fillId="4" borderId="0" xfId="0" applyNumberFormat="1" applyFont="1" applyFill="1" applyBorder="1" applyAlignment="1">
      <alignment horizontal="right"/>
    </xf>
    <xf numFmtId="0" fontId="0" fillId="4" borderId="0" xfId="0" applyFill="1" applyBorder="1" applyAlignment="1">
      <alignment horizontal="right"/>
    </xf>
    <xf numFmtId="164" fontId="1" fillId="4" borderId="0" xfId="0" applyNumberFormat="1" applyFont="1" applyFill="1" applyBorder="1" applyAlignment="1">
      <alignment horizontal="right"/>
    </xf>
    <xf numFmtId="0" fontId="3" fillId="4" borderId="5" xfId="0" applyFont="1" applyFill="1" applyBorder="1" applyAlignment="1">
      <alignment horizontal="right"/>
    </xf>
    <xf numFmtId="0" fontId="0" fillId="4" borderId="6" xfId="0" applyFill="1" applyBorder="1" applyAlignment="1"/>
    <xf numFmtId="0" fontId="3" fillId="4" borderId="5" xfId="0" applyFont="1" applyFill="1" applyBorder="1" applyAlignment="1">
      <alignment horizontal="right" vertical="top"/>
    </xf>
    <xf numFmtId="0" fontId="0" fillId="4" borderId="8" xfId="0" applyFill="1" applyBorder="1"/>
    <xf numFmtId="11" fontId="0" fillId="4" borderId="8" xfId="0" applyNumberFormat="1" applyFill="1" applyBorder="1"/>
    <xf numFmtId="0" fontId="0" fillId="4" borderId="3" xfId="0" applyFill="1" applyBorder="1"/>
    <xf numFmtId="0" fontId="3" fillId="5" borderId="0" xfId="0" applyFont="1" applyFill="1" applyBorder="1" applyAlignment="1">
      <alignment horizontal="center"/>
    </xf>
    <xf numFmtId="0" fontId="3" fillId="5" borderId="0" xfId="0" applyFont="1" applyFill="1" applyBorder="1"/>
    <xf numFmtId="0" fontId="1" fillId="5" borderId="0" xfId="0" applyFont="1" applyFill="1" applyBorder="1"/>
    <xf numFmtId="0" fontId="0" fillId="0" borderId="0" xfId="0" applyFill="1" applyBorder="1"/>
    <xf numFmtId="0" fontId="1" fillId="3" borderId="0" xfId="0" applyFont="1" applyFill="1" applyBorder="1" applyAlignment="1">
      <alignment horizontal="left" wrapText="1"/>
    </xf>
  </cellXfs>
  <cellStyles count="2">
    <cellStyle name="Format 1" xfId="1"/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7CFF54"/>
      <rgbColor rgb="00F5A2A7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0FF7F"/>
      <rgbColor rgb="00FFAC63"/>
      <rgbColor rgb="00FFDEAD"/>
      <rgbColor rgb="00FFC000"/>
      <rgbColor rgb="009853A1"/>
      <rgbColor rgb="00CC99FF"/>
      <rgbColor rgb="0000BFFF"/>
      <rgbColor rgb="003366FF"/>
      <rgbColor rgb="0033CCCC"/>
      <rgbColor rgb="0099CCFF"/>
      <rgbColor rgb="00FAC6C0"/>
      <rgbColor rgb="000000FF"/>
      <rgbColor rgb="00FF6600"/>
      <rgbColor rgb="00666699"/>
      <rgbColor rgb="00969696"/>
      <rgbColor rgb="00003366"/>
      <rgbColor rgb="00FFCC99"/>
      <rgbColor rgb="00003300"/>
      <rgbColor rgb="00333300"/>
      <rgbColor rgb="00993300"/>
      <rgbColor rgb="00993366"/>
      <rgbColor rgb="00333399"/>
      <rgbColor rgb="00333333"/>
    </indexedColors>
    <mruColors>
      <color rgb="FF2C5DEC"/>
      <color rgb="FFDEB400"/>
      <color rgb="FF0000FF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sv-SE"/>
  <c:chart>
    <c:plotArea>
      <c:layout>
        <c:manualLayout>
          <c:layoutTarget val="inner"/>
          <c:xMode val="edge"/>
          <c:yMode val="edge"/>
          <c:x val="4.5673024735021592E-2"/>
          <c:y val="5.0480681841134023E-2"/>
          <c:w val="0.90865384615385736"/>
          <c:h val="0.90865384615385736"/>
        </c:manualLayout>
      </c:layout>
      <c:scatterChart>
        <c:scatterStyle val="smoothMarker"/>
        <c:ser>
          <c:idx val="0"/>
          <c:order val="0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stereo_Cirklar_streck!$B$4:$B$184</c:f>
              <c:numCache>
                <c:formatCode>General</c:formatCode>
                <c:ptCount val="181"/>
                <c:pt idx="0">
                  <c:v>1</c:v>
                </c:pt>
                <c:pt idx="1">
                  <c:v>0.99939082701909576</c:v>
                </c:pt>
                <c:pt idx="2">
                  <c:v>0.9975640502598242</c:v>
                </c:pt>
                <c:pt idx="3">
                  <c:v>0.99452189536827329</c:v>
                </c:pt>
                <c:pt idx="4">
                  <c:v>0.99026806874157036</c:v>
                </c:pt>
                <c:pt idx="5">
                  <c:v>0.98480775301220802</c:v>
                </c:pt>
                <c:pt idx="6">
                  <c:v>0.97814760073380569</c:v>
                </c:pt>
                <c:pt idx="7">
                  <c:v>0.97029572627599647</c:v>
                </c:pt>
                <c:pt idx="8">
                  <c:v>0.96126169593831889</c:v>
                </c:pt>
                <c:pt idx="9">
                  <c:v>0.95105651629515353</c:v>
                </c:pt>
                <c:pt idx="10">
                  <c:v>0.93969262078590843</c:v>
                </c:pt>
                <c:pt idx="11">
                  <c:v>0.92718385456678742</c:v>
                </c:pt>
                <c:pt idx="12">
                  <c:v>0.91354545764260087</c:v>
                </c:pt>
                <c:pt idx="13">
                  <c:v>0.89879404629916704</c:v>
                </c:pt>
                <c:pt idx="14">
                  <c:v>0.88294759285892699</c:v>
                </c:pt>
                <c:pt idx="15">
                  <c:v>0.86602540378443871</c:v>
                </c:pt>
                <c:pt idx="16">
                  <c:v>0.84804809615642596</c:v>
                </c:pt>
                <c:pt idx="17">
                  <c:v>0.82903757255504162</c:v>
                </c:pt>
                <c:pt idx="18">
                  <c:v>0.80901699437494745</c:v>
                </c:pt>
                <c:pt idx="19">
                  <c:v>0.78801075360672201</c:v>
                </c:pt>
                <c:pt idx="20">
                  <c:v>0.76604444311897801</c:v>
                </c:pt>
                <c:pt idx="21">
                  <c:v>0.74314482547739424</c:v>
                </c:pt>
                <c:pt idx="22">
                  <c:v>0.71933980033865119</c:v>
                </c:pt>
                <c:pt idx="23">
                  <c:v>0.69465837045899737</c:v>
                </c:pt>
                <c:pt idx="24">
                  <c:v>0.66913060635885824</c:v>
                </c:pt>
                <c:pt idx="25">
                  <c:v>0.64278760968653936</c:v>
                </c:pt>
                <c:pt idx="26">
                  <c:v>0.61566147532565829</c:v>
                </c:pt>
                <c:pt idx="27">
                  <c:v>0.58778525229247314</c:v>
                </c:pt>
                <c:pt idx="28">
                  <c:v>0.55919290347074679</c:v>
                </c:pt>
                <c:pt idx="29">
                  <c:v>0.5299192642332049</c:v>
                </c:pt>
                <c:pt idx="30">
                  <c:v>0.5</c:v>
                </c:pt>
                <c:pt idx="31">
                  <c:v>0.46947156278589086</c:v>
                </c:pt>
                <c:pt idx="32">
                  <c:v>0.43837114678907746</c:v>
                </c:pt>
                <c:pt idx="33">
                  <c:v>0.40673664307580021</c:v>
                </c:pt>
                <c:pt idx="34">
                  <c:v>0.37460659341591196</c:v>
                </c:pt>
                <c:pt idx="35">
                  <c:v>0.34202014332566882</c:v>
                </c:pt>
                <c:pt idx="36">
                  <c:v>0.30901699437494745</c:v>
                </c:pt>
                <c:pt idx="37">
                  <c:v>0.27563735581699916</c:v>
                </c:pt>
                <c:pt idx="38">
                  <c:v>0.2419218955996679</c:v>
                </c:pt>
                <c:pt idx="39">
                  <c:v>0.20791169081775945</c:v>
                </c:pt>
                <c:pt idx="40">
                  <c:v>0.17364817766693041</c:v>
                </c:pt>
                <c:pt idx="41">
                  <c:v>0.13917310096006569</c:v>
                </c:pt>
                <c:pt idx="42">
                  <c:v>0.10452846326765346</c:v>
                </c:pt>
                <c:pt idx="43">
                  <c:v>6.9756473744125455E-2</c:v>
                </c:pt>
                <c:pt idx="44">
                  <c:v>3.489949670250108E-2</c:v>
                </c:pt>
                <c:pt idx="45">
                  <c:v>6.1257422745431001E-17</c:v>
                </c:pt>
                <c:pt idx="46">
                  <c:v>-3.4899496702500733E-2</c:v>
                </c:pt>
                <c:pt idx="47">
                  <c:v>-6.975647374412533E-2</c:v>
                </c:pt>
                <c:pt idx="48">
                  <c:v>-0.10452846326765333</c:v>
                </c:pt>
                <c:pt idx="49">
                  <c:v>-0.13917310096006535</c:v>
                </c:pt>
                <c:pt idx="50">
                  <c:v>-0.1736481776669303</c:v>
                </c:pt>
                <c:pt idx="51">
                  <c:v>-0.20791169081775912</c:v>
                </c:pt>
                <c:pt idx="52">
                  <c:v>-0.24192189559966779</c:v>
                </c:pt>
                <c:pt idx="53">
                  <c:v>-0.27563735581699905</c:v>
                </c:pt>
                <c:pt idx="54">
                  <c:v>-0.30901699437494734</c:v>
                </c:pt>
                <c:pt idx="55">
                  <c:v>-0.34202014332566871</c:v>
                </c:pt>
                <c:pt idx="56">
                  <c:v>-0.37460659341591207</c:v>
                </c:pt>
                <c:pt idx="57">
                  <c:v>-0.40673664307580004</c:v>
                </c:pt>
                <c:pt idx="58">
                  <c:v>-0.43837114678907751</c:v>
                </c:pt>
                <c:pt idx="59">
                  <c:v>-0.46947156278589053</c:v>
                </c:pt>
                <c:pt idx="60">
                  <c:v>-0.5</c:v>
                </c:pt>
                <c:pt idx="61">
                  <c:v>-0.52991926423320479</c:v>
                </c:pt>
                <c:pt idx="62">
                  <c:v>-0.55919290347074668</c:v>
                </c:pt>
                <c:pt idx="63">
                  <c:v>-0.58778525229247303</c:v>
                </c:pt>
                <c:pt idx="64">
                  <c:v>-0.61566147532565829</c:v>
                </c:pt>
                <c:pt idx="65">
                  <c:v>-0.64278760968653936</c:v>
                </c:pt>
                <c:pt idx="66">
                  <c:v>-0.66913060635885824</c:v>
                </c:pt>
                <c:pt idx="67">
                  <c:v>-0.69465837045899703</c:v>
                </c:pt>
                <c:pt idx="68">
                  <c:v>-0.71933980033865119</c:v>
                </c:pt>
                <c:pt idx="69">
                  <c:v>-0.74314482547739402</c:v>
                </c:pt>
                <c:pt idx="70">
                  <c:v>-0.7660444431189779</c:v>
                </c:pt>
                <c:pt idx="71">
                  <c:v>-0.7880107536067219</c:v>
                </c:pt>
                <c:pt idx="72">
                  <c:v>-0.80901699437494734</c:v>
                </c:pt>
                <c:pt idx="73">
                  <c:v>-0.82903757255504162</c:v>
                </c:pt>
                <c:pt idx="74">
                  <c:v>-0.84804809615642596</c:v>
                </c:pt>
                <c:pt idx="75">
                  <c:v>-0.86602540378443871</c:v>
                </c:pt>
                <c:pt idx="76">
                  <c:v>-0.88294759285892677</c:v>
                </c:pt>
                <c:pt idx="77">
                  <c:v>-0.89879404629916704</c:v>
                </c:pt>
                <c:pt idx="78">
                  <c:v>-0.91354545764260076</c:v>
                </c:pt>
                <c:pt idx="79">
                  <c:v>-0.92718385456678731</c:v>
                </c:pt>
                <c:pt idx="80">
                  <c:v>-0.93969262078590832</c:v>
                </c:pt>
                <c:pt idx="81">
                  <c:v>-0.95105651629515353</c:v>
                </c:pt>
                <c:pt idx="82">
                  <c:v>-0.96126169593831867</c:v>
                </c:pt>
                <c:pt idx="83">
                  <c:v>-0.97029572627599647</c:v>
                </c:pt>
                <c:pt idx="84">
                  <c:v>-0.97814760073380569</c:v>
                </c:pt>
                <c:pt idx="85">
                  <c:v>-0.98480775301220802</c:v>
                </c:pt>
                <c:pt idx="86">
                  <c:v>-0.99026806874157025</c:v>
                </c:pt>
                <c:pt idx="87">
                  <c:v>-0.99452189536827329</c:v>
                </c:pt>
                <c:pt idx="88">
                  <c:v>-0.9975640502598242</c:v>
                </c:pt>
                <c:pt idx="89">
                  <c:v>-0.99939082701909576</c:v>
                </c:pt>
                <c:pt idx="90">
                  <c:v>-1</c:v>
                </c:pt>
                <c:pt idx="91">
                  <c:v>-0.99939082701909576</c:v>
                </c:pt>
                <c:pt idx="92">
                  <c:v>-0.99756405025982431</c:v>
                </c:pt>
                <c:pt idx="93">
                  <c:v>-0.9945218953682734</c:v>
                </c:pt>
                <c:pt idx="94">
                  <c:v>-0.99026806874157025</c:v>
                </c:pt>
                <c:pt idx="95">
                  <c:v>-0.98480775301220802</c:v>
                </c:pt>
                <c:pt idx="96">
                  <c:v>-0.97814760073380569</c:v>
                </c:pt>
                <c:pt idx="97">
                  <c:v>-0.97029572627599647</c:v>
                </c:pt>
                <c:pt idx="98">
                  <c:v>-0.96126169593831889</c:v>
                </c:pt>
                <c:pt idx="99">
                  <c:v>-0.95105651629515353</c:v>
                </c:pt>
                <c:pt idx="100">
                  <c:v>-0.93969262078590843</c:v>
                </c:pt>
                <c:pt idx="101">
                  <c:v>-0.92718385456678742</c:v>
                </c:pt>
                <c:pt idx="102">
                  <c:v>-0.91354545764260109</c:v>
                </c:pt>
                <c:pt idx="103">
                  <c:v>-0.89879404629916715</c:v>
                </c:pt>
                <c:pt idx="104">
                  <c:v>-0.88294759285892688</c:v>
                </c:pt>
                <c:pt idx="105">
                  <c:v>-0.8660254037844386</c:v>
                </c:pt>
                <c:pt idx="106">
                  <c:v>-0.84804809615642607</c:v>
                </c:pt>
                <c:pt idx="107">
                  <c:v>-0.82903757255504185</c:v>
                </c:pt>
                <c:pt idx="108">
                  <c:v>-0.80901699437494756</c:v>
                </c:pt>
                <c:pt idx="109">
                  <c:v>-0.78801075360672224</c:v>
                </c:pt>
                <c:pt idx="110">
                  <c:v>-0.76604444311897801</c:v>
                </c:pt>
                <c:pt idx="111">
                  <c:v>-0.74314482547739424</c:v>
                </c:pt>
                <c:pt idx="112">
                  <c:v>-0.71933980033865108</c:v>
                </c:pt>
                <c:pt idx="113">
                  <c:v>-0.69465837045899759</c:v>
                </c:pt>
                <c:pt idx="114">
                  <c:v>-0.66913060635885846</c:v>
                </c:pt>
                <c:pt idx="115">
                  <c:v>-0.64278760968653947</c:v>
                </c:pt>
                <c:pt idx="116">
                  <c:v>-0.61566147532565807</c:v>
                </c:pt>
                <c:pt idx="117">
                  <c:v>-0.58778525229247325</c:v>
                </c:pt>
                <c:pt idx="118">
                  <c:v>-0.55919290347074724</c:v>
                </c:pt>
                <c:pt idx="119">
                  <c:v>-0.52991926423320501</c:v>
                </c:pt>
                <c:pt idx="120">
                  <c:v>-0.5</c:v>
                </c:pt>
                <c:pt idx="121">
                  <c:v>-0.46947156278589075</c:v>
                </c:pt>
                <c:pt idx="122">
                  <c:v>-0.43837114678907774</c:v>
                </c:pt>
                <c:pt idx="123">
                  <c:v>-0.4067366430758001</c:v>
                </c:pt>
                <c:pt idx="124">
                  <c:v>-0.37460659341591229</c:v>
                </c:pt>
                <c:pt idx="125">
                  <c:v>-0.34202014332566938</c:v>
                </c:pt>
                <c:pt idx="126">
                  <c:v>-0.30901699437494756</c:v>
                </c:pt>
                <c:pt idx="127">
                  <c:v>-0.27563735581699889</c:v>
                </c:pt>
                <c:pt idx="128">
                  <c:v>-0.24192189559966779</c:v>
                </c:pt>
                <c:pt idx="129">
                  <c:v>-0.20791169081775979</c:v>
                </c:pt>
                <c:pt idx="130">
                  <c:v>-0.17364817766693033</c:v>
                </c:pt>
                <c:pt idx="131">
                  <c:v>-0.13917310096006494</c:v>
                </c:pt>
                <c:pt idx="132">
                  <c:v>-0.10452846326765336</c:v>
                </c:pt>
                <c:pt idx="133">
                  <c:v>-6.975647374412558E-2</c:v>
                </c:pt>
                <c:pt idx="134">
                  <c:v>-3.4899496702501649E-2</c:v>
                </c:pt>
                <c:pt idx="135">
                  <c:v>-1.83772268236293E-16</c:v>
                </c:pt>
                <c:pt idx="136">
                  <c:v>3.4899496702501281E-2</c:v>
                </c:pt>
                <c:pt idx="137">
                  <c:v>6.9756473744125219E-2</c:v>
                </c:pt>
                <c:pt idx="138">
                  <c:v>0.10452846326765299</c:v>
                </c:pt>
                <c:pt idx="139">
                  <c:v>0.13917310096006547</c:v>
                </c:pt>
                <c:pt idx="140">
                  <c:v>0.17364817766692997</c:v>
                </c:pt>
                <c:pt idx="141">
                  <c:v>0.20791169081775857</c:v>
                </c:pt>
                <c:pt idx="142">
                  <c:v>0.24192189559966745</c:v>
                </c:pt>
                <c:pt idx="143">
                  <c:v>0.27563735581699939</c:v>
                </c:pt>
                <c:pt idx="144">
                  <c:v>0.30901699437494723</c:v>
                </c:pt>
                <c:pt idx="145">
                  <c:v>0.34202014332566816</c:v>
                </c:pt>
                <c:pt idx="146">
                  <c:v>0.37460659341591196</c:v>
                </c:pt>
                <c:pt idx="147">
                  <c:v>0.40673664307580054</c:v>
                </c:pt>
                <c:pt idx="148">
                  <c:v>0.4383711467890774</c:v>
                </c:pt>
                <c:pt idx="149">
                  <c:v>0.46947156278589042</c:v>
                </c:pt>
                <c:pt idx="150">
                  <c:v>0.5</c:v>
                </c:pt>
                <c:pt idx="151">
                  <c:v>0.52991926423320468</c:v>
                </c:pt>
                <c:pt idx="152">
                  <c:v>0.55919290347074624</c:v>
                </c:pt>
                <c:pt idx="153">
                  <c:v>0.58778525229247292</c:v>
                </c:pt>
                <c:pt idx="154">
                  <c:v>0.61566147532565851</c:v>
                </c:pt>
                <c:pt idx="155">
                  <c:v>0.64278760968653925</c:v>
                </c:pt>
                <c:pt idx="156">
                  <c:v>0.66913060635885779</c:v>
                </c:pt>
                <c:pt idx="157">
                  <c:v>0.69465837045899659</c:v>
                </c:pt>
                <c:pt idx="158">
                  <c:v>0.71933980033865086</c:v>
                </c:pt>
                <c:pt idx="159">
                  <c:v>0.74314482547739424</c:v>
                </c:pt>
                <c:pt idx="160">
                  <c:v>0.76604444311897779</c:v>
                </c:pt>
                <c:pt idx="161">
                  <c:v>0.78801075360672157</c:v>
                </c:pt>
                <c:pt idx="162">
                  <c:v>0.80901699437494734</c:v>
                </c:pt>
                <c:pt idx="163">
                  <c:v>0.8290375725550414</c:v>
                </c:pt>
                <c:pt idx="164">
                  <c:v>0.8480480961564254</c:v>
                </c:pt>
                <c:pt idx="165">
                  <c:v>0.86602540378443837</c:v>
                </c:pt>
                <c:pt idx="166">
                  <c:v>0.88294759285892688</c:v>
                </c:pt>
                <c:pt idx="167">
                  <c:v>0.89879404629916715</c:v>
                </c:pt>
                <c:pt idx="168">
                  <c:v>0.91354545764260098</c:v>
                </c:pt>
                <c:pt idx="169">
                  <c:v>0.92718385456678731</c:v>
                </c:pt>
                <c:pt idx="170">
                  <c:v>0.93969262078590843</c:v>
                </c:pt>
                <c:pt idx="171">
                  <c:v>0.95105651629515353</c:v>
                </c:pt>
                <c:pt idx="172">
                  <c:v>0.96126169593831867</c:v>
                </c:pt>
                <c:pt idx="173">
                  <c:v>0.97029572627599647</c:v>
                </c:pt>
                <c:pt idx="174">
                  <c:v>0.97814760073380558</c:v>
                </c:pt>
                <c:pt idx="175">
                  <c:v>0.98480775301220791</c:v>
                </c:pt>
                <c:pt idx="176">
                  <c:v>0.99026806874157025</c:v>
                </c:pt>
                <c:pt idx="177">
                  <c:v>0.99452189536827329</c:v>
                </c:pt>
                <c:pt idx="178">
                  <c:v>0.99756405025982431</c:v>
                </c:pt>
                <c:pt idx="179">
                  <c:v>0.99939082701909576</c:v>
                </c:pt>
                <c:pt idx="180">
                  <c:v>1</c:v>
                </c:pt>
              </c:numCache>
            </c:numRef>
          </c:xVal>
          <c:yVal>
            <c:numRef>
              <c:f>stereo_Cirklar_streck!$C$4:$C$184</c:f>
              <c:numCache>
                <c:formatCode>General</c:formatCode>
                <c:ptCount val="181"/>
                <c:pt idx="0">
                  <c:v>0</c:v>
                </c:pt>
                <c:pt idx="1">
                  <c:v>-3.4899496702500969E-2</c:v>
                </c:pt>
                <c:pt idx="2">
                  <c:v>-6.9756473744125302E-2</c:v>
                </c:pt>
                <c:pt idx="3">
                  <c:v>-0.10452846326765346</c:v>
                </c:pt>
                <c:pt idx="4">
                  <c:v>-0.13917310096006544</c:v>
                </c:pt>
                <c:pt idx="5">
                  <c:v>-0.17364817766693033</c:v>
                </c:pt>
                <c:pt idx="6">
                  <c:v>-0.20791169081775931</c:v>
                </c:pt>
                <c:pt idx="7">
                  <c:v>-0.24192189559966773</c:v>
                </c:pt>
                <c:pt idx="8">
                  <c:v>-0.27563735581699916</c:v>
                </c:pt>
                <c:pt idx="9">
                  <c:v>-0.3090169943749474</c:v>
                </c:pt>
                <c:pt idx="10">
                  <c:v>-0.34202014332566871</c:v>
                </c:pt>
                <c:pt idx="11">
                  <c:v>-0.37460659341591201</c:v>
                </c:pt>
                <c:pt idx="12">
                  <c:v>-0.40673664307580015</c:v>
                </c:pt>
                <c:pt idx="13">
                  <c:v>-0.4383711467890774</c:v>
                </c:pt>
                <c:pt idx="14">
                  <c:v>-0.46947156278589081</c:v>
                </c:pt>
                <c:pt idx="15">
                  <c:v>-0.5</c:v>
                </c:pt>
                <c:pt idx="16">
                  <c:v>-0.5299192642332049</c:v>
                </c:pt>
                <c:pt idx="17">
                  <c:v>-0.5591929034707469</c:v>
                </c:pt>
                <c:pt idx="18">
                  <c:v>-0.58778525229247314</c:v>
                </c:pt>
                <c:pt idx="19">
                  <c:v>-0.61566147532565818</c:v>
                </c:pt>
                <c:pt idx="20">
                  <c:v>-0.64278760968653925</c:v>
                </c:pt>
                <c:pt idx="21">
                  <c:v>-0.66913060635885824</c:v>
                </c:pt>
                <c:pt idx="22">
                  <c:v>-0.69465837045899725</c:v>
                </c:pt>
                <c:pt idx="23">
                  <c:v>-0.71933980033865108</c:v>
                </c:pt>
                <c:pt idx="24">
                  <c:v>-0.74314482547739413</c:v>
                </c:pt>
                <c:pt idx="25">
                  <c:v>-0.76604444311897801</c:v>
                </c:pt>
                <c:pt idx="26">
                  <c:v>-0.78801075360672201</c:v>
                </c:pt>
                <c:pt idx="27">
                  <c:v>-0.80901699437494745</c:v>
                </c:pt>
                <c:pt idx="28">
                  <c:v>-0.82903757255504174</c:v>
                </c:pt>
                <c:pt idx="29">
                  <c:v>-0.84804809615642596</c:v>
                </c:pt>
                <c:pt idx="30">
                  <c:v>-0.8660254037844386</c:v>
                </c:pt>
                <c:pt idx="31">
                  <c:v>-0.88294759285892688</c:v>
                </c:pt>
                <c:pt idx="32">
                  <c:v>-0.89879404629916704</c:v>
                </c:pt>
                <c:pt idx="33">
                  <c:v>-0.91354545764260087</c:v>
                </c:pt>
                <c:pt idx="34">
                  <c:v>-0.92718385456678742</c:v>
                </c:pt>
                <c:pt idx="35">
                  <c:v>-0.93969262078590832</c:v>
                </c:pt>
                <c:pt idx="36">
                  <c:v>-0.95105651629515353</c:v>
                </c:pt>
                <c:pt idx="37">
                  <c:v>-0.96126169593831889</c:v>
                </c:pt>
                <c:pt idx="38">
                  <c:v>-0.97029572627599647</c:v>
                </c:pt>
                <c:pt idx="39">
                  <c:v>-0.97814760073380558</c:v>
                </c:pt>
                <c:pt idx="40">
                  <c:v>-0.98480775301220802</c:v>
                </c:pt>
                <c:pt idx="41">
                  <c:v>-0.99026806874157025</c:v>
                </c:pt>
                <c:pt idx="42">
                  <c:v>-0.99452189536827329</c:v>
                </c:pt>
                <c:pt idx="43">
                  <c:v>-0.9975640502598242</c:v>
                </c:pt>
                <c:pt idx="44">
                  <c:v>-0.99939082701909576</c:v>
                </c:pt>
                <c:pt idx="45">
                  <c:v>-1</c:v>
                </c:pt>
                <c:pt idx="46">
                  <c:v>-0.99939082701909576</c:v>
                </c:pt>
                <c:pt idx="47">
                  <c:v>-0.9975640502598242</c:v>
                </c:pt>
                <c:pt idx="48">
                  <c:v>-0.9945218953682734</c:v>
                </c:pt>
                <c:pt idx="49">
                  <c:v>-0.99026806874157036</c:v>
                </c:pt>
                <c:pt idx="50">
                  <c:v>-0.98480775301220802</c:v>
                </c:pt>
                <c:pt idx="51">
                  <c:v>-0.97814760073380569</c:v>
                </c:pt>
                <c:pt idx="52">
                  <c:v>-0.97029572627599647</c:v>
                </c:pt>
                <c:pt idx="53">
                  <c:v>-0.96126169593831889</c:v>
                </c:pt>
                <c:pt idx="54">
                  <c:v>-0.95105651629515364</c:v>
                </c:pt>
                <c:pt idx="55">
                  <c:v>-0.93969262078590843</c:v>
                </c:pt>
                <c:pt idx="56">
                  <c:v>-0.92718385456678742</c:v>
                </c:pt>
                <c:pt idx="57">
                  <c:v>-0.91354545764260098</c:v>
                </c:pt>
                <c:pt idx="58">
                  <c:v>-0.89879404629916693</c:v>
                </c:pt>
                <c:pt idx="59">
                  <c:v>-0.8829475928589271</c:v>
                </c:pt>
                <c:pt idx="60">
                  <c:v>-0.86602540378443871</c:v>
                </c:pt>
                <c:pt idx="61">
                  <c:v>-0.84804809615642607</c:v>
                </c:pt>
                <c:pt idx="62">
                  <c:v>-0.82903757255504174</c:v>
                </c:pt>
                <c:pt idx="63">
                  <c:v>-0.80901699437494745</c:v>
                </c:pt>
                <c:pt idx="64">
                  <c:v>-0.78801075360672201</c:v>
                </c:pt>
                <c:pt idx="65">
                  <c:v>-0.76604444311897801</c:v>
                </c:pt>
                <c:pt idx="66">
                  <c:v>-0.74314482547739424</c:v>
                </c:pt>
                <c:pt idx="67">
                  <c:v>-0.71933980033865141</c:v>
                </c:pt>
                <c:pt idx="68">
                  <c:v>-0.69465837045899714</c:v>
                </c:pt>
                <c:pt idx="69">
                  <c:v>-0.66913060635885835</c:v>
                </c:pt>
                <c:pt idx="70">
                  <c:v>-0.64278760968653947</c:v>
                </c:pt>
                <c:pt idx="71">
                  <c:v>-0.6156614753256584</c:v>
                </c:pt>
                <c:pt idx="72">
                  <c:v>-0.58778525229247325</c:v>
                </c:pt>
                <c:pt idx="73">
                  <c:v>-0.5591929034707469</c:v>
                </c:pt>
                <c:pt idx="74">
                  <c:v>-0.5299192642332049</c:v>
                </c:pt>
                <c:pt idx="75">
                  <c:v>-0.5</c:v>
                </c:pt>
                <c:pt idx="76">
                  <c:v>-0.46947156278589108</c:v>
                </c:pt>
                <c:pt idx="77">
                  <c:v>-0.43837114678907729</c:v>
                </c:pt>
                <c:pt idx="78">
                  <c:v>-0.40673664307580043</c:v>
                </c:pt>
                <c:pt idx="79">
                  <c:v>-0.37460659341591224</c:v>
                </c:pt>
                <c:pt idx="80">
                  <c:v>-0.34202014332566888</c:v>
                </c:pt>
                <c:pt idx="81">
                  <c:v>-0.30901699437494751</c:v>
                </c:pt>
                <c:pt idx="82">
                  <c:v>-0.27563735581699966</c:v>
                </c:pt>
                <c:pt idx="83">
                  <c:v>-0.24192189559966773</c:v>
                </c:pt>
                <c:pt idx="84">
                  <c:v>-0.20791169081775931</c:v>
                </c:pt>
                <c:pt idx="85">
                  <c:v>-0.17364817766693028</c:v>
                </c:pt>
                <c:pt idx="86">
                  <c:v>-0.13917310096006574</c:v>
                </c:pt>
                <c:pt idx="87">
                  <c:v>-0.10452846326765373</c:v>
                </c:pt>
                <c:pt idx="88">
                  <c:v>-6.9756473744125524E-2</c:v>
                </c:pt>
                <c:pt idx="89">
                  <c:v>-3.4899496702500699E-2</c:v>
                </c:pt>
                <c:pt idx="90">
                  <c:v>-1.22514845490862E-16</c:v>
                </c:pt>
                <c:pt idx="91">
                  <c:v>3.48994967025009E-2</c:v>
                </c:pt>
                <c:pt idx="92">
                  <c:v>6.9756473744124831E-2</c:v>
                </c:pt>
                <c:pt idx="93">
                  <c:v>0.10452846326765305</c:v>
                </c:pt>
                <c:pt idx="94">
                  <c:v>0.13917310096006552</c:v>
                </c:pt>
                <c:pt idx="95">
                  <c:v>0.17364817766693047</c:v>
                </c:pt>
                <c:pt idx="96">
                  <c:v>0.20791169081775907</c:v>
                </c:pt>
                <c:pt idx="97">
                  <c:v>0.24192189559966751</c:v>
                </c:pt>
                <c:pt idx="98">
                  <c:v>0.275637355816999</c:v>
                </c:pt>
                <c:pt idx="99">
                  <c:v>0.30901699437494773</c:v>
                </c:pt>
                <c:pt idx="100">
                  <c:v>0.34202014332566866</c:v>
                </c:pt>
                <c:pt idx="101">
                  <c:v>0.37460659341591201</c:v>
                </c:pt>
                <c:pt idx="102">
                  <c:v>0.40673664307579982</c:v>
                </c:pt>
                <c:pt idx="103">
                  <c:v>0.43837114678907707</c:v>
                </c:pt>
                <c:pt idx="104">
                  <c:v>0.46947156278589086</c:v>
                </c:pt>
                <c:pt idx="105">
                  <c:v>0.5</c:v>
                </c:pt>
                <c:pt idx="106">
                  <c:v>0.52991926423320479</c:v>
                </c:pt>
                <c:pt idx="107">
                  <c:v>0.55919290347074668</c:v>
                </c:pt>
                <c:pt idx="108">
                  <c:v>0.58778525229247303</c:v>
                </c:pt>
                <c:pt idx="109">
                  <c:v>0.61566147532565785</c:v>
                </c:pt>
                <c:pt idx="110">
                  <c:v>0.64278760968653925</c:v>
                </c:pt>
                <c:pt idx="111">
                  <c:v>0.66913060635885824</c:v>
                </c:pt>
                <c:pt idx="112">
                  <c:v>0.69465837045899737</c:v>
                </c:pt>
                <c:pt idx="113">
                  <c:v>0.71933980033865086</c:v>
                </c:pt>
                <c:pt idx="114">
                  <c:v>0.74314482547739402</c:v>
                </c:pt>
                <c:pt idx="115">
                  <c:v>0.7660444431189779</c:v>
                </c:pt>
                <c:pt idx="116">
                  <c:v>0.78801075360672213</c:v>
                </c:pt>
                <c:pt idx="117">
                  <c:v>0.80901699437494734</c:v>
                </c:pt>
                <c:pt idx="118">
                  <c:v>0.8290375725550414</c:v>
                </c:pt>
                <c:pt idx="119">
                  <c:v>0.84804809615642596</c:v>
                </c:pt>
                <c:pt idx="120">
                  <c:v>0.86602540378443837</c:v>
                </c:pt>
                <c:pt idx="121">
                  <c:v>0.88294759285892699</c:v>
                </c:pt>
                <c:pt idx="122">
                  <c:v>0.89879404629916682</c:v>
                </c:pt>
                <c:pt idx="123">
                  <c:v>0.91354545764260098</c:v>
                </c:pt>
                <c:pt idx="124">
                  <c:v>0.92718385456678731</c:v>
                </c:pt>
                <c:pt idx="125">
                  <c:v>0.93969262078590821</c:v>
                </c:pt>
                <c:pt idx="126">
                  <c:v>0.95105651629515353</c:v>
                </c:pt>
                <c:pt idx="127">
                  <c:v>0.96126169593831901</c:v>
                </c:pt>
                <c:pt idx="128">
                  <c:v>0.97029572627599647</c:v>
                </c:pt>
                <c:pt idx="129">
                  <c:v>0.97814760073380558</c:v>
                </c:pt>
                <c:pt idx="130">
                  <c:v>0.98480775301220802</c:v>
                </c:pt>
                <c:pt idx="131">
                  <c:v>0.99026806874157036</c:v>
                </c:pt>
                <c:pt idx="132">
                  <c:v>0.9945218953682734</c:v>
                </c:pt>
                <c:pt idx="133">
                  <c:v>0.9975640502598242</c:v>
                </c:pt>
                <c:pt idx="134">
                  <c:v>0.99939082701909565</c:v>
                </c:pt>
                <c:pt idx="135">
                  <c:v>1</c:v>
                </c:pt>
                <c:pt idx="136">
                  <c:v>0.99939082701909576</c:v>
                </c:pt>
                <c:pt idx="137">
                  <c:v>0.99756405025982431</c:v>
                </c:pt>
                <c:pt idx="138">
                  <c:v>0.9945218953682734</c:v>
                </c:pt>
                <c:pt idx="139">
                  <c:v>0.99026806874157036</c:v>
                </c:pt>
                <c:pt idx="140">
                  <c:v>0.98480775301220813</c:v>
                </c:pt>
                <c:pt idx="141">
                  <c:v>0.9781476007338058</c:v>
                </c:pt>
                <c:pt idx="142">
                  <c:v>0.97029572627599658</c:v>
                </c:pt>
                <c:pt idx="143">
                  <c:v>0.96126169593831878</c:v>
                </c:pt>
                <c:pt idx="144">
                  <c:v>0.95105651629515364</c:v>
                </c:pt>
                <c:pt idx="145">
                  <c:v>0.93969262078590854</c:v>
                </c:pt>
                <c:pt idx="146">
                  <c:v>0.92718385456678742</c:v>
                </c:pt>
                <c:pt idx="147">
                  <c:v>0.91354545764260076</c:v>
                </c:pt>
                <c:pt idx="148">
                  <c:v>0.89879404629916704</c:v>
                </c:pt>
                <c:pt idx="149">
                  <c:v>0.8829475928589271</c:v>
                </c:pt>
                <c:pt idx="150">
                  <c:v>0.8660254037844386</c:v>
                </c:pt>
                <c:pt idx="151">
                  <c:v>0.84804809615642618</c:v>
                </c:pt>
                <c:pt idx="152">
                  <c:v>0.82903757255504207</c:v>
                </c:pt>
                <c:pt idx="153">
                  <c:v>0.80901699437494756</c:v>
                </c:pt>
                <c:pt idx="154">
                  <c:v>0.78801075360672179</c:v>
                </c:pt>
                <c:pt idx="155">
                  <c:v>0.76604444311897812</c:v>
                </c:pt>
                <c:pt idx="156">
                  <c:v>0.74314482547739458</c:v>
                </c:pt>
                <c:pt idx="157">
                  <c:v>0.71933980033865175</c:v>
                </c:pt>
                <c:pt idx="158">
                  <c:v>0.69465837045899759</c:v>
                </c:pt>
                <c:pt idx="159">
                  <c:v>0.66913060635885813</c:v>
                </c:pt>
                <c:pt idx="160">
                  <c:v>0.64278760968653958</c:v>
                </c:pt>
                <c:pt idx="161">
                  <c:v>0.61566147532565885</c:v>
                </c:pt>
                <c:pt idx="162">
                  <c:v>0.58778525229247336</c:v>
                </c:pt>
                <c:pt idx="163">
                  <c:v>0.55919290347074735</c:v>
                </c:pt>
                <c:pt idx="164">
                  <c:v>0.52991926423320579</c:v>
                </c:pt>
                <c:pt idx="165">
                  <c:v>0.5</c:v>
                </c:pt>
                <c:pt idx="166">
                  <c:v>0.46947156278589081</c:v>
                </c:pt>
                <c:pt idx="167">
                  <c:v>0.43837114678907702</c:v>
                </c:pt>
                <c:pt idx="168">
                  <c:v>0.40673664307580015</c:v>
                </c:pt>
                <c:pt idx="169">
                  <c:v>0.37460659341591235</c:v>
                </c:pt>
                <c:pt idx="170">
                  <c:v>0.3420201433256686</c:v>
                </c:pt>
                <c:pt idx="171">
                  <c:v>0.30901699437494762</c:v>
                </c:pt>
                <c:pt idx="172">
                  <c:v>0.27563735581699977</c:v>
                </c:pt>
                <c:pt idx="173">
                  <c:v>0.24192189559966787</c:v>
                </c:pt>
                <c:pt idx="174">
                  <c:v>0.20791169081775987</c:v>
                </c:pt>
                <c:pt idx="175">
                  <c:v>0.17364817766693127</c:v>
                </c:pt>
                <c:pt idx="176">
                  <c:v>0.13917310096006588</c:v>
                </c:pt>
                <c:pt idx="177">
                  <c:v>0.10452846326765342</c:v>
                </c:pt>
                <c:pt idx="178">
                  <c:v>6.9756473744124761E-2</c:v>
                </c:pt>
                <c:pt idx="179">
                  <c:v>3.4899496702500823E-2</c:v>
                </c:pt>
                <c:pt idx="180">
                  <c:v>2.45029690981724E-16</c:v>
                </c:pt>
              </c:numCache>
            </c:numRef>
          </c:yVal>
          <c:smooth val="1"/>
        </c:ser>
        <c:ser>
          <c:idx val="1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stereo_Cirklar_streck!$E$4:$E$184</c:f>
              <c:numCache>
                <c:formatCode>General</c:formatCode>
                <c:ptCount val="181"/>
                <c:pt idx="0">
                  <c:v>3.3152278294834206E-17</c:v>
                </c:pt>
                <c:pt idx="1">
                  <c:v>1.8887471512458648E-2</c:v>
                </c:pt>
                <c:pt idx="2">
                  <c:v>3.7751931550271282E-2</c:v>
                </c:pt>
                <c:pt idx="3">
                  <c:v>5.6570396674729059E-2</c:v>
                </c:pt>
                <c:pt idx="4">
                  <c:v>7.5319939484840503E-2</c:v>
                </c:pt>
                <c:pt idx="5">
                  <c:v>9.3977716550836699E-2</c:v>
                </c:pt>
                <c:pt idx="6">
                  <c:v>0.1125209962453733</c:v>
                </c:pt>
                <c:pt idx="7">
                  <c:v>0.1309271864385157</c:v>
                </c:pt>
                <c:pt idx="8">
                  <c:v>0.14917386202276961</c:v>
                </c:pt>
                <c:pt idx="9">
                  <c:v>0.16723879223462088</c:v>
                </c:pt>
                <c:pt idx="10">
                  <c:v>0.18509996773929535</c:v>
                </c:pt>
                <c:pt idx="11">
                  <c:v>0.20273562744574361</c:v>
                </c:pt>
                <c:pt idx="12">
                  <c:v>0.22012428501917877</c:v>
                </c:pt>
                <c:pt idx="13">
                  <c:v>0.2372447550588648</c:v>
                </c:pt>
                <c:pt idx="14">
                  <c:v>0.25407617890926465</c:v>
                </c:pt>
                <c:pt idx="15">
                  <c:v>0.27059805007309862</c:v>
                </c:pt>
                <c:pt idx="16">
                  <c:v>0.28679023919535263</c:v>
                </c:pt>
                <c:pt idx="17">
                  <c:v>0.30263301858779701</c:v>
                </c:pt>
                <c:pt idx="18">
                  <c:v>0.31810708626413498</c:v>
                </c:pt>
                <c:pt idx="19">
                  <c:v>0.33319358945650041</c:v>
                </c:pt>
                <c:pt idx="20">
                  <c:v>0.34787414758465096</c:v>
                </c:pt>
                <c:pt idx="21">
                  <c:v>0.3621308746498742</c:v>
                </c:pt>
                <c:pt idx="22">
                  <c:v>0.37594640102632154</c:v>
                </c:pt>
                <c:pt idx="23">
                  <c:v>0.38930389462322207</c:v>
                </c:pt>
                <c:pt idx="24">
                  <c:v>0.40218708139219195</c:v>
                </c:pt>
                <c:pt idx="25">
                  <c:v>0.41458026515465618</c:v>
                </c:pt>
                <c:pt idx="26">
                  <c:v>0.42646834672522371</c:v>
                </c:pt>
                <c:pt idx="27">
                  <c:v>0.43783684230771941</c:v>
                </c:pt>
                <c:pt idx="28">
                  <c:v>0.44867190114145838</c:v>
                </c:pt>
                <c:pt idx="29">
                  <c:v>0.45896032237626483</c:v>
                </c:pt>
                <c:pt idx="30">
                  <c:v>0.46868957115567378</c:v>
                </c:pt>
                <c:pt idx="31">
                  <c:v>0.47784779388872345</c:v>
                </c:pt>
                <c:pt idx="32">
                  <c:v>0.48642383269172962</c:v>
                </c:pt>
                <c:pt idx="33">
                  <c:v>0.49440723898244837</c:v>
                </c:pt>
                <c:pt idx="34">
                  <c:v>0.50178828621006411</c:v>
                </c:pt>
                <c:pt idx="35">
                  <c:v>0.50855798170549293</c:v>
                </c:pt>
                <c:pt idx="36">
                  <c:v>0.51470807763756521</c:v>
                </c:pt>
                <c:pt idx="37">
                  <c:v>0.52023108106173765</c:v>
                </c:pt>
                <c:pt idx="38">
                  <c:v>0.52512026304909121</c:v>
                </c:pt>
                <c:pt idx="39">
                  <c:v>0.52936966688449505</c:v>
                </c:pt>
                <c:pt idx="40">
                  <c:v>0.53297411532394623</c:v>
                </c:pt>
                <c:pt idx="41">
                  <c:v>0.53592921690224404</c:v>
                </c:pt>
                <c:pt idx="42">
                  <c:v>0.53823137128331366</c:v>
                </c:pt>
                <c:pt idx="43">
                  <c:v>0.53987777364666167</c:v>
                </c:pt>
                <c:pt idx="44">
                  <c:v>0.54086641810461722</c:v>
                </c:pt>
                <c:pt idx="45">
                  <c:v>0.54119610014619701</c:v>
                </c:pt>
                <c:pt idx="46">
                  <c:v>0.54086641810461722</c:v>
                </c:pt>
                <c:pt idx="47">
                  <c:v>0.53987777364666167</c:v>
                </c:pt>
                <c:pt idx="48">
                  <c:v>0.53823137128331366</c:v>
                </c:pt>
                <c:pt idx="49">
                  <c:v>0.53592921690224404</c:v>
                </c:pt>
                <c:pt idx="50">
                  <c:v>0.53297411532394623</c:v>
                </c:pt>
                <c:pt idx="51">
                  <c:v>0.52936966688449505</c:v>
                </c:pt>
                <c:pt idx="52">
                  <c:v>0.52512026304909121</c:v>
                </c:pt>
                <c:pt idx="53">
                  <c:v>0.52023108106173765</c:v>
                </c:pt>
                <c:pt idx="54">
                  <c:v>0.51470807763756521</c:v>
                </c:pt>
                <c:pt idx="55">
                  <c:v>0.50855798170549293</c:v>
                </c:pt>
                <c:pt idx="56">
                  <c:v>0.50178828621006411</c:v>
                </c:pt>
                <c:pt idx="57">
                  <c:v>0.49440723898244837</c:v>
                </c:pt>
                <c:pt idx="58">
                  <c:v>0.48642383269172962</c:v>
                </c:pt>
                <c:pt idx="59">
                  <c:v>0.47784779388872345</c:v>
                </c:pt>
                <c:pt idx="60">
                  <c:v>0.46868957115567378</c:v>
                </c:pt>
                <c:pt idx="61">
                  <c:v>0.45896032237626483</c:v>
                </c:pt>
                <c:pt idx="62">
                  <c:v>0.44867190114145838</c:v>
                </c:pt>
                <c:pt idx="63">
                  <c:v>0.43783684230771941</c:v>
                </c:pt>
                <c:pt idx="64">
                  <c:v>0.42646834672522371</c:v>
                </c:pt>
                <c:pt idx="65">
                  <c:v>0.41458026515465618</c:v>
                </c:pt>
                <c:pt idx="66">
                  <c:v>0.40218708139219195</c:v>
                </c:pt>
                <c:pt idx="67">
                  <c:v>0.38930389462322207</c:v>
                </c:pt>
                <c:pt idx="68">
                  <c:v>0.37594640102632154</c:v>
                </c:pt>
                <c:pt idx="69">
                  <c:v>0.3621308746498742</c:v>
                </c:pt>
                <c:pt idx="70">
                  <c:v>0.34787414758465096</c:v>
                </c:pt>
                <c:pt idx="71">
                  <c:v>0.33319358945650041</c:v>
                </c:pt>
                <c:pt idx="72">
                  <c:v>0.31810708626413498</c:v>
                </c:pt>
                <c:pt idx="73">
                  <c:v>0.30263301858779701</c:v>
                </c:pt>
                <c:pt idx="74">
                  <c:v>0.28679023919535263</c:v>
                </c:pt>
                <c:pt idx="75">
                  <c:v>0.27059805007309862</c:v>
                </c:pt>
                <c:pt idx="76">
                  <c:v>0.25407617890926465</c:v>
                </c:pt>
                <c:pt idx="77">
                  <c:v>0.2372447550588648</c:v>
                </c:pt>
                <c:pt idx="78">
                  <c:v>0.22012428501917877</c:v>
                </c:pt>
                <c:pt idx="79">
                  <c:v>0.20273562744574361</c:v>
                </c:pt>
                <c:pt idx="80">
                  <c:v>0.18509996773929535</c:v>
                </c:pt>
                <c:pt idx="81">
                  <c:v>0.16723879223462088</c:v>
                </c:pt>
                <c:pt idx="82">
                  <c:v>0.14917386202276961</c:v>
                </c:pt>
                <c:pt idx="83">
                  <c:v>0.1309271864385157</c:v>
                </c:pt>
                <c:pt idx="84">
                  <c:v>0.1125209962453733</c:v>
                </c:pt>
                <c:pt idx="85">
                  <c:v>9.3977716550836699E-2</c:v>
                </c:pt>
                <c:pt idx="86">
                  <c:v>7.5319939484840503E-2</c:v>
                </c:pt>
                <c:pt idx="87">
                  <c:v>5.6570396674729059E-2</c:v>
                </c:pt>
                <c:pt idx="88">
                  <c:v>3.7751931550271282E-2</c:v>
                </c:pt>
                <c:pt idx="89">
                  <c:v>1.8887471512458648E-2</c:v>
                </c:pt>
                <c:pt idx="90">
                  <c:v>3.3152278294834206E-17</c:v>
                </c:pt>
                <c:pt idx="91">
                  <c:v>-1.8887471512458461E-2</c:v>
                </c:pt>
                <c:pt idx="92">
                  <c:v>-3.7751931550271213E-2</c:v>
                </c:pt>
                <c:pt idx="93">
                  <c:v>-5.657039667472899E-2</c:v>
                </c:pt>
                <c:pt idx="94">
                  <c:v>-7.5319939484840323E-2</c:v>
                </c:pt>
                <c:pt idx="95">
                  <c:v>-9.3977716550836629E-2</c:v>
                </c:pt>
                <c:pt idx="96">
                  <c:v>-0.11252099624537311</c:v>
                </c:pt>
                <c:pt idx="97">
                  <c:v>-0.13092718643851564</c:v>
                </c:pt>
                <c:pt idx="98">
                  <c:v>-0.14917386202276955</c:v>
                </c:pt>
                <c:pt idx="99">
                  <c:v>-0.16723879223462079</c:v>
                </c:pt>
                <c:pt idx="100">
                  <c:v>-0.18509996773929527</c:v>
                </c:pt>
                <c:pt idx="101">
                  <c:v>-0.20273562744574367</c:v>
                </c:pt>
                <c:pt idx="102">
                  <c:v>-0.22012428501917869</c:v>
                </c:pt>
                <c:pt idx="103">
                  <c:v>-0.23724475505886483</c:v>
                </c:pt>
                <c:pt idx="104">
                  <c:v>-0.25407617890926443</c:v>
                </c:pt>
                <c:pt idx="105">
                  <c:v>-0.2705980500730984</c:v>
                </c:pt>
                <c:pt idx="106">
                  <c:v>-0.28679023919535257</c:v>
                </c:pt>
                <c:pt idx="107">
                  <c:v>-0.3026330185877969</c:v>
                </c:pt>
                <c:pt idx="108">
                  <c:v>-0.31810708626413492</c:v>
                </c:pt>
                <c:pt idx="109">
                  <c:v>-0.33319358945650041</c:v>
                </c:pt>
                <c:pt idx="110">
                  <c:v>-0.34787414758465096</c:v>
                </c:pt>
                <c:pt idx="111">
                  <c:v>-0.3621308746498742</c:v>
                </c:pt>
                <c:pt idx="112">
                  <c:v>-0.37594640102632143</c:v>
                </c:pt>
                <c:pt idx="113">
                  <c:v>-0.38930389462322207</c:v>
                </c:pt>
                <c:pt idx="114">
                  <c:v>-0.40218708139219189</c:v>
                </c:pt>
                <c:pt idx="115">
                  <c:v>-0.41458026515465607</c:v>
                </c:pt>
                <c:pt idx="116">
                  <c:v>-0.42646834672522366</c:v>
                </c:pt>
                <c:pt idx="117">
                  <c:v>-0.4378368423077193</c:v>
                </c:pt>
                <c:pt idx="118">
                  <c:v>-0.44867190114145838</c:v>
                </c:pt>
                <c:pt idx="119">
                  <c:v>-0.45896032237626483</c:v>
                </c:pt>
                <c:pt idx="120">
                  <c:v>-0.46868957115567378</c:v>
                </c:pt>
                <c:pt idx="121">
                  <c:v>-0.47784779388872339</c:v>
                </c:pt>
                <c:pt idx="122">
                  <c:v>-0.48642383269172962</c:v>
                </c:pt>
                <c:pt idx="123">
                  <c:v>-0.49440723898244837</c:v>
                </c:pt>
                <c:pt idx="124">
                  <c:v>-0.50178828621006399</c:v>
                </c:pt>
                <c:pt idx="125">
                  <c:v>-0.50855798170549282</c:v>
                </c:pt>
                <c:pt idx="126">
                  <c:v>-0.51470807763756521</c:v>
                </c:pt>
                <c:pt idx="127">
                  <c:v>-0.52023108106173754</c:v>
                </c:pt>
                <c:pt idx="128">
                  <c:v>-0.52512026304909121</c:v>
                </c:pt>
                <c:pt idx="129">
                  <c:v>-0.52936966688449505</c:v>
                </c:pt>
                <c:pt idx="130">
                  <c:v>-0.53297411532394623</c:v>
                </c:pt>
                <c:pt idx="131">
                  <c:v>-0.53592921690224404</c:v>
                </c:pt>
                <c:pt idx="132">
                  <c:v>-0.53823137128331366</c:v>
                </c:pt>
                <c:pt idx="133">
                  <c:v>-0.53987777364666167</c:v>
                </c:pt>
                <c:pt idx="134">
                  <c:v>-0.54086641810461722</c:v>
                </c:pt>
                <c:pt idx="135">
                  <c:v>-0.54119610014619701</c:v>
                </c:pt>
                <c:pt idx="136">
                  <c:v>-0.54086641810461722</c:v>
                </c:pt>
                <c:pt idx="137">
                  <c:v>-0.53987777364666178</c:v>
                </c:pt>
                <c:pt idx="138">
                  <c:v>-0.53823137128331378</c:v>
                </c:pt>
                <c:pt idx="139">
                  <c:v>-0.53592921690224404</c:v>
                </c:pt>
                <c:pt idx="140">
                  <c:v>-0.53297411532394623</c:v>
                </c:pt>
                <c:pt idx="141">
                  <c:v>-0.52936966688449505</c:v>
                </c:pt>
                <c:pt idx="142">
                  <c:v>-0.52512026304909121</c:v>
                </c:pt>
                <c:pt idx="143">
                  <c:v>-0.52023108106173765</c:v>
                </c:pt>
                <c:pt idx="144">
                  <c:v>-0.51470807763756521</c:v>
                </c:pt>
                <c:pt idx="145">
                  <c:v>-0.50855798170549293</c:v>
                </c:pt>
                <c:pt idx="146">
                  <c:v>-0.50178828621006411</c:v>
                </c:pt>
                <c:pt idx="147">
                  <c:v>-0.49440723898244854</c:v>
                </c:pt>
                <c:pt idx="148">
                  <c:v>-0.48642383269172973</c:v>
                </c:pt>
                <c:pt idx="149">
                  <c:v>-0.47784779388872339</c:v>
                </c:pt>
                <c:pt idx="150">
                  <c:v>-0.46868957115567378</c:v>
                </c:pt>
                <c:pt idx="151">
                  <c:v>-0.45896032237626488</c:v>
                </c:pt>
                <c:pt idx="152">
                  <c:v>-0.44867190114145855</c:v>
                </c:pt>
                <c:pt idx="153">
                  <c:v>-0.43783684230771946</c:v>
                </c:pt>
                <c:pt idx="154">
                  <c:v>-0.42646834672522388</c:v>
                </c:pt>
                <c:pt idx="155">
                  <c:v>-0.41458026515465618</c:v>
                </c:pt>
                <c:pt idx="156">
                  <c:v>-0.40218708139219195</c:v>
                </c:pt>
                <c:pt idx="157">
                  <c:v>-0.38930389462322201</c:v>
                </c:pt>
                <c:pt idx="158">
                  <c:v>-0.37594640102632171</c:v>
                </c:pt>
                <c:pt idx="159">
                  <c:v>-0.36213087464987426</c:v>
                </c:pt>
                <c:pt idx="160">
                  <c:v>-0.34787414758465102</c:v>
                </c:pt>
                <c:pt idx="161">
                  <c:v>-0.33319358945650029</c:v>
                </c:pt>
                <c:pt idx="162">
                  <c:v>-0.31810708626413503</c:v>
                </c:pt>
                <c:pt idx="163">
                  <c:v>-0.30263301858779723</c:v>
                </c:pt>
                <c:pt idx="164">
                  <c:v>-0.28679023919535268</c:v>
                </c:pt>
                <c:pt idx="165">
                  <c:v>-0.27059805007309873</c:v>
                </c:pt>
                <c:pt idx="166">
                  <c:v>-0.25407617890926454</c:v>
                </c:pt>
                <c:pt idx="167">
                  <c:v>-0.23724475505886497</c:v>
                </c:pt>
                <c:pt idx="168">
                  <c:v>-0.22012428501917872</c:v>
                </c:pt>
                <c:pt idx="169">
                  <c:v>-0.20273562744574378</c:v>
                </c:pt>
                <c:pt idx="170">
                  <c:v>-0.18509996773929563</c:v>
                </c:pt>
                <c:pt idx="171">
                  <c:v>-0.16723879223462093</c:v>
                </c:pt>
                <c:pt idx="172">
                  <c:v>-0.14917386202276947</c:v>
                </c:pt>
                <c:pt idx="173">
                  <c:v>-0.13092718643851564</c:v>
                </c:pt>
                <c:pt idx="174">
                  <c:v>-0.11252099624537348</c:v>
                </c:pt>
                <c:pt idx="175">
                  <c:v>-9.3977716550836629E-2</c:v>
                </c:pt>
                <c:pt idx="176">
                  <c:v>-7.5319939484840101E-2</c:v>
                </c:pt>
                <c:pt idx="177">
                  <c:v>-5.6570396674729004E-2</c:v>
                </c:pt>
                <c:pt idx="178">
                  <c:v>-3.7751931550271352E-2</c:v>
                </c:pt>
                <c:pt idx="179">
                  <c:v>-1.8887471512458957E-2</c:v>
                </c:pt>
                <c:pt idx="180">
                  <c:v>-9.9456834884502612E-17</c:v>
                </c:pt>
              </c:numCache>
            </c:numRef>
          </c:xVal>
          <c:yVal>
            <c:numRef>
              <c:f>stereo_Cirklar_streck!$F$4:$F$184</c:f>
              <c:numCache>
                <c:formatCode>General</c:formatCode>
                <c:ptCount val="181"/>
                <c:pt idx="0">
                  <c:v>0.54119610014619701</c:v>
                </c:pt>
                <c:pt idx="1">
                  <c:v>0.54086641810461722</c:v>
                </c:pt>
                <c:pt idx="2">
                  <c:v>0.53987777364666167</c:v>
                </c:pt>
                <c:pt idx="3">
                  <c:v>0.53823137128331366</c:v>
                </c:pt>
                <c:pt idx="4">
                  <c:v>0.53592921690224404</c:v>
                </c:pt>
                <c:pt idx="5">
                  <c:v>0.53297411532394623</c:v>
                </c:pt>
                <c:pt idx="6">
                  <c:v>0.52936966688449494</c:v>
                </c:pt>
                <c:pt idx="7">
                  <c:v>0.52512026304909121</c:v>
                </c:pt>
                <c:pt idx="8">
                  <c:v>0.52023108106173765</c:v>
                </c:pt>
                <c:pt idx="9">
                  <c:v>0.51470807763756521</c:v>
                </c:pt>
                <c:pt idx="10">
                  <c:v>0.50855798170549282</c:v>
                </c:pt>
                <c:pt idx="11">
                  <c:v>0.50178828621006411</c:v>
                </c:pt>
                <c:pt idx="12">
                  <c:v>0.49440723898244837</c:v>
                </c:pt>
                <c:pt idx="13">
                  <c:v>0.48642383269172962</c:v>
                </c:pt>
                <c:pt idx="14">
                  <c:v>0.47784779388872339</c:v>
                </c:pt>
                <c:pt idx="15">
                  <c:v>0.46868957115567378</c:v>
                </c:pt>
                <c:pt idx="16">
                  <c:v>0.45896032237626483</c:v>
                </c:pt>
                <c:pt idx="17">
                  <c:v>0.4486719011414585</c:v>
                </c:pt>
                <c:pt idx="18">
                  <c:v>0.43783684230771941</c:v>
                </c:pt>
                <c:pt idx="19">
                  <c:v>0.42646834672522371</c:v>
                </c:pt>
                <c:pt idx="20">
                  <c:v>0.41458026515465618</c:v>
                </c:pt>
                <c:pt idx="21">
                  <c:v>0.40218708139219195</c:v>
                </c:pt>
                <c:pt idx="22">
                  <c:v>0.38930389462322201</c:v>
                </c:pt>
                <c:pt idx="23">
                  <c:v>0.37594640102632149</c:v>
                </c:pt>
                <c:pt idx="24">
                  <c:v>0.3621308746498742</c:v>
                </c:pt>
                <c:pt idx="25">
                  <c:v>0.34787414758465091</c:v>
                </c:pt>
                <c:pt idx="26">
                  <c:v>0.33319358945650029</c:v>
                </c:pt>
                <c:pt idx="27">
                  <c:v>0.31810708626413498</c:v>
                </c:pt>
                <c:pt idx="28">
                  <c:v>0.30263301858779701</c:v>
                </c:pt>
                <c:pt idx="29">
                  <c:v>0.28679023919535263</c:v>
                </c:pt>
                <c:pt idx="30">
                  <c:v>0.27059805007309851</c:v>
                </c:pt>
                <c:pt idx="31">
                  <c:v>0.25407617890926459</c:v>
                </c:pt>
                <c:pt idx="32">
                  <c:v>0.23724475505886475</c:v>
                </c:pt>
                <c:pt idx="33">
                  <c:v>0.22012428501917872</c:v>
                </c:pt>
                <c:pt idx="34">
                  <c:v>0.20273562744574361</c:v>
                </c:pt>
                <c:pt idx="35">
                  <c:v>0.18509996773929527</c:v>
                </c:pt>
                <c:pt idx="36">
                  <c:v>0.16723879223462085</c:v>
                </c:pt>
                <c:pt idx="37">
                  <c:v>0.14917386202276961</c:v>
                </c:pt>
                <c:pt idx="38">
                  <c:v>0.13092718643851561</c:v>
                </c:pt>
                <c:pt idx="39">
                  <c:v>0.11252099624537323</c:v>
                </c:pt>
                <c:pt idx="40">
                  <c:v>9.3977716550836629E-2</c:v>
                </c:pt>
                <c:pt idx="41">
                  <c:v>7.5319939484840365E-2</c:v>
                </c:pt>
                <c:pt idx="42">
                  <c:v>5.6570396674729059E-2</c:v>
                </c:pt>
                <c:pt idx="43">
                  <c:v>3.7751931550271199E-2</c:v>
                </c:pt>
                <c:pt idx="44">
                  <c:v>1.8887471512458589E-2</c:v>
                </c:pt>
                <c:pt idx="45">
                  <c:v>0</c:v>
                </c:pt>
                <c:pt idx="46">
                  <c:v>-1.8887471512458589E-2</c:v>
                </c:pt>
                <c:pt idx="47">
                  <c:v>-3.7751931550271199E-2</c:v>
                </c:pt>
                <c:pt idx="48">
                  <c:v>-5.6570396674729059E-2</c:v>
                </c:pt>
                <c:pt idx="49">
                  <c:v>-7.5319939484840365E-2</c:v>
                </c:pt>
                <c:pt idx="50">
                  <c:v>-9.3977716550836629E-2</c:v>
                </c:pt>
                <c:pt idx="51">
                  <c:v>-0.11252099624537323</c:v>
                </c:pt>
                <c:pt idx="52">
                  <c:v>-0.13092718643851561</c:v>
                </c:pt>
                <c:pt idx="53">
                  <c:v>-0.14917386202276961</c:v>
                </c:pt>
                <c:pt idx="54">
                  <c:v>-0.16723879223462085</c:v>
                </c:pt>
                <c:pt idx="55">
                  <c:v>-0.18509996773929527</c:v>
                </c:pt>
                <c:pt idx="56">
                  <c:v>-0.20273562744574361</c:v>
                </c:pt>
                <c:pt idx="57">
                  <c:v>-0.22012428501917872</c:v>
                </c:pt>
                <c:pt idx="58">
                  <c:v>-0.23724475505886475</c:v>
                </c:pt>
                <c:pt idx="59">
                  <c:v>-0.25407617890926459</c:v>
                </c:pt>
                <c:pt idx="60">
                  <c:v>-0.27059805007309851</c:v>
                </c:pt>
                <c:pt idx="61">
                  <c:v>-0.28679023919535263</c:v>
                </c:pt>
                <c:pt idx="62">
                  <c:v>-0.30263301858779701</c:v>
                </c:pt>
                <c:pt idx="63">
                  <c:v>-0.31810708626413498</c:v>
                </c:pt>
                <c:pt idx="64">
                  <c:v>-0.33319358945650029</c:v>
                </c:pt>
                <c:pt idx="65">
                  <c:v>-0.34787414758465091</c:v>
                </c:pt>
                <c:pt idx="66">
                  <c:v>-0.3621308746498742</c:v>
                </c:pt>
                <c:pt idx="67">
                  <c:v>-0.37594640102632149</c:v>
                </c:pt>
                <c:pt idx="68">
                  <c:v>-0.38930389462322201</c:v>
                </c:pt>
                <c:pt idx="69">
                  <c:v>-0.40218708139219195</c:v>
                </c:pt>
                <c:pt idx="70">
                  <c:v>-0.41458026515465618</c:v>
                </c:pt>
                <c:pt idx="71">
                  <c:v>-0.42646834672522371</c:v>
                </c:pt>
                <c:pt idx="72">
                  <c:v>-0.43783684230771941</c:v>
                </c:pt>
                <c:pt idx="73">
                  <c:v>-0.4486719011414585</c:v>
                </c:pt>
                <c:pt idx="74">
                  <c:v>-0.45896032237626483</c:v>
                </c:pt>
                <c:pt idx="75">
                  <c:v>-0.46868957115567378</c:v>
                </c:pt>
                <c:pt idx="76">
                  <c:v>-0.47784779388872339</c:v>
                </c:pt>
                <c:pt idx="77">
                  <c:v>-0.48642383269172962</c:v>
                </c:pt>
                <c:pt idx="78">
                  <c:v>-0.49440723898244837</c:v>
                </c:pt>
                <c:pt idx="79">
                  <c:v>-0.50178828621006411</c:v>
                </c:pt>
                <c:pt idx="80">
                  <c:v>-0.50855798170549282</c:v>
                </c:pt>
                <c:pt idx="81">
                  <c:v>-0.51470807763756521</c:v>
                </c:pt>
                <c:pt idx="82">
                  <c:v>-0.52023108106173765</c:v>
                </c:pt>
                <c:pt idx="83">
                  <c:v>-0.52512026304909121</c:v>
                </c:pt>
                <c:pt idx="84">
                  <c:v>-0.52936966688449494</c:v>
                </c:pt>
                <c:pt idx="85">
                  <c:v>-0.53297411532394623</c:v>
                </c:pt>
                <c:pt idx="86">
                  <c:v>-0.53592921690224404</c:v>
                </c:pt>
                <c:pt idx="87">
                  <c:v>-0.53823137128331366</c:v>
                </c:pt>
                <c:pt idx="88">
                  <c:v>-0.53987777364666167</c:v>
                </c:pt>
                <c:pt idx="89">
                  <c:v>-0.54086641810461722</c:v>
                </c:pt>
                <c:pt idx="90">
                  <c:v>-0.54119610014619701</c:v>
                </c:pt>
                <c:pt idx="91">
                  <c:v>-0.54086641810461722</c:v>
                </c:pt>
                <c:pt idx="92">
                  <c:v>-0.53987777364666167</c:v>
                </c:pt>
                <c:pt idx="93">
                  <c:v>-0.53823137128331378</c:v>
                </c:pt>
                <c:pt idx="94">
                  <c:v>-0.53592921690224404</c:v>
                </c:pt>
                <c:pt idx="95">
                  <c:v>-0.53297411532394623</c:v>
                </c:pt>
                <c:pt idx="96">
                  <c:v>-0.52936966688449505</c:v>
                </c:pt>
                <c:pt idx="97">
                  <c:v>-0.52512026304909121</c:v>
                </c:pt>
                <c:pt idx="98">
                  <c:v>-0.52023108106173765</c:v>
                </c:pt>
                <c:pt idx="99">
                  <c:v>-0.51470807763756521</c:v>
                </c:pt>
                <c:pt idx="100">
                  <c:v>-0.50855798170549293</c:v>
                </c:pt>
                <c:pt idx="101">
                  <c:v>-0.50178828621006411</c:v>
                </c:pt>
                <c:pt idx="102">
                  <c:v>-0.49440723898244848</c:v>
                </c:pt>
                <c:pt idx="103">
                  <c:v>-0.48642383269172962</c:v>
                </c:pt>
                <c:pt idx="104">
                  <c:v>-0.4778477938887235</c:v>
                </c:pt>
                <c:pt idx="105">
                  <c:v>-0.46868957115567378</c:v>
                </c:pt>
                <c:pt idx="106">
                  <c:v>-0.45896032237626488</c:v>
                </c:pt>
                <c:pt idx="107">
                  <c:v>-0.4486719011414585</c:v>
                </c:pt>
                <c:pt idx="108">
                  <c:v>-0.43783684230771941</c:v>
                </c:pt>
                <c:pt idx="109">
                  <c:v>-0.42646834672522371</c:v>
                </c:pt>
                <c:pt idx="110">
                  <c:v>-0.41458026515465618</c:v>
                </c:pt>
                <c:pt idx="111">
                  <c:v>-0.40218708139219195</c:v>
                </c:pt>
                <c:pt idx="112">
                  <c:v>-0.38930389462322218</c:v>
                </c:pt>
                <c:pt idx="113">
                  <c:v>-0.37594640102632149</c:v>
                </c:pt>
                <c:pt idx="114">
                  <c:v>-0.36213087464987426</c:v>
                </c:pt>
                <c:pt idx="115">
                  <c:v>-0.34787414758465102</c:v>
                </c:pt>
                <c:pt idx="116">
                  <c:v>-0.33319358945650041</c:v>
                </c:pt>
                <c:pt idx="117">
                  <c:v>-0.31810708626413503</c:v>
                </c:pt>
                <c:pt idx="118">
                  <c:v>-0.30263301858779701</c:v>
                </c:pt>
                <c:pt idx="119">
                  <c:v>-0.28679023919535263</c:v>
                </c:pt>
                <c:pt idx="120">
                  <c:v>-0.27059805007309851</c:v>
                </c:pt>
                <c:pt idx="121">
                  <c:v>-0.25407617890926476</c:v>
                </c:pt>
                <c:pt idx="122">
                  <c:v>-0.23724475505886472</c:v>
                </c:pt>
                <c:pt idx="123">
                  <c:v>-0.22012428501917888</c:v>
                </c:pt>
                <c:pt idx="124">
                  <c:v>-0.20273562744574375</c:v>
                </c:pt>
                <c:pt idx="125">
                  <c:v>-0.18509996773929535</c:v>
                </c:pt>
                <c:pt idx="126">
                  <c:v>-0.1672387922346209</c:v>
                </c:pt>
                <c:pt idx="127">
                  <c:v>-0.14917386202276989</c:v>
                </c:pt>
                <c:pt idx="128">
                  <c:v>-0.13092718643851561</c:v>
                </c:pt>
                <c:pt idx="129">
                  <c:v>-0.11252099624537323</c:v>
                </c:pt>
                <c:pt idx="130">
                  <c:v>-9.3977716550836615E-2</c:v>
                </c:pt>
                <c:pt idx="131">
                  <c:v>-7.5319939484840531E-2</c:v>
                </c:pt>
                <c:pt idx="132">
                  <c:v>-5.6570396674729205E-2</c:v>
                </c:pt>
                <c:pt idx="133">
                  <c:v>-3.7751931550271324E-2</c:v>
                </c:pt>
                <c:pt idx="134">
                  <c:v>-1.8887471512458443E-2</c:v>
                </c:pt>
                <c:pt idx="135">
                  <c:v>-6.6304556589668412E-17</c:v>
                </c:pt>
                <c:pt idx="136">
                  <c:v>1.8887471512458551E-2</c:v>
                </c:pt>
                <c:pt idx="137">
                  <c:v>3.7751931550270942E-2</c:v>
                </c:pt>
                <c:pt idx="138">
                  <c:v>5.6570396674728844E-2</c:v>
                </c:pt>
                <c:pt idx="139">
                  <c:v>7.5319939484840406E-2</c:v>
                </c:pt>
                <c:pt idx="140">
                  <c:v>9.3977716550836712E-2</c:v>
                </c:pt>
                <c:pt idx="141">
                  <c:v>0.11252099624537309</c:v>
                </c:pt>
                <c:pt idx="142">
                  <c:v>0.13092718643851547</c:v>
                </c:pt>
                <c:pt idx="143">
                  <c:v>0.14917386202276955</c:v>
                </c:pt>
                <c:pt idx="144">
                  <c:v>0.16723879223462101</c:v>
                </c:pt>
                <c:pt idx="145">
                  <c:v>0.18509996773929524</c:v>
                </c:pt>
                <c:pt idx="146">
                  <c:v>0.20273562744574361</c:v>
                </c:pt>
                <c:pt idx="147">
                  <c:v>0.22012428501917855</c:v>
                </c:pt>
                <c:pt idx="148">
                  <c:v>0.23724475505886461</c:v>
                </c:pt>
                <c:pt idx="149">
                  <c:v>0.25407617890926465</c:v>
                </c:pt>
                <c:pt idx="150">
                  <c:v>0.27059805007309862</c:v>
                </c:pt>
                <c:pt idx="151">
                  <c:v>0.28679023919535257</c:v>
                </c:pt>
                <c:pt idx="152">
                  <c:v>0.3026330185877969</c:v>
                </c:pt>
                <c:pt idx="153">
                  <c:v>0.31810708626413492</c:v>
                </c:pt>
                <c:pt idx="154">
                  <c:v>0.33319358945650013</c:v>
                </c:pt>
                <c:pt idx="155">
                  <c:v>0.34787414758465091</c:v>
                </c:pt>
                <c:pt idx="156">
                  <c:v>0.3621308746498742</c:v>
                </c:pt>
                <c:pt idx="157">
                  <c:v>0.37594640102632154</c:v>
                </c:pt>
                <c:pt idx="158">
                  <c:v>0.38930389462322185</c:v>
                </c:pt>
                <c:pt idx="159">
                  <c:v>0.40218708139219189</c:v>
                </c:pt>
                <c:pt idx="160">
                  <c:v>0.41458026515465607</c:v>
                </c:pt>
                <c:pt idx="161">
                  <c:v>0.42646834672522377</c:v>
                </c:pt>
                <c:pt idx="162">
                  <c:v>0.4378368423077193</c:v>
                </c:pt>
                <c:pt idx="163">
                  <c:v>0.44867190114145822</c:v>
                </c:pt>
                <c:pt idx="164">
                  <c:v>0.45896032237626483</c:v>
                </c:pt>
                <c:pt idx="165">
                  <c:v>0.46868957115567361</c:v>
                </c:pt>
                <c:pt idx="166">
                  <c:v>0.47784779388872345</c:v>
                </c:pt>
                <c:pt idx="167">
                  <c:v>0.48642383269172956</c:v>
                </c:pt>
                <c:pt idx="168">
                  <c:v>0.49440723898244848</c:v>
                </c:pt>
                <c:pt idx="169">
                  <c:v>0.50178828621006399</c:v>
                </c:pt>
                <c:pt idx="170">
                  <c:v>0.50855798170549271</c:v>
                </c:pt>
                <c:pt idx="171">
                  <c:v>0.51470807763756521</c:v>
                </c:pt>
                <c:pt idx="172">
                  <c:v>0.52023108106173765</c:v>
                </c:pt>
                <c:pt idx="173">
                  <c:v>0.52512026304909121</c:v>
                </c:pt>
                <c:pt idx="174">
                  <c:v>0.52936966688449494</c:v>
                </c:pt>
                <c:pt idx="175">
                  <c:v>0.53297411532394623</c:v>
                </c:pt>
                <c:pt idx="176">
                  <c:v>0.53592921690224404</c:v>
                </c:pt>
                <c:pt idx="177">
                  <c:v>0.53823137128331378</c:v>
                </c:pt>
                <c:pt idx="178">
                  <c:v>0.53987777364666167</c:v>
                </c:pt>
                <c:pt idx="179">
                  <c:v>0.54086641810461711</c:v>
                </c:pt>
                <c:pt idx="180">
                  <c:v>0.54119610014619701</c:v>
                </c:pt>
              </c:numCache>
            </c:numRef>
          </c:yVal>
          <c:smooth val="1"/>
        </c:ser>
        <c:ser>
          <c:idx val="2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stereo_Cirklar_streck!$I$4:$I$5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xVal>
          <c:yVal>
            <c:numRef>
              <c:f>stereo_Cirklar_streck!$J$4:$J$5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</c:ser>
        <c:ser>
          <c:idx val="3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stereo_Cirklar_streck!$L$4:$L$5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stereo_Cirklar_streck!$M$4:$M$5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</c:ser>
        <c:ser>
          <c:idx val="4"/>
          <c:order val="4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stereo_Cirklar_streck!$O$4:$O$5</c:f>
              <c:numCache>
                <c:formatCode>General</c:formatCode>
                <c:ptCount val="2"/>
                <c:pt idx="0">
                  <c:v>-0.70710678118654757</c:v>
                </c:pt>
                <c:pt idx="1">
                  <c:v>0.70710678118654757</c:v>
                </c:pt>
              </c:numCache>
            </c:numRef>
          </c:xVal>
          <c:yVal>
            <c:numRef>
              <c:f>stereo_Cirklar_streck!$P$4:$P$5</c:f>
              <c:numCache>
                <c:formatCode>General</c:formatCode>
                <c:ptCount val="2"/>
                <c:pt idx="0">
                  <c:v>-0.70710678118654757</c:v>
                </c:pt>
                <c:pt idx="1">
                  <c:v>0.70710678118654757</c:v>
                </c:pt>
              </c:numCache>
            </c:numRef>
          </c:yVal>
          <c:smooth val="1"/>
        </c:ser>
        <c:ser>
          <c:idx val="5"/>
          <c:order val="5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stereo_Cirklar_streck!$R$4:$R$5</c:f>
              <c:numCache>
                <c:formatCode>General</c:formatCode>
                <c:ptCount val="2"/>
                <c:pt idx="0">
                  <c:v>-0.70710678118654757</c:v>
                </c:pt>
                <c:pt idx="1">
                  <c:v>0.70710678118654757</c:v>
                </c:pt>
              </c:numCache>
            </c:numRef>
          </c:xVal>
          <c:yVal>
            <c:numRef>
              <c:f>stereo_Cirklar_streck!$S$4:$S$5</c:f>
              <c:numCache>
                <c:formatCode>General</c:formatCode>
                <c:ptCount val="2"/>
                <c:pt idx="0">
                  <c:v>0.70710678118654757</c:v>
                </c:pt>
                <c:pt idx="1">
                  <c:v>-0.70710678118654757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stereo_Cirklar_streck!$P$9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stereo_Cirklar_streck!$O$10:$O$105</c:f>
              <c:numCache>
                <c:formatCode>General</c:formatCode>
                <c:ptCount val="96"/>
                <c:pt idx="0">
                  <c:v>0.9090389553440873</c:v>
                </c:pt>
                <c:pt idx="1">
                  <c:v>0.9090389553440873</c:v>
                </c:pt>
                <c:pt idx="3">
                  <c:v>0.81115957534527772</c:v>
                </c:pt>
                <c:pt idx="4">
                  <c:v>0.81115957534527772</c:v>
                </c:pt>
                <c:pt idx="6">
                  <c:v>0.70710678118654746</c:v>
                </c:pt>
                <c:pt idx="7">
                  <c:v>0.70710678118654746</c:v>
                </c:pt>
                <c:pt idx="9">
                  <c:v>0.59767247746023966</c:v>
                </c:pt>
                <c:pt idx="10">
                  <c:v>0.59767247746023966</c:v>
                </c:pt>
                <c:pt idx="12">
                  <c:v>0.48368952529595055</c:v>
                </c:pt>
                <c:pt idx="13">
                  <c:v>0.48368952529595055</c:v>
                </c:pt>
                <c:pt idx="15">
                  <c:v>0.36602540378443865</c:v>
                </c:pt>
                <c:pt idx="16">
                  <c:v>0.36602540378443865</c:v>
                </c:pt>
                <c:pt idx="18">
                  <c:v>0.24557560793794569</c:v>
                </c:pt>
                <c:pt idx="19">
                  <c:v>0.24557560793794569</c:v>
                </c:pt>
                <c:pt idx="21">
                  <c:v>0.12325683343243871</c:v>
                </c:pt>
                <c:pt idx="22">
                  <c:v>0.12325683343243871</c:v>
                </c:pt>
                <c:pt idx="24">
                  <c:v>-0.9090389553440873</c:v>
                </c:pt>
                <c:pt idx="25">
                  <c:v>-0.9090389553440873</c:v>
                </c:pt>
                <c:pt idx="27">
                  <c:v>-0.81115957534527772</c:v>
                </c:pt>
                <c:pt idx="28">
                  <c:v>-0.81115957534527772</c:v>
                </c:pt>
                <c:pt idx="30">
                  <c:v>-0.70710678118654746</c:v>
                </c:pt>
                <c:pt idx="31">
                  <c:v>-0.70710678118654746</c:v>
                </c:pt>
                <c:pt idx="33">
                  <c:v>-0.59767247746023966</c:v>
                </c:pt>
                <c:pt idx="34">
                  <c:v>-0.59767247746023966</c:v>
                </c:pt>
                <c:pt idx="36">
                  <c:v>-0.48368952529595055</c:v>
                </c:pt>
                <c:pt idx="37">
                  <c:v>-0.48368952529595055</c:v>
                </c:pt>
                <c:pt idx="39">
                  <c:v>-0.36602540378443865</c:v>
                </c:pt>
                <c:pt idx="40">
                  <c:v>-0.36602540378443865</c:v>
                </c:pt>
                <c:pt idx="42">
                  <c:v>-0.24557560793794569</c:v>
                </c:pt>
                <c:pt idx="43">
                  <c:v>-0.24557560793794569</c:v>
                </c:pt>
                <c:pt idx="45">
                  <c:v>-0.12325683343243871</c:v>
                </c:pt>
                <c:pt idx="46">
                  <c:v>-0.12325683343243871</c:v>
                </c:pt>
                <c:pt idx="49">
                  <c:v>0.01</c:v>
                </c:pt>
                <c:pt idx="50">
                  <c:v>-0.01</c:v>
                </c:pt>
                <c:pt idx="52">
                  <c:v>0.01</c:v>
                </c:pt>
                <c:pt idx="53">
                  <c:v>-0.01</c:v>
                </c:pt>
                <c:pt idx="55">
                  <c:v>0.01</c:v>
                </c:pt>
                <c:pt idx="56">
                  <c:v>-0.01</c:v>
                </c:pt>
                <c:pt idx="58">
                  <c:v>0.01</c:v>
                </c:pt>
                <c:pt idx="59">
                  <c:v>-0.01</c:v>
                </c:pt>
                <c:pt idx="61">
                  <c:v>0.01</c:v>
                </c:pt>
                <c:pt idx="62">
                  <c:v>-0.01</c:v>
                </c:pt>
                <c:pt idx="64">
                  <c:v>0.01</c:v>
                </c:pt>
                <c:pt idx="65">
                  <c:v>-0.01</c:v>
                </c:pt>
                <c:pt idx="67">
                  <c:v>0.01</c:v>
                </c:pt>
                <c:pt idx="68">
                  <c:v>-0.01</c:v>
                </c:pt>
                <c:pt idx="70">
                  <c:v>0.01</c:v>
                </c:pt>
                <c:pt idx="71">
                  <c:v>-0.01</c:v>
                </c:pt>
                <c:pt idx="73">
                  <c:v>0.01</c:v>
                </c:pt>
                <c:pt idx="74">
                  <c:v>-0.01</c:v>
                </c:pt>
                <c:pt idx="76">
                  <c:v>0.01</c:v>
                </c:pt>
                <c:pt idx="77">
                  <c:v>-0.01</c:v>
                </c:pt>
                <c:pt idx="79">
                  <c:v>0.01</c:v>
                </c:pt>
                <c:pt idx="80">
                  <c:v>-0.01</c:v>
                </c:pt>
                <c:pt idx="82">
                  <c:v>0.01</c:v>
                </c:pt>
                <c:pt idx="83">
                  <c:v>-0.01</c:v>
                </c:pt>
                <c:pt idx="85">
                  <c:v>0.01</c:v>
                </c:pt>
                <c:pt idx="86">
                  <c:v>-0.01</c:v>
                </c:pt>
                <c:pt idx="88">
                  <c:v>0.01</c:v>
                </c:pt>
                <c:pt idx="89">
                  <c:v>-0.01</c:v>
                </c:pt>
                <c:pt idx="91">
                  <c:v>0.01</c:v>
                </c:pt>
                <c:pt idx="92">
                  <c:v>-0.01</c:v>
                </c:pt>
                <c:pt idx="94">
                  <c:v>0.01</c:v>
                </c:pt>
                <c:pt idx="95">
                  <c:v>-0.01</c:v>
                </c:pt>
              </c:numCache>
            </c:numRef>
          </c:xVal>
          <c:yVal>
            <c:numRef>
              <c:f>stereo_Cirklar_streck!$P$10:$P$105</c:f>
              <c:numCache>
                <c:formatCode>General</c:formatCode>
                <c:ptCount val="96"/>
                <c:pt idx="0">
                  <c:v>0.01</c:v>
                </c:pt>
                <c:pt idx="1">
                  <c:v>-0.01</c:v>
                </c:pt>
                <c:pt idx="3">
                  <c:v>0.01</c:v>
                </c:pt>
                <c:pt idx="4">
                  <c:v>-0.01</c:v>
                </c:pt>
                <c:pt idx="6">
                  <c:v>0.01</c:v>
                </c:pt>
                <c:pt idx="7">
                  <c:v>-0.01</c:v>
                </c:pt>
                <c:pt idx="9">
                  <c:v>0.01</c:v>
                </c:pt>
                <c:pt idx="10">
                  <c:v>-0.01</c:v>
                </c:pt>
                <c:pt idx="12">
                  <c:v>0.01</c:v>
                </c:pt>
                <c:pt idx="13">
                  <c:v>-0.01</c:v>
                </c:pt>
                <c:pt idx="15">
                  <c:v>0.01</c:v>
                </c:pt>
                <c:pt idx="16">
                  <c:v>-0.01</c:v>
                </c:pt>
                <c:pt idx="18">
                  <c:v>0.01</c:v>
                </c:pt>
                <c:pt idx="19">
                  <c:v>-0.01</c:v>
                </c:pt>
                <c:pt idx="21">
                  <c:v>0.01</c:v>
                </c:pt>
                <c:pt idx="22">
                  <c:v>-0.01</c:v>
                </c:pt>
                <c:pt idx="24">
                  <c:v>0.01</c:v>
                </c:pt>
                <c:pt idx="25">
                  <c:v>-0.01</c:v>
                </c:pt>
                <c:pt idx="27">
                  <c:v>0.01</c:v>
                </c:pt>
                <c:pt idx="28">
                  <c:v>-0.01</c:v>
                </c:pt>
                <c:pt idx="30">
                  <c:v>0.01</c:v>
                </c:pt>
                <c:pt idx="31">
                  <c:v>-0.01</c:v>
                </c:pt>
                <c:pt idx="33">
                  <c:v>0.01</c:v>
                </c:pt>
                <c:pt idx="34">
                  <c:v>-0.01</c:v>
                </c:pt>
                <c:pt idx="36">
                  <c:v>0.01</c:v>
                </c:pt>
                <c:pt idx="37">
                  <c:v>-0.01</c:v>
                </c:pt>
                <c:pt idx="39">
                  <c:v>0.01</c:v>
                </c:pt>
                <c:pt idx="40">
                  <c:v>-0.01</c:v>
                </c:pt>
                <c:pt idx="42">
                  <c:v>0.01</c:v>
                </c:pt>
                <c:pt idx="43">
                  <c:v>-0.01</c:v>
                </c:pt>
                <c:pt idx="45">
                  <c:v>0.01</c:v>
                </c:pt>
                <c:pt idx="46">
                  <c:v>-0.01</c:v>
                </c:pt>
                <c:pt idx="49">
                  <c:v>0.9090389553440873</c:v>
                </c:pt>
                <c:pt idx="50">
                  <c:v>0.9090389553440873</c:v>
                </c:pt>
                <c:pt idx="52">
                  <c:v>0.81115957534527772</c:v>
                </c:pt>
                <c:pt idx="53">
                  <c:v>0.81115957534527772</c:v>
                </c:pt>
                <c:pt idx="55">
                  <c:v>0.70710678118654746</c:v>
                </c:pt>
                <c:pt idx="56">
                  <c:v>0.70710678118654746</c:v>
                </c:pt>
                <c:pt idx="58">
                  <c:v>0.59767247746023966</c:v>
                </c:pt>
                <c:pt idx="59">
                  <c:v>0.59767247746023966</c:v>
                </c:pt>
                <c:pt idx="61">
                  <c:v>0.48368952529595055</c:v>
                </c:pt>
                <c:pt idx="62">
                  <c:v>0.48368952529595055</c:v>
                </c:pt>
                <c:pt idx="64">
                  <c:v>0.36602540378443865</c:v>
                </c:pt>
                <c:pt idx="65">
                  <c:v>0.36602540378443865</c:v>
                </c:pt>
                <c:pt idx="67">
                  <c:v>0.24557560793794569</c:v>
                </c:pt>
                <c:pt idx="68">
                  <c:v>0.24557560793794569</c:v>
                </c:pt>
                <c:pt idx="70">
                  <c:v>0.12325683343243871</c:v>
                </c:pt>
                <c:pt idx="71">
                  <c:v>0.12325683343243871</c:v>
                </c:pt>
                <c:pt idx="73">
                  <c:v>-0.9090389553440873</c:v>
                </c:pt>
                <c:pt idx="74">
                  <c:v>-0.9090389553440873</c:v>
                </c:pt>
                <c:pt idx="76">
                  <c:v>-0.81115957534527772</c:v>
                </c:pt>
                <c:pt idx="77">
                  <c:v>-0.81115957534527772</c:v>
                </c:pt>
                <c:pt idx="79">
                  <c:v>-0.70710678118654746</c:v>
                </c:pt>
                <c:pt idx="80">
                  <c:v>-0.70710678118654746</c:v>
                </c:pt>
                <c:pt idx="82">
                  <c:v>-0.59767247746023966</c:v>
                </c:pt>
                <c:pt idx="83">
                  <c:v>-0.59767247746023966</c:v>
                </c:pt>
                <c:pt idx="85">
                  <c:v>-0.48368952529595055</c:v>
                </c:pt>
                <c:pt idx="86">
                  <c:v>-0.48368952529595055</c:v>
                </c:pt>
                <c:pt idx="88">
                  <c:v>-0.36602540378443865</c:v>
                </c:pt>
                <c:pt idx="89">
                  <c:v>-0.36602540378443865</c:v>
                </c:pt>
                <c:pt idx="91">
                  <c:v>-0.24557560793794569</c:v>
                </c:pt>
                <c:pt idx="92">
                  <c:v>-0.24557560793794569</c:v>
                </c:pt>
                <c:pt idx="94">
                  <c:v>-0.12325683343243871</c:v>
                </c:pt>
                <c:pt idx="95">
                  <c:v>-0.12325683343243871</c:v>
                </c:pt>
              </c:numCache>
            </c:numRef>
          </c:yVal>
          <c:smooth val="1"/>
        </c:ser>
        <c:ser>
          <c:idx val="7"/>
          <c:order val="7"/>
          <c:spPr>
            <a:ln w="1905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Samplespace!$R$11:$R$3100</c:f>
              <c:numCache>
                <c:formatCode>General</c:formatCode>
                <c:ptCount val="3090"/>
                <c:pt idx="0">
                  <c:v>-6.8555807079666853E-2</c:v>
                </c:pt>
                <c:pt idx="1">
                  <c:v>-6.0089027843314526E-2</c:v>
                </c:pt>
                <c:pt idx="2">
                  <c:v>-5.158506884661699E-2</c:v>
                </c:pt>
                <c:pt idx="3">
                  <c:v>-4.5488227387074337E-2</c:v>
                </c:pt>
                <c:pt idx="4">
                  <c:v>-3.937752977281507E-2</c:v>
                </c:pt>
                <c:pt idx="5">
                  <c:v>-3.3254837381528464E-2</c:v>
                </c:pt>
                <c:pt idx="6">
                  <c:v>-2.7122015244628442E-2</c:v>
                </c:pt>
                <c:pt idx="7">
                  <c:v>-2.0980931479148215E-2</c:v>
                </c:pt>
                <c:pt idx="8">
                  <c:v>-1.4833456718692401E-2</c:v>
                </c:pt>
                <c:pt idx="9">
                  <c:v>-8.6814635436253378E-3</c:v>
                </c:pt>
                <c:pt idx="10">
                  <c:v>-2.526825910663518E-3</c:v>
                </c:pt>
                <c:pt idx="11">
                  <c:v>3.6285814179484671E-3</c:v>
                </c:pt>
                <c:pt idx="12">
                  <c:v>9.7828834455097064E-3</c:v>
                </c:pt>
                <c:pt idx="13">
                  <c:v>1.5934205512004643E-2</c:v>
                </c:pt>
                <c:pt idx="14">
                  <c:v>2.2080673865142387E-2</c:v>
                </c:pt>
                <c:pt idx="15">
                  <c:v>2.8220416231120642E-2</c:v>
                </c:pt>
                <c:pt idx="16">
                  <c:v>3.435156238493748E-2</c:v>
                </c:pt>
                <c:pt idx="17">
                  <c:v>4.0472244720080937E-2</c:v>
                </c:pt>
                <c:pt idx="18">
                  <c:v>4.6580598817419043E-2</c:v>
                </c:pt>
                <c:pt idx="19">
                  <c:v>5.2674764013121128E-2</c:v>
                </c:pt>
                <c:pt idx="20">
                  <c:v>5.8752883965432781E-2</c:v>
                </c:pt>
                <c:pt idx="21">
                  <c:v>6.4813107220136584E-2</c:v>
                </c:pt>
                <c:pt idx="22">
                  <c:v>7.085358777452265E-2</c:v>
                </c:pt>
                <c:pt idx="23">
                  <c:v>7.6872485639698285E-2</c:v>
                </c:pt>
                <c:pt idx="24">
                  <c:v>8.2867967401067749E-2</c:v>
                </c:pt>
                <c:pt idx="25">
                  <c:v>8.883820677680665E-2</c:v>
                </c:pt>
                <c:pt idx="26">
                  <c:v>9.478138517416651E-2</c:v>
                </c:pt>
                <c:pt idx="27">
                  <c:v>0.10069569224343422</c:v>
                </c:pt>
                <c:pt idx="28">
                  <c:v>0.10657932642938368</c:v>
                </c:pt>
                <c:pt idx="29">
                  <c:v>0.11243049552004546</c:v>
                </c:pt>
                <c:pt idx="30">
                  <c:v>0.11824741719263319</c:v>
                </c:pt>
                <c:pt idx="31">
                  <c:v>0.12402831955645573</c:v>
                </c:pt>
                <c:pt idx="32">
                  <c:v>0.12977144169265192</c:v>
                </c:pt>
                <c:pt idx="33">
                  <c:v>0.13547503419058449</c:v>
                </c:pt>
                <c:pt idx="34">
                  <c:v>0.14113735968072633</c:v>
                </c:pt>
                <c:pt idx="35">
                  <c:v>0.14675669336388128</c:v>
                </c:pt>
                <c:pt idx="36">
                  <c:v>0.15233132353657342</c:v>
                </c:pt>
                <c:pt idx="37">
                  <c:v>0.15785955211244981</c:v>
                </c:pt>
                <c:pt idx="38">
                  <c:v>0.16333969513953275</c:v>
                </c:pt>
                <c:pt idx="39">
                  <c:v>0.16877008331316909</c:v>
                </c:pt>
                <c:pt idx="40">
                  <c:v>0.17414906248451584</c:v>
                </c:pt>
                <c:pt idx="41">
                  <c:v>0.17947499416440982</c:v>
                </c:pt>
                <c:pt idx="42">
                  <c:v>0.18474625602246811</c:v>
                </c:pt>
                <c:pt idx="43">
                  <c:v>0.18996124238126474</c:v>
                </c:pt>
                <c:pt idx="44">
                  <c:v>0.19511836470543617</c:v>
                </c:pt>
                <c:pt idx="45">
                  <c:v>0.20021605208556428</c:v>
                </c:pt>
                <c:pt idx="46">
                  <c:v>0.20525275171669072</c:v>
                </c:pt>
                <c:pt idx="47">
                  <c:v>0.21022692937131612</c:v>
                </c:pt>
                <c:pt idx="48">
                  <c:v>0.21513706986674114</c:v>
                </c:pt>
                <c:pt idx="49">
                  <c:v>0.21998167752660502</c:v>
                </c:pt>
                <c:pt idx="50">
                  <c:v>0.22475927663648404</c:v>
                </c:pt>
                <c:pt idx="51">
                  <c:v>0.22946841189340755</c:v>
                </c:pt>
                <c:pt idx="52">
                  <c:v>0.23410764884915786</c:v>
                </c:pt>
                <c:pt idx="53">
                  <c:v>0.23867557434721706</c:v>
                </c:pt>
                <c:pt idx="54">
                  <c:v>0.24317079695322785</c:v>
                </c:pt>
                <c:pt idx="55">
                  <c:v>0.24759194737883833</c:v>
                </c:pt>
                <c:pt idx="56">
                  <c:v>0.25193767889880014</c:v>
                </c:pt>
                <c:pt idx="57">
                  <c:v>0.25620666776119427</c:v>
                </c:pt>
                <c:pt idx="58">
                  <c:v>0.26039761359065872</c:v>
                </c:pt>
                <c:pt idx="59">
                  <c:v>0.26450923978449503</c:v>
                </c:pt>
                <c:pt idx="60">
                  <c:v>0.26854029390153444</c:v>
                </c:pt>
                <c:pt idx="61">
                  <c:v>0.27248954804364311</c:v>
                </c:pt>
                <c:pt idx="62">
                  <c:v>0.27635579922975229</c:v>
                </c:pt>
                <c:pt idx="63">
                  <c:v>0.28013786976229732</c:v>
                </c:pt>
                <c:pt idx="64">
                  <c:v>0.2838346075859563</c:v>
                </c:pt>
                <c:pt idx="65">
                  <c:v>0.28744488663857698</c:v>
                </c:pt>
                <c:pt idx="66">
                  <c:v>0.29096760719418646</c:v>
                </c:pt>
                <c:pt idx="67">
                  <c:v>0.29440169619797801</c:v>
                </c:pt>
                <c:pt idx="68">
                  <c:v>0.29774610759317449</c:v>
                </c:pt>
                <c:pt idx="69">
                  <c:v>0.3004241350480229</c:v>
                </c:pt>
                <c:pt idx="70">
                  <c:v>0.30099982263966663</c:v>
                </c:pt>
                <c:pt idx="71">
                  <c:v>0.30360264574498863</c:v>
                </c:pt>
                <c:pt idx="72">
                  <c:v>0.30416185022433206</c:v>
                </c:pt>
                <c:pt idx="73">
                  <c:v>0.30668867613499562</c:v>
                </c:pt>
                <c:pt idx="74">
                  <c:v>0.30723122716293716</c:v>
                </c:pt>
                <c:pt idx="75">
                  <c:v>0.30968128618329194</c:v>
                </c:pt>
                <c:pt idx="76">
                  <c:v>0.31020701849353266</c:v>
                </c:pt>
                <c:pt idx="77">
                  <c:v>0.3125795643118669</c:v>
                </c:pt>
                <c:pt idx="78">
                  <c:v>0.31538262767712616</c:v>
                </c:pt>
                <c:pt idx="79">
                  <c:v>0.31808962243881495</c:v>
                </c:pt>
                <c:pt idx="80">
                  <c:v>0.32069972402010538</c:v>
                </c:pt>
                <c:pt idx="81">
                  <c:v>0.32321213735877141</c:v>
                </c:pt>
                <c:pt idx="82">
                  <c:v>0.32562609714937163</c:v>
                </c:pt>
                <c:pt idx="83">
                  <c:v>0.3279408680763693</c:v>
                </c:pt>
                <c:pt idx="84">
                  <c:v>0.33015574503811645</c:v>
                </c:pt>
                <c:pt idx="85">
                  <c:v>0.3322700533616344</c:v>
                </c:pt>
                <c:pt idx="86">
                  <c:v>0.33428314900812617</c:v>
                </c:pt>
                <c:pt idx="87">
                  <c:v>0.33619441876915646</c:v>
                </c:pt>
                <c:pt idx="88">
                  <c:v>0.33800328045344119</c:v>
                </c:pt>
                <c:pt idx="89">
                  <c:v>0.33970918306418851</c:v>
                </c:pt>
                <c:pt idx="90">
                  <c:v>0.34131160696693774</c:v>
                </c:pt>
                <c:pt idx="91">
                  <c:v>0.34281006404784503</c:v>
                </c:pt>
                <c:pt idx="92">
                  <c:v>0.34420409786236772</c:v>
                </c:pt>
                <c:pt idx="93">
                  <c:v>0.34549328377430155</c:v>
                </c:pt>
                <c:pt idx="94">
                  <c:v>0.3466772290851291</c:v>
                </c:pt>
                <c:pt idx="95">
                  <c:v>0.3477555731536397</c:v>
                </c:pt>
                <c:pt idx="96">
                  <c:v>0.34872798750578371</c:v>
                </c:pt>
                <c:pt idx="97">
                  <c:v>0.34959417593472963</c:v>
                </c:pt>
                <c:pt idx="98">
                  <c:v>0.35035387459109102</c:v>
                </c:pt>
                <c:pt idx="99">
                  <c:v>0.35100685206329774</c:v>
                </c:pt>
                <c:pt idx="100">
                  <c:v>0.35155290944808626</c:v>
                </c:pt>
                <c:pt idx="101">
                  <c:v>0.35199188041108742</c:v>
                </c:pt>
                <c:pt idx="102">
                  <c:v>0.35232363123749344</c:v>
                </c:pt>
                <c:pt idx="103">
                  <c:v>0.35254806087278884</c:v>
                </c:pt>
                <c:pt idx="104">
                  <c:v>0.35266510095353265</c:v>
                </c:pt>
                <c:pt idx="105">
                  <c:v>0.35267471582818244</c:v>
                </c:pt>
                <c:pt idx="106">
                  <c:v>0.35257690256795432</c:v>
                </c:pt>
                <c:pt idx="107">
                  <c:v>0.35237169096771481</c:v>
                </c:pt>
                <c:pt idx="108">
                  <c:v>0.35205914353690537</c:v>
                </c:pt>
                <c:pt idx="109">
                  <c:v>0.35163935548050107</c:v>
                </c:pt>
                <c:pt idx="110">
                  <c:v>0.35111245467001045</c:v>
                </c:pt>
                <c:pt idx="111">
                  <c:v>0.35047860160452465</c:v>
                </c:pt>
                <c:pt idx="112">
                  <c:v>0.34973798936182765</c:v>
                </c:pt>
                <c:pt idx="113">
                  <c:v>0.34889084353958305</c:v>
                </c:pt>
                <c:pt idx="114">
                  <c:v>0.34793742218661483</c:v>
                </c:pt>
                <c:pt idx="115">
                  <c:v>0.34687801572430305</c:v>
                </c:pt>
                <c:pt idx="116">
                  <c:v>0.34571294685811887</c:v>
                </c:pt>
                <c:pt idx="117">
                  <c:v>0.34444257047932519</c:v>
                </c:pt>
                <c:pt idx="118">
                  <c:v>0.34306727355687339</c:v>
                </c:pt>
                <c:pt idx="119">
                  <c:v>0.34158747501952891</c:v>
                </c:pt>
                <c:pt idx="120">
                  <c:v>0.34000362562826125</c:v>
                </c:pt>
                <c:pt idx="121">
                  <c:v>0.33831620783893818</c:v>
                </c:pt>
                <c:pt idx="122">
                  <c:v>0.33652573565536459</c:v>
                </c:pt>
                <c:pt idx="123">
                  <c:v>0.33463275447271246</c:v>
                </c:pt>
                <c:pt idx="124">
                  <c:v>0.33263784091138765</c:v>
                </c:pt>
                <c:pt idx="125">
                  <c:v>0.3305416026413861</c:v>
                </c:pt>
                <c:pt idx="126">
                  <c:v>0.3283446781971916</c:v>
                </c:pt>
                <c:pt idx="127">
                  <c:v>0.32604773678327187</c:v>
                </c:pt>
                <c:pt idx="128">
                  <c:v>0.32365147807023259</c:v>
                </c:pt>
                <c:pt idx="129">
                  <c:v>0.32115663198169092</c:v>
                </c:pt>
                <c:pt idx="130">
                  <c:v>0.31856395847193342</c:v>
                </c:pt>
                <c:pt idx="131">
                  <c:v>0.31587424729442704</c:v>
                </c:pt>
                <c:pt idx="132">
                  <c:v>0.31308831776125223</c:v>
                </c:pt>
                <c:pt idx="133">
                  <c:v>0.31020701849353272</c:v>
                </c:pt>
                <c:pt idx="134">
                  <c:v>0.30723122716293716</c:v>
                </c:pt>
                <c:pt idx="135">
                  <c:v>0.30416185022433206</c:v>
                </c:pt>
                <c:pt idx="136">
                  <c:v>0.30099982263966663</c:v>
                </c:pt>
                <c:pt idx="137">
                  <c:v>0.29774610759317449</c:v>
                </c:pt>
                <c:pt idx="138">
                  <c:v>0.29440169619797801</c:v>
                </c:pt>
                <c:pt idx="139">
                  <c:v>0.29096760719418646</c:v>
                </c:pt>
                <c:pt idx="140">
                  <c:v>0.28744488663857698</c:v>
                </c:pt>
                <c:pt idx="141">
                  <c:v>0.2838346075859563</c:v>
                </c:pt>
                <c:pt idx="142">
                  <c:v>0.28013786976229743</c:v>
                </c:pt>
                <c:pt idx="143">
                  <c:v>0.27635579922975234</c:v>
                </c:pt>
                <c:pt idx="144">
                  <c:v>0.26425399374480651</c:v>
                </c:pt>
                <c:pt idx="145">
                  <c:v>0.25212427126418485</c:v>
                </c:pt>
                <c:pt idx="146">
                  <c:v>0.24046246946488056</c:v>
                </c:pt>
                <c:pt idx="147">
                  <c:v>0.22877834807974473</c:v>
                </c:pt>
                <c:pt idx="148">
                  <c:v>0.22676198877903708</c:v>
                </c:pt>
                <c:pt idx="149">
                  <c:v>0.22494160780081793</c:v>
                </c:pt>
                <c:pt idx="150">
                  <c:v>0.22331696231759485</c:v>
                </c:pt>
                <c:pt idx="151">
                  <c:v>0.2218877940828545</c:v>
                </c:pt>
                <c:pt idx="152">
                  <c:v>0.22065383013496623</c:v>
                </c:pt>
                <c:pt idx="153">
                  <c:v>0.21961478342833213</c:v>
                </c:pt>
                <c:pt idx="154">
                  <c:v>0.21877035339501374</c:v>
                </c:pt>
                <c:pt idx="155">
                  <c:v>0.21812022643977336</c:v>
                </c:pt>
                <c:pt idx="156">
                  <c:v>0.21766407637118235</c:v>
                </c:pt>
                <c:pt idx="157">
                  <c:v>0.21740156477117156</c:v>
                </c:pt>
                <c:pt idx="158">
                  <c:v>0.21733234130513096</c:v>
                </c:pt>
                <c:pt idx="159">
                  <c:v>0.2174560439743991</c:v>
                </c:pt>
                <c:pt idx="160">
                  <c:v>0.21777229931272815</c:v>
                </c:pt>
                <c:pt idx="161">
                  <c:v>0.21828072252805639</c:v>
                </c:pt>
                <c:pt idx="162">
                  <c:v>0.21898091759067262</c:v>
                </c:pt>
                <c:pt idx="163">
                  <c:v>0.219872477268613</c:v>
                </c:pt>
                <c:pt idx="164">
                  <c:v>0.22114990744243812</c:v>
                </c:pt>
                <c:pt idx="165">
                  <c:v>0.22125567483140005</c:v>
                </c:pt>
                <c:pt idx="166">
                  <c:v>0.22028350681312608</c:v>
                </c:pt>
                <c:pt idx="167">
                  <c:v>0.21823813969247927</c:v>
                </c:pt>
                <c:pt idx="168">
                  <c:v>0.21512953829247172</c:v>
                </c:pt>
                <c:pt idx="169">
                  <c:v>0.2109728474066489</c:v>
                </c:pt>
                <c:pt idx="170">
                  <c:v>0.20578831801517727</c:v>
                </c:pt>
                <c:pt idx="171">
                  <c:v>0.19960120862410513</c:v>
                </c:pt>
                <c:pt idx="172">
                  <c:v>0.19244166220845971</c:v>
                </c:pt>
                <c:pt idx="173">
                  <c:v>0.18434455935870289</c:v>
                </c:pt>
                <c:pt idx="174">
                  <c:v>0.17534934834600077</c:v>
                </c:pt>
                <c:pt idx="175">
                  <c:v>0.16549985293421177</c:v>
                </c:pt>
                <c:pt idx="176">
                  <c:v>0.15484405887491434</c:v>
                </c:pt>
                <c:pt idx="177">
                  <c:v>0.14343388012564878</c:v>
                </c:pt>
                <c:pt idx="178">
                  <c:v>0.13132490593033416</c:v>
                </c:pt>
                <c:pt idx="179">
                  <c:v>0.11857612999406039</c:v>
                </c:pt>
                <c:pt idx="180">
                  <c:v>0.10524966307168644</c:v>
                </c:pt>
                <c:pt idx="181">
                  <c:v>9.1410430370486365E-2</c:v>
                </c:pt>
                <c:pt idx="182">
                  <c:v>8.7878353470022846E-2</c:v>
                </c:pt>
                <c:pt idx="183">
                  <c:v>7.6704831811933341E-2</c:v>
                </c:pt>
                <c:pt idx="184">
                  <c:v>6.5618923491241765E-2</c:v>
                </c:pt>
                <c:pt idx="185">
                  <c:v>5.4625090088709354E-2</c:v>
                </c:pt>
                <c:pt idx="186">
                  <c:v>4.3727791434064772E-2</c:v>
                </c:pt>
                <c:pt idx="187">
                  <c:v>3.2931486795251388E-2</c:v>
                </c:pt>
                <c:pt idx="188">
                  <c:v>2.2240636048987926E-2</c:v>
                </c:pt>
                <c:pt idx="189">
                  <c:v>1.1659700833295596E-2</c:v>
                </c:pt>
                <c:pt idx="190">
                  <c:v>1.1931456825047247E-3</c:v>
                </c:pt>
                <c:pt idx="191">
                  <c:v>-9.1545608548965329E-3</c:v>
                </c:pt>
                <c:pt idx="192">
                  <c:v>-1.9378945115370035E-2</c:v>
                </c:pt>
                <c:pt idx="193">
                  <c:v>-2.9475527236364062E-2</c:v>
                </c:pt>
                <c:pt idx="194">
                  <c:v>-3.9439820089436334E-2</c:v>
                </c:pt>
                <c:pt idx="195">
                  <c:v>-4.9267328230822624E-2</c:v>
                </c:pt>
                <c:pt idx="196">
                  <c:v>-5.8953546870023577E-2</c:v>
                </c:pt>
                <c:pt idx="197">
                  <c:v>-6.8493960857214486E-2</c:v>
                </c:pt>
                <c:pt idx="198">
                  <c:v>-7.78840436905303E-2</c:v>
                </c:pt>
                <c:pt idx="199">
                  <c:v>-7.3208189056118714E-2</c:v>
                </c:pt>
                <c:pt idx="200">
                  <c:v>-6.8555807079666853E-2</c:v>
                </c:pt>
              </c:numCache>
            </c:numRef>
          </c:xVal>
          <c:yVal>
            <c:numRef>
              <c:f>Samplespace!$S$11:$S$3100</c:f>
              <c:numCache>
                <c:formatCode>General</c:formatCode>
                <c:ptCount val="3090"/>
                <c:pt idx="0">
                  <c:v>-0.33070874543918843</c:v>
                </c:pt>
                <c:pt idx="1">
                  <c:v>-0.339826645246676</c:v>
                </c:pt>
                <c:pt idx="2">
                  <c:v>-0.34889084353958305</c:v>
                </c:pt>
                <c:pt idx="3">
                  <c:v>-0.34973798936182765</c:v>
                </c:pt>
                <c:pt idx="4">
                  <c:v>-0.3504786016045246</c:v>
                </c:pt>
                <c:pt idx="5">
                  <c:v>-0.35111245467001045</c:v>
                </c:pt>
                <c:pt idx="6">
                  <c:v>-0.35163935548050107</c:v>
                </c:pt>
                <c:pt idx="7">
                  <c:v>-0.35205914353690537</c:v>
                </c:pt>
                <c:pt idx="8">
                  <c:v>-0.35237169096771481</c:v>
                </c:pt>
                <c:pt idx="9">
                  <c:v>-0.35257690256795426</c:v>
                </c:pt>
                <c:pt idx="10">
                  <c:v>-0.35267471582818244</c:v>
                </c:pt>
                <c:pt idx="11">
                  <c:v>-0.35266510095353265</c:v>
                </c:pt>
                <c:pt idx="12">
                  <c:v>-0.35254806087278884</c:v>
                </c:pt>
                <c:pt idx="13">
                  <c:v>-0.35232363123749344</c:v>
                </c:pt>
                <c:pt idx="14">
                  <c:v>-0.35199188041108742</c:v>
                </c:pt>
                <c:pt idx="15">
                  <c:v>-0.35155290944808626</c:v>
                </c:pt>
                <c:pt idx="16">
                  <c:v>-0.35100685206329774</c:v>
                </c:pt>
                <c:pt idx="17">
                  <c:v>-0.35035387459109102</c:v>
                </c:pt>
                <c:pt idx="18">
                  <c:v>-0.34959417593472963</c:v>
                </c:pt>
                <c:pt idx="19">
                  <c:v>-0.34872798750578371</c:v>
                </c:pt>
                <c:pt idx="20">
                  <c:v>-0.3477555731536397</c:v>
                </c:pt>
                <c:pt idx="21">
                  <c:v>-0.34667722908512916</c:v>
                </c:pt>
                <c:pt idx="22">
                  <c:v>-0.34549328377430155</c:v>
                </c:pt>
                <c:pt idx="23">
                  <c:v>-0.34420409786236772</c:v>
                </c:pt>
                <c:pt idx="24">
                  <c:v>-0.34281006404784503</c:v>
                </c:pt>
                <c:pt idx="25">
                  <c:v>-0.34131160696693774</c:v>
                </c:pt>
                <c:pt idx="26">
                  <c:v>-0.33970918306418851</c:v>
                </c:pt>
                <c:pt idx="27">
                  <c:v>-0.33800328045344119</c:v>
                </c:pt>
                <c:pt idx="28">
                  <c:v>-0.33619441876915646</c:v>
                </c:pt>
                <c:pt idx="29">
                  <c:v>-0.33428314900812617</c:v>
                </c:pt>
                <c:pt idx="30">
                  <c:v>-0.33227005336163445</c:v>
                </c:pt>
                <c:pt idx="31">
                  <c:v>-0.33015574503811645</c:v>
                </c:pt>
                <c:pt idx="32">
                  <c:v>-0.32794086807636935</c:v>
                </c:pt>
                <c:pt idx="33">
                  <c:v>-0.32562609714937163</c:v>
                </c:pt>
                <c:pt idx="34">
                  <c:v>-0.32321213735877141</c:v>
                </c:pt>
                <c:pt idx="35">
                  <c:v>-0.32069972402010538</c:v>
                </c:pt>
                <c:pt idx="36">
                  <c:v>-0.31808962243881495</c:v>
                </c:pt>
                <c:pt idx="37">
                  <c:v>-0.31538262767712616</c:v>
                </c:pt>
                <c:pt idx="38">
                  <c:v>-0.3125795643118669</c:v>
                </c:pt>
                <c:pt idx="39">
                  <c:v>-0.30968128618329205</c:v>
                </c:pt>
                <c:pt idx="40">
                  <c:v>-0.30668867613499562</c:v>
                </c:pt>
                <c:pt idx="41">
                  <c:v>-0.30360264574498869</c:v>
                </c:pt>
                <c:pt idx="42">
                  <c:v>-0.3004241350480229</c:v>
                </c:pt>
                <c:pt idx="43">
                  <c:v>-0.29715411224924759</c:v>
                </c:pt>
                <c:pt idx="44">
                  <c:v>-0.29379357342928458</c:v>
                </c:pt>
                <c:pt idx="45">
                  <c:v>-0.29034354224081282</c:v>
                </c:pt>
                <c:pt idx="46">
                  <c:v>-0.28680506959675339</c:v>
                </c:pt>
                <c:pt idx="47">
                  <c:v>-0.28317923335015177</c:v>
                </c:pt>
                <c:pt idx="48">
                  <c:v>-0.27946713796585282</c:v>
                </c:pt>
                <c:pt idx="49">
                  <c:v>-0.27566991418407044</c:v>
                </c:pt>
                <c:pt idx="50">
                  <c:v>-0.27178871867595328</c:v>
                </c:pt>
                <c:pt idx="51">
                  <c:v>-0.26782473369125098</c:v>
                </c:pt>
                <c:pt idx="52">
                  <c:v>-0.2637791666981899</c:v>
                </c:pt>
                <c:pt idx="53">
                  <c:v>-0.2596532500156663</c:v>
                </c:pt>
                <c:pt idx="54">
                  <c:v>-0.25544824043787046</c:v>
                </c:pt>
                <c:pt idx="55">
                  <c:v>-0.25116541885145455</c:v>
                </c:pt>
                <c:pt idx="56">
                  <c:v>-0.24680608984536243</c:v>
                </c:pt>
                <c:pt idx="57">
                  <c:v>-0.24237158131343914</c:v>
                </c:pt>
                <c:pt idx="58">
                  <c:v>-0.23786324404994155</c:v>
                </c:pt>
                <c:pt idx="59">
                  <c:v>-0.2332824513380734</c:v>
                </c:pt>
                <c:pt idx="60">
                  <c:v>-0.22863059853166975</c:v>
                </c:pt>
                <c:pt idx="61">
                  <c:v>-0.22390910263015912</c:v>
                </c:pt>
                <c:pt idx="62">
                  <c:v>-0.21911940184693113</c:v>
                </c:pt>
                <c:pt idx="63">
                  <c:v>-0.21426295517124319</c:v>
                </c:pt>
                <c:pt idx="64">
                  <c:v>-0.20934124192379827</c:v>
                </c:pt>
                <c:pt idx="65">
                  <c:v>-0.20435576130612923</c:v>
                </c:pt>
                <c:pt idx="66">
                  <c:v>-0.19930803194392763</c:v>
                </c:pt>
                <c:pt idx="67">
                  <c:v>-0.19419959142445561</c:v>
                </c:pt>
                <c:pt idx="68">
                  <c:v>-0.18903199582818206</c:v>
                </c:pt>
                <c:pt idx="69">
                  <c:v>-0.18474625602246811</c:v>
                </c:pt>
                <c:pt idx="70">
                  <c:v>-0.18380681925478515</c:v>
                </c:pt>
                <c:pt idx="71">
                  <c:v>-0.1794749941644099</c:v>
                </c:pt>
                <c:pt idx="72">
                  <c:v>-0.1785256533436666</c:v>
                </c:pt>
                <c:pt idx="73">
                  <c:v>-0.17414906248451581</c:v>
                </c:pt>
                <c:pt idx="74">
                  <c:v>-0.17319010678912281</c:v>
                </c:pt>
                <c:pt idx="75">
                  <c:v>-0.1687700833131692</c:v>
                </c:pt>
                <c:pt idx="76">
                  <c:v>-0.16780180485032073</c:v>
                </c:pt>
                <c:pt idx="77">
                  <c:v>-0.16333969513953273</c:v>
                </c:pt>
                <c:pt idx="78">
                  <c:v>-0.15785955211244979</c:v>
                </c:pt>
                <c:pt idx="79">
                  <c:v>-0.15233132353657339</c:v>
                </c:pt>
                <c:pt idx="80">
                  <c:v>-0.14675669336388125</c:v>
                </c:pt>
                <c:pt idx="81">
                  <c:v>-0.14113735968072633</c:v>
                </c:pt>
                <c:pt idx="82">
                  <c:v>-0.13547503419058449</c:v>
                </c:pt>
                <c:pt idx="83">
                  <c:v>-0.12977144169265203</c:v>
                </c:pt>
                <c:pt idx="84">
                  <c:v>-0.12402831955645573</c:v>
                </c:pt>
                <c:pt idx="85">
                  <c:v>-0.11824741719263332</c:v>
                </c:pt>
                <c:pt idx="86">
                  <c:v>-0.11243049552004546</c:v>
                </c:pt>
                <c:pt idx="87">
                  <c:v>-0.10657932642938364</c:v>
                </c:pt>
                <c:pt idx="88">
                  <c:v>-0.10069569224343418</c:v>
                </c:pt>
                <c:pt idx="89">
                  <c:v>-9.4781385174166455E-2</c:v>
                </c:pt>
                <c:pt idx="90">
                  <c:v>-8.883820677680665E-2</c:v>
                </c:pt>
                <c:pt idx="91">
                  <c:v>-8.2867967401067721E-2</c:v>
                </c:pt>
                <c:pt idx="92">
                  <c:v>-7.6872485639698424E-2</c:v>
                </c:pt>
                <c:pt idx="93">
                  <c:v>-7.0853587774522594E-2</c:v>
                </c:pt>
                <c:pt idx="94">
                  <c:v>-6.4813107220136723E-2</c:v>
                </c:pt>
                <c:pt idx="95">
                  <c:v>-5.875288396543276E-2</c:v>
                </c:pt>
                <c:pt idx="96">
                  <c:v>-5.2674764013121128E-2</c:v>
                </c:pt>
                <c:pt idx="97">
                  <c:v>-4.6580598817418994E-2</c:v>
                </c:pt>
                <c:pt idx="98">
                  <c:v>-4.0472244720080881E-2</c:v>
                </c:pt>
                <c:pt idx="99">
                  <c:v>-3.4351562384937424E-2</c:v>
                </c:pt>
                <c:pt idx="100">
                  <c:v>-2.8220416231120642E-2</c:v>
                </c:pt>
                <c:pt idx="101">
                  <c:v>-2.2080673865142529E-2</c:v>
                </c:pt>
                <c:pt idx="102">
                  <c:v>-1.5934205512004643E-2</c:v>
                </c:pt>
                <c:pt idx="103">
                  <c:v>-9.7828834455098469E-3</c:v>
                </c:pt>
                <c:pt idx="104">
                  <c:v>-3.6285814179484671E-3</c:v>
                </c:pt>
                <c:pt idx="105">
                  <c:v>2.526825910663518E-3</c:v>
                </c:pt>
                <c:pt idx="106">
                  <c:v>8.6814635436253586E-3</c:v>
                </c:pt>
                <c:pt idx="107">
                  <c:v>1.4833456718692434E-2</c:v>
                </c:pt>
                <c:pt idx="108">
                  <c:v>2.0980931479148229E-2</c:v>
                </c:pt>
                <c:pt idx="109">
                  <c:v>2.7122015244628456E-2</c:v>
                </c:pt>
                <c:pt idx="110">
                  <c:v>3.3254837381528346E-2</c:v>
                </c:pt>
                <c:pt idx="111">
                  <c:v>3.9377529772815112E-2</c:v>
                </c:pt>
                <c:pt idx="112">
                  <c:v>4.5488227387074212E-2</c:v>
                </c:pt>
                <c:pt idx="113">
                  <c:v>5.1585068846617003E-2</c:v>
                </c:pt>
                <c:pt idx="114">
                  <c:v>5.7666196994473229E-2</c:v>
                </c:pt>
                <c:pt idx="115">
                  <c:v>6.3729759460099983E-2</c:v>
                </c:pt>
                <c:pt idx="116">
                  <c:v>6.977390922363115E-2</c:v>
                </c:pt>
                <c:pt idx="117">
                  <c:v>7.5796805178497781E-2</c:v>
                </c:pt>
                <c:pt idx="118">
                  <c:v>8.1796612692246862E-2</c:v>
                </c:pt>
                <c:pt idx="119">
                  <c:v>8.7771504165388356E-2</c:v>
                </c:pt>
                <c:pt idx="120">
                  <c:v>9.3719659588099385E-2</c:v>
                </c:pt>
                <c:pt idx="121">
                  <c:v>9.9639267094617151E-2</c:v>
                </c:pt>
                <c:pt idx="122">
                  <c:v>0.10552852351515067</c:v>
                </c:pt>
                <c:pt idx="123">
                  <c:v>0.11138563492514361</c:v>
                </c:pt>
                <c:pt idx="124">
                  <c:v>0.11720881719172156</c:v>
                </c:pt>
                <c:pt idx="125">
                  <c:v>0.12299629651715561</c:v>
                </c:pt>
                <c:pt idx="126">
                  <c:v>0.12874630997917863</c:v>
                </c:pt>
                <c:pt idx="127">
                  <c:v>0.13445710606798852</c:v>
                </c:pt>
                <c:pt idx="128">
                  <c:v>0.14012694521977487</c:v>
                </c:pt>
                <c:pt idx="129">
                  <c:v>0.14575410034660705</c:v>
                </c:pt>
                <c:pt idx="130">
                  <c:v>0.15133685736252198</c:v>
                </c:pt>
                <c:pt idx="131">
                  <c:v>0.15687351570565125</c:v>
                </c:pt>
                <c:pt idx="132">
                  <c:v>0.16236238885622861</c:v>
                </c:pt>
                <c:pt idx="133">
                  <c:v>0.16780180485032067</c:v>
                </c:pt>
                <c:pt idx="134">
                  <c:v>0.17319010678912272</c:v>
                </c:pt>
                <c:pt idx="135">
                  <c:v>0.1785256533436666</c:v>
                </c:pt>
                <c:pt idx="136">
                  <c:v>0.18380681925478515</c:v>
                </c:pt>
                <c:pt idx="137">
                  <c:v>0.18903199582818206</c:v>
                </c:pt>
                <c:pt idx="138">
                  <c:v>0.19419959142445561</c:v>
                </c:pt>
                <c:pt idx="139">
                  <c:v>0.19930803194392763</c:v>
                </c:pt>
                <c:pt idx="140">
                  <c:v>0.20435576130612923</c:v>
                </c:pt>
                <c:pt idx="141">
                  <c:v>0.20934124192379827</c:v>
                </c:pt>
                <c:pt idx="142">
                  <c:v>0.21426295517124314</c:v>
                </c:pt>
                <c:pt idx="143">
                  <c:v>0.21911940184693104</c:v>
                </c:pt>
                <c:pt idx="144">
                  <c:v>0.22195194722435882</c:v>
                </c:pt>
                <c:pt idx="145">
                  <c:v>0.22472544322753077</c:v>
                </c:pt>
                <c:pt idx="146">
                  <c:v>0.22336460679242123</c:v>
                </c:pt>
                <c:pt idx="147">
                  <c:v>0.22201798802920697</c:v>
                </c:pt>
                <c:pt idx="148">
                  <c:v>0.21001110874110487</c:v>
                </c:pt>
                <c:pt idx="149">
                  <c:v>0.19794379012593208</c:v>
                </c:pt>
                <c:pt idx="150">
                  <c:v>0.18582111874131105</c:v>
                </c:pt>
                <c:pt idx="151">
                  <c:v>0.17364815913448123</c:v>
                </c:pt>
                <c:pt idx="152">
                  <c:v>0.16142995539498656</c:v>
                </c:pt>
                <c:pt idx="153">
                  <c:v>0.14917153268830863</c:v>
                </c:pt>
                <c:pt idx="154">
                  <c:v>0.13687789877109535</c:v>
                </c:pt>
                <c:pt idx="155">
                  <c:v>0.12455404548875217</c:v>
                </c:pt>
                <c:pt idx="156">
                  <c:v>0.11220495025626592</c:v>
                </c:pt>
                <c:pt idx="157">
                  <c:v>9.9835577523218394E-2</c:v>
                </c:pt>
                <c:pt idx="158">
                  <c:v>8.7450880224022975E-2</c:v>
                </c:pt>
                <c:pt idx="159">
                  <c:v>7.5055801214480175E-2</c:v>
                </c:pt>
                <c:pt idx="160">
                  <c:v>6.2655274695799526E-2</c:v>
                </c:pt>
                <c:pt idx="161">
                  <c:v>5.0254227627275556E-2</c:v>
                </c:pt>
                <c:pt idx="162">
                  <c:v>3.7857581128836706E-2</c:v>
                </c:pt>
                <c:pt idx="163">
                  <c:v>2.5470251874706019E-2</c:v>
                </c:pt>
                <c:pt idx="164">
                  <c:v>9.2389625499171655E-3</c:v>
                </c:pt>
                <c:pt idx="165">
                  <c:v>-6.2101808105299444E-3</c:v>
                </c:pt>
                <c:pt idx="166">
                  <c:v>-2.1629068794313394E-2</c:v>
                </c:pt>
                <c:pt idx="167">
                  <c:v>-3.6942582129077292E-2</c:v>
                </c:pt>
                <c:pt idx="168">
                  <c:v>-5.2076114917163741E-2</c:v>
                </c:pt>
                <c:pt idx="169">
                  <c:v>-6.6955938108046495E-2</c:v>
                </c:pt>
                <c:pt idx="170">
                  <c:v>-8.1509558698854248E-2</c:v>
                </c:pt>
                <c:pt idx="171">
                  <c:v>-9.566607291299338E-2</c:v>
                </c:pt>
                <c:pt idx="172">
                  <c:v>-0.10935651163622043</c:v>
                </c:pt>
                <c:pt idx="173">
                  <c:v>-0.12251417642723383</c:v>
                </c:pt>
                <c:pt idx="174">
                  <c:v>-0.1350749644657758</c:v>
                </c:pt>
                <c:pt idx="175">
                  <c:v>-0.14697768085512844</c:v>
                </c:pt>
                <c:pt idx="176">
                  <c:v>-0.15816433675749969</c:v>
                </c:pt>
                <c:pt idx="177">
                  <c:v>-0.16858043190981192</c:v>
                </c:pt>
                <c:pt idx="178">
                  <c:v>-0.17817522014350531</c:v>
                </c:pt>
                <c:pt idx="179">
                  <c:v>-0.1869019566147701</c:v>
                </c:pt>
                <c:pt idx="180">
                  <c:v>-0.19471812554072668</c:v>
                </c:pt>
                <c:pt idx="181">
                  <c:v>-0.20158564733204637</c:v>
                </c:pt>
                <c:pt idx="182">
                  <c:v>-0.2031502768449884</c:v>
                </c:pt>
                <c:pt idx="183">
                  <c:v>-0.20857182814196751</c:v>
                </c:pt>
                <c:pt idx="184">
                  <c:v>-0.21416376467935683</c:v>
                </c:pt>
                <c:pt idx="185">
                  <c:v>-0.2199239807932708</c:v>
                </c:pt>
                <c:pt idx="186">
                  <c:v>-0.22585035889553573</c:v>
                </c:pt>
                <c:pt idx="187">
                  <c:v>-0.23194076874620495</c:v>
                </c:pt>
                <c:pt idx="188">
                  <c:v>-0.23819306667593185</c:v>
                </c:pt>
                <c:pt idx="189">
                  <c:v>-0.24460509475685299</c:v>
                </c:pt>
                <c:pt idx="190">
                  <c:v>-0.25117467992043402</c:v>
                </c:pt>
                <c:pt idx="191">
                  <c:v>-0.25789963302052876</c:v>
                </c:pt>
                <c:pt idx="192">
                  <c:v>-0.2647777478397077</c:v>
                </c:pt>
                <c:pt idx="193">
                  <c:v>-0.27180680003671032</c:v>
                </c:pt>
                <c:pt idx="194">
                  <c:v>-0.27898454603268308</c:v>
                </c:pt>
                <c:pt idx="195">
                  <c:v>-0.28630872183366485</c:v>
                </c:pt>
                <c:pt idx="196">
                  <c:v>-0.29377704178659025</c:v>
                </c:pt>
                <c:pt idx="197">
                  <c:v>-0.30138719726588031</c:v>
                </c:pt>
                <c:pt idx="198">
                  <c:v>-0.30913685528750129</c:v>
                </c:pt>
                <c:pt idx="199">
                  <c:v>-0.31992891060953704</c:v>
                </c:pt>
                <c:pt idx="200">
                  <c:v>-0.33070874543918843</c:v>
                </c:pt>
              </c:numCache>
            </c:numRef>
          </c:yVal>
        </c:ser>
        <c:ser>
          <c:idx val="9"/>
          <c:order val="8"/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C0C0C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Samplespace!$R$7</c:f>
              <c:numCache>
                <c:formatCode>General</c:formatCode>
                <c:ptCount val="1"/>
                <c:pt idx="0">
                  <c:v>0.61237243569579447</c:v>
                </c:pt>
              </c:numCache>
            </c:numRef>
          </c:xVal>
          <c:yVal>
            <c:numRef>
              <c:f>Samplespace!$S$7</c:f>
              <c:numCache>
                <c:formatCode>General</c:formatCode>
                <c:ptCount val="1"/>
                <c:pt idx="0">
                  <c:v>-0.35355339059327368</c:v>
                </c:pt>
              </c:numCache>
            </c:numRef>
          </c:yVal>
          <c:smooth val="1"/>
        </c:ser>
        <c:ser>
          <c:idx val="8"/>
          <c:order val="9"/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99CC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Samplespace!$R$9</c:f>
              <c:numCache>
                <c:formatCode>General</c:formatCode>
                <c:ptCount val="1"/>
                <c:pt idx="0">
                  <c:v>0.21267471502406848</c:v>
                </c:pt>
              </c:numCache>
            </c:numRef>
          </c:xVal>
          <c:yVal>
            <c:numRef>
              <c:f>Samplespace!$S$9</c:f>
              <c:numCache>
                <c:formatCode>General</c:formatCode>
                <c:ptCount val="1"/>
                <c:pt idx="0">
                  <c:v>-0.12278780396897304</c:v>
                </c:pt>
              </c:numCache>
            </c:numRef>
          </c:yVal>
          <c:smooth val="1"/>
        </c:ser>
        <c:ser>
          <c:idx val="10"/>
          <c:order val="10"/>
          <c:spPr>
            <a:ln w="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Samplespace!$U$11:$U$197</c:f>
              <c:numCache>
                <c:formatCode>General</c:formatCode>
                <c:ptCount val="187"/>
                <c:pt idx="0">
                  <c:v>-8.6297120865256538E-2</c:v>
                </c:pt>
                <c:pt idx="1">
                  <c:v>-8.0311087171937662E-2</c:v>
                </c:pt>
                <c:pt idx="2">
                  <c:v>-7.4004846076899597E-2</c:v>
                </c:pt>
                <c:pt idx="3">
                  <c:v>-6.7385080540885503E-2</c:v>
                </c:pt>
                <c:pt idx="4">
                  <c:v>-6.0458767440257251E-2</c:v>
                </c:pt>
                <c:pt idx="5">
                  <c:v>-5.3233173489529113E-2</c:v>
                </c:pt>
                <c:pt idx="6">
                  <c:v>-4.5715851133889665E-2</c:v>
                </c:pt>
                <c:pt idx="7">
                  <c:v>-3.7914634402346707E-2</c:v>
                </c:pt>
                <c:pt idx="8">
                  <c:v>-2.9837634711359879E-2</c:v>
                </c:pt>
                <c:pt idx="9">
                  <c:v>-2.1493236608067613E-2</c:v>
                </c:pt>
                <c:pt idx="10">
                  <c:v>-1.2890093441473911E-2</c:v>
                </c:pt>
                <c:pt idx="11">
                  <c:v>-4.0371229492320729E-3</c:v>
                </c:pt>
                <c:pt idx="12">
                  <c:v>5.0564972530474589E-3</c:v>
                </c:pt>
                <c:pt idx="13">
                  <c:v>1.4381334293733677E-2</c:v>
                </c:pt>
                <c:pt idx="14">
                  <c:v>2.3927704792799685E-2</c:v>
                </c:pt>
                <c:pt idx="15">
                  <c:v>3.3685679750233739E-2</c:v>
                </c:pt>
                <c:pt idx="16">
                  <c:v>4.364508959096846E-2</c:v>
                </c:pt>
                <c:pt idx="17">
                  <c:v>5.3795529382664083E-2</c:v>
                </c:pt>
                <c:pt idx="18">
                  <c:v>6.4126364243259612E-2</c:v>
                </c:pt>
                <c:pt idx="19">
                  <c:v>7.4626734955748203E-2</c:v>
                </c:pt>
                <c:pt idx="20">
                  <c:v>8.5285563808136663E-2</c:v>
                </c:pt>
                <c:pt idx="21">
                  <c:v>9.6091560677013924E-2</c:v>
                </c:pt>
                <c:pt idx="22">
                  <c:v>0.10703322937356294</c:v>
                </c:pt>
                <c:pt idx="23">
                  <c:v>0.11809887427121228</c:v>
                </c:pt>
                <c:pt idx="24">
                  <c:v>0.12927660723441833</c:v>
                </c:pt>
                <c:pt idx="25">
                  <c:v>0.14055435486829942</c:v>
                </c:pt>
                <c:pt idx="26">
                  <c:v>0.15191986610899436</c:v>
                </c:pt>
                <c:pt idx="27">
                  <c:v>0.16336072017468506</c:v>
                </c:pt>
                <c:pt idx="28">
                  <c:v>0.17486433489719963</c:v>
                </c:pt>
                <c:pt idx="29">
                  <c:v>0.18641797545398045</c:v>
                </c:pt>
                <c:pt idx="30">
                  <c:v>0.19800876351996599</c:v>
                </c:pt>
                <c:pt idx="31">
                  <c:v>0.20962368685857044</c:v>
                </c:pt>
                <c:pt idx="32">
                  <c:v>0.22124960937045302</c:v>
                </c:pt>
                <c:pt idx="33">
                  <c:v>0.23287328161813439</c:v>
                </c:pt>
                <c:pt idx="34">
                  <c:v>0.24448135184372816</c:v>
                </c:pt>
                <c:pt idx="35">
                  <c:v>0.25606037749610705</c:v>
                </c:pt>
                <c:pt idx="36">
                  <c:v>0.26759683728270073</c:v>
                </c:pt>
                <c:pt idx="37">
                  <c:v>0.2790771437598164</c:v>
                </c:pt>
                <c:pt idx="38">
                  <c:v>0.29048765647387947</c:v>
                </c:pt>
                <c:pt idx="39">
                  <c:v>0.30181469566429364</c:v>
                </c:pt>
                <c:pt idx="40">
                  <c:v>0.3130445565367182</c:v>
                </c:pt>
                <c:pt idx="41">
                  <c:v>0.3241635241134404</c:v>
                </c:pt>
                <c:pt idx="42">
                  <c:v>0.33515788866518509</c:v>
                </c:pt>
                <c:pt idx="43">
                  <c:v>0.34601396172614185</c:v>
                </c:pt>
                <c:pt idx="44">
                  <c:v>0.35671809269120025</c:v>
                </c:pt>
                <c:pt idx="45">
                  <c:v>0.36725668599137534</c:v>
                </c:pt>
                <c:pt idx="46">
                  <c:v>0.37761621884015967</c:v>
                </c:pt>
                <c:pt idx="47">
                  <c:v>0.38778325954008586</c:v>
                </c:pt>
                <c:pt idx="48">
                  <c:v>0.39774448633510717</c:v>
                </c:pt>
                <c:pt idx="49">
                  <c:v>0.40748670679052651</c:v>
                </c:pt>
                <c:pt idx="50">
                  <c:v>0.41699687767813942</c:v>
                </c:pt>
                <c:pt idx="51">
                  <c:v>0.42626212534000701</c:v>
                </c:pt>
                <c:pt idx="52">
                  <c:v>0.43526976649987886</c:v>
                </c:pt>
                <c:pt idx="53">
                  <c:v>0.44400732948674876</c:v>
                </c:pt>
                <c:pt idx="54">
                  <c:v>0.45246257583038296</c:v>
                </c:pt>
                <c:pt idx="55">
                  <c:v>0.46062352218394192</c:v>
                </c:pt>
                <c:pt idx="56">
                  <c:v>0.46847846252404957</c:v>
                </c:pt>
                <c:pt idx="57">
                  <c:v>0.47601599057388938</c:v>
                </c:pt>
                <c:pt idx="58">
                  <c:v>0.48322502239016768</c:v>
                </c:pt>
                <c:pt idx="59">
                  <c:v>0.49009481905011559</c:v>
                </c:pt>
                <c:pt idx="60">
                  <c:v>0.49661500937015668</c:v>
                </c:pt>
                <c:pt idx="61">
                  <c:v>0.50277561258349235</c:v>
                </c:pt>
                <c:pt idx="62">
                  <c:v>0.50856706089970072</c:v>
                </c:pt>
                <c:pt idx="63">
                  <c:v>0.51398022186556702</c:v>
                </c:pt>
                <c:pt idx="64">
                  <c:v>0.5190064204427991</c:v>
                </c:pt>
                <c:pt idx="65">
                  <c:v>0.52363746071511574</c:v>
                </c:pt>
                <c:pt idx="66">
                  <c:v>0.52786564713444284</c:v>
                </c:pt>
                <c:pt idx="67">
                  <c:v>0.5316838052136974</c:v>
                </c:pt>
                <c:pt idx="68">
                  <c:v>0.53508530157191869</c:v>
                </c:pt>
                <c:pt idx="69">
                  <c:v>0.53806406323635725</c:v>
                </c:pt>
                <c:pt idx="70">
                  <c:v>0.54061459610562634</c:v>
                </c:pt>
                <c:pt idx="71">
                  <c:v>0.54273200247816633</c:v>
                </c:pt>
                <c:pt idx="72">
                  <c:v>0.54441199755112457</c:v>
                </c:pt>
                <c:pt idx="73">
                  <c:v>0.54565092479633426</c:v>
                </c:pt>
                <c:pt idx="74">
                  <c:v>0.54644577012240036</c:v>
                </c:pt>
                <c:pt idx="75">
                  <c:v>0.54679417473499092</c:v>
                </c:pt>
                <c:pt idx="76">
                  <c:v>0.54669444661128774</c:v>
                </c:pt>
                <c:pt idx="77">
                  <c:v>0.5461455705091689</c:v>
                </c:pt>
                <c:pt idx="78">
                  <c:v>0.5451472164370621</c:v>
                </c:pt>
                <c:pt idx="79">
                  <c:v>0.5436997465165071</c:v>
                </c:pt>
                <c:pt idx="80">
                  <c:v>0.54180422017625063</c:v>
                </c:pt>
                <c:pt idx="81">
                  <c:v>0.53946239762414583</c:v>
                </c:pt>
                <c:pt idx="82">
                  <c:v>0.53667674155117373</c:v>
                </c:pt>
                <c:pt idx="83">
                  <c:v>0.53345041703048968</c:v>
                </c:pt>
                <c:pt idx="84">
                  <c:v>0.52978728958347121</c:v>
                </c:pt>
                <c:pt idx="85">
                  <c:v>0.5256919213941954</c:v>
                </c:pt>
                <c:pt idx="86">
                  <c:v>0.52116956566356565</c:v>
                </c:pt>
                <c:pt idx="87">
                  <c:v>0.5162261591043068</c:v>
                </c:pt>
                <c:pt idx="88">
                  <c:v>0.51086831258819909</c:v>
                </c:pt>
                <c:pt idx="89">
                  <c:v>0.50510329996710479</c:v>
                </c:pt>
                <c:pt idx="90">
                  <c:v>0.49893904509946529</c:v>
                </c:pt>
                <c:pt idx="91">
                  <c:v>0.49238410712392605</c:v>
                </c:pt>
                <c:pt idx="92">
                  <c:v>0.48544766403145861</c:v>
                </c:pt>
                <c:pt idx="93">
                  <c:v>0.47813949459672578</c:v>
                </c:pt>
                <c:pt idx="94">
                  <c:v>0.47046995873836583</c:v>
                </c:pt>
                <c:pt idx="95">
                  <c:v>0.46244997638628277</c:v>
                </c:pt>
                <c:pt idx="96">
                  <c:v>0.45409100494183008</c:v>
                </c:pt>
                <c:pt idx="97">
                  <c:v>0.44540501542390837</c:v>
                </c:pt>
                <c:pt idx="98">
                  <c:v>0.43640446740038086</c:v>
                </c:pt>
                <c:pt idx="99">
                  <c:v>0.42710228280980966</c:v>
                </c:pt>
                <c:pt idx="100">
                  <c:v>0.41751181878327215</c:v>
                </c:pt>
                <c:pt idx="101">
                  <c:v>0.40764683957990133</c:v>
                </c:pt>
                <c:pt idx="102">
                  <c:v>0.39752148775279256</c:v>
                </c:pt>
                <c:pt idx="103">
                  <c:v>0.3871502546640001</c:v>
                </c:pt>
                <c:pt idx="104">
                  <c:v>0.37654795046853845</c:v>
                </c:pt>
                <c:pt idx="105">
                  <c:v>0.36572967368758258</c:v>
                </c:pt>
                <c:pt idx="106">
                  <c:v>0.35471078049047966</c:v>
                </c:pt>
                <c:pt idx="107">
                  <c:v>0.34350685380374646</c:v>
                </c:pt>
                <c:pt idx="108">
                  <c:v>0.33213367236299068</c:v>
                </c:pt>
                <c:pt idx="109">
                  <c:v>0.32060717982068915</c:v>
                </c:pt>
                <c:pt idx="110">
                  <c:v>0.30894345401905149</c:v>
                </c:pt>
                <c:pt idx="111">
                  <c:v>0.29715867653284311</c:v>
                </c:pt>
                <c:pt idx="112">
                  <c:v>0.28526910258210353</c:v>
                </c:pt>
                <c:pt idx="113">
                  <c:v>0.27329103140924499</c:v>
                </c:pt>
                <c:pt idx="114">
                  <c:v>0.26124077720912509</c:v>
                </c:pt>
                <c:pt idx="115">
                  <c:v>0.24913464069441812</c:v>
                </c:pt>
                <c:pt idx="116">
                  <c:v>0.2369888813720521</c:v>
                </c:pt>
                <c:pt idx="117">
                  <c:v>0.22481969059969117</c:v>
                </c:pt>
                <c:pt idx="118">
                  <c:v>0.2126431654842966</c:v>
                </c:pt>
                <c:pt idx="119">
                  <c:v>0.20047528367778655</c:v>
                </c:pt>
                <c:pt idx="120">
                  <c:v>0.18833187911775284</c:v>
                </c:pt>
                <c:pt idx="121">
                  <c:v>0.17622861875420773</c:v>
                </c:pt>
                <c:pt idx="122">
                  <c:v>0.16418098029641984</c:v>
                </c:pt>
                <c:pt idx="123">
                  <c:v>0.15220423100714972</c:v>
                </c:pt>
                <c:pt idx="124">
                  <c:v>0.14031340756505861</c:v>
                </c:pt>
                <c:pt idx="125">
                  <c:v>0.12852329700973997</c:v>
                </c:pt>
                <c:pt idx="126">
                  <c:v>0.11684841877781971</c:v>
                </c:pt>
                <c:pt idx="127">
                  <c:v>0.10530300783283694</c:v>
                </c:pt>
                <c:pt idx="128">
                  <c:v>9.3900998886261425E-2</c:v>
                </c:pt>
                <c:pt idx="129">
                  <c:v>8.2656011701967916E-2</c:v>
                </c:pt>
                <c:pt idx="130">
                  <c:v>7.1581337471860101E-2</c:v>
                </c:pt>
                <c:pt idx="131">
                  <c:v>6.0689926246067574E-2</c:v>
                </c:pt>
                <c:pt idx="132">
                  <c:v>4.9994375397269836E-2</c:v>
                </c:pt>
                <c:pt idx="133">
                  <c:v>3.9506919095233788E-2</c:v>
                </c:pt>
                <c:pt idx="134">
                  <c:v>2.9239418764547293E-2</c:v>
                </c:pt>
                <c:pt idx="135">
                  <c:v>1.9203354495844621E-2</c:v>
                </c:pt>
                <c:pt idx="136">
                  <c:v>9.4098173784714183E-3</c:v>
                </c:pt>
                <c:pt idx="137">
                  <c:v>-1.3049727941236513E-4</c:v>
                </c:pt>
                <c:pt idx="138">
                  <c:v>-9.4072958789287852E-3</c:v>
                </c:pt>
                <c:pt idx="139">
                  <c:v>-1.8410691643685695E-2</c:v>
                </c:pt>
                <c:pt idx="140">
                  <c:v>-2.7131208955975976E-2</c:v>
                </c:pt>
                <c:pt idx="141">
                  <c:v>-3.5559786954534982E-2</c:v>
                </c:pt>
                <c:pt idx="142">
                  <c:v>-4.3687782432808381E-2</c:v>
                </c:pt>
                <c:pt idx="143">
                  <c:v>-5.1506972076838034E-2</c:v>
                </c:pt>
                <c:pt idx="144">
                  <c:v>-5.9009554081766794E-2</c:v>
                </c:pt>
                <c:pt idx="145">
                  <c:v>-6.6188149185667525E-2</c:v>
                </c:pt>
                <c:pt idx="146">
                  <c:v>-7.3035801158887928E-2</c:v>
                </c:pt>
                <c:pt idx="147">
                  <c:v>-7.9545976786437878E-2</c:v>
                </c:pt>
                <c:pt idx="148">
                  <c:v>-8.5712565380104716E-2</c:v>
                </c:pt>
                <c:pt idx="149">
                  <c:v>-9.1529877856022429E-2</c:v>
                </c:pt>
                <c:pt idx="150">
                  <c:v>-9.6992645412335599E-2</c:v>
                </c:pt>
                <c:pt idx="151">
                  <c:v>-0.10209601784040839</c:v>
                </c:pt>
                <c:pt idx="152">
                  <c:v>-0.1068355615017697</c:v>
                </c:pt>
                <c:pt idx="153">
                  <c:v>-0.11120725700163472</c:v>
                </c:pt>
                <c:pt idx="154">
                  <c:v>-0.11520749658846118</c:v>
                </c:pt>
                <c:pt idx="155">
                  <c:v>-0.11883308130754944</c:v>
                </c:pt>
                <c:pt idx="156">
                  <c:v>-0.12208121793523848</c:v>
                </c:pt>
                <c:pt idx="157">
                  <c:v>-0.12494951571875283</c:v>
                </c:pt>
                <c:pt idx="158">
                  <c:v>-0.12743598294526143</c:v>
                </c:pt>
                <c:pt idx="159">
                  <c:v>-0.12953902336220657</c:v>
                </c:pt>
                <c:pt idx="160">
                  <c:v>-0.13125743246946336</c:v>
                </c:pt>
                <c:pt idx="161">
                  <c:v>-0.1325903937024078</c:v>
                </c:pt>
                <c:pt idx="162">
                  <c:v>-0.13353747452350179</c:v>
                </c:pt>
                <c:pt idx="163">
                  <c:v>-0.13409862243856041</c:v>
                </c:pt>
                <c:pt idx="164">
                  <c:v>-0.13427416095244474</c:v>
                </c:pt>
                <c:pt idx="165">
                  <c:v>-0.13406478547753461</c:v>
                </c:pt>
                <c:pt idx="166">
                  <c:v>-0.13347155920697654</c:v>
                </c:pt>
                <c:pt idx="167">
                  <c:v>-0.13249590896337524</c:v>
                </c:pt>
                <c:pt idx="168">
                  <c:v>-0.13113962103230714</c:v>
                </c:pt>
                <c:pt idx="169">
                  <c:v>-0.12940483698877867</c:v>
                </c:pt>
                <c:pt idx="170">
                  <c:v>-0.12729404952352955</c:v>
                </c:pt>
                <c:pt idx="171">
                  <c:v>-0.12481009827490062</c:v>
                </c:pt>
                <c:pt idx="172">
                  <c:v>-0.1219561656708308</c:v>
                </c:pt>
                <c:pt idx="173">
                  <c:v>-0.11873577278443721</c:v>
                </c:pt>
                <c:pt idx="174">
                  <c:v>-0.11515277520554493</c:v>
                </c:pt>
                <c:pt idx="175">
                  <c:v>-0.11121135892948657</c:v>
                </c:pt>
                <c:pt idx="176">
                  <c:v>-0.10691603626346889</c:v>
                </c:pt>
                <c:pt idx="177">
                  <c:v>-0.10227164174981106</c:v>
                </c:pt>
                <c:pt idx="178">
                  <c:v>-9.7283328104400366E-2</c:v>
                </c:pt>
                <c:pt idx="179">
                  <c:v>-9.1956562167764863E-2</c:v>
                </c:pt>
                <c:pt idx="180">
                  <c:v>-8.629712086525658E-2</c:v>
                </c:pt>
              </c:numCache>
            </c:numRef>
          </c:xVal>
          <c:yVal>
            <c:numRef>
              <c:f>Samplespace!$V$11:$V$197</c:f>
              <c:numCache>
                <c:formatCode>General</c:formatCode>
                <c:ptCount val="187"/>
                <c:pt idx="0">
                  <c:v>4.9823665961845488E-2</c:v>
                </c:pt>
                <c:pt idx="1">
                  <c:v>5.9814664044993485E-2</c:v>
                </c:pt>
                <c:pt idx="2">
                  <c:v>6.9606393533641564E-2</c:v>
                </c:pt>
                <c:pt idx="3">
                  <c:v>7.9188325399791884E-2</c:v>
                </c:pt>
                <c:pt idx="4">
                  <c:v>8.8550118978297537E-2</c:v>
                </c:pt>
                <c:pt idx="5">
                  <c:v>9.768162898576864E-2</c:v>
                </c:pt>
                <c:pt idx="6">
                  <c:v>0.1065729125673235</c:v>
                </c:pt>
                <c:pt idx="7">
                  <c:v>0.115214236380645</c:v>
                </c:pt>
                <c:pt idx="8">
                  <c:v>0.12359608372619224</c:v>
                </c:pt>
                <c:pt idx="9">
                  <c:v>0.13170916173177091</c:v>
                </c:pt>
                <c:pt idx="10">
                  <c:v>0.13954440859898035</c:v>
                </c:pt>
                <c:pt idx="11">
                  <c:v>0.14709300091833127</c:v>
                </c:pt>
                <c:pt idx="12">
                  <c:v>0.15434636105905972</c:v>
                </c:pt>
                <c:pt idx="13">
                  <c:v>0.16129616463885091</c:v>
                </c:pt>
                <c:pt idx="14">
                  <c:v>0.16793434807782689</c:v>
                </c:pt>
                <c:pt idx="15">
                  <c:v>0.17425311624024115</c:v>
                </c:pt>
                <c:pt idx="16">
                  <c:v>0.18024495016636127</c:v>
                </c:pt>
                <c:pt idx="17">
                  <c:v>0.18590261489600132</c:v>
                </c:pt>
                <c:pt idx="18">
                  <c:v>0.19121916738409114</c:v>
                </c:pt>
                <c:pt idx="19">
                  <c:v>0.19618796450753143</c:v>
                </c:pt>
                <c:pt idx="20">
                  <c:v>0.20080267116138445</c:v>
                </c:pt>
                <c:pt idx="21">
                  <c:v>0.20505726844118782</c:v>
                </c:pt>
                <c:pt idx="22">
                  <c:v>0.20894606190684423</c:v>
                </c:pt>
                <c:pt idx="23">
                  <c:v>0.21246368992214698</c:v>
                </c:pt>
                <c:pt idx="24">
                  <c:v>0.21560513206252785</c:v>
                </c:pt>
                <c:pt idx="25">
                  <c:v>0.21836571758207976</c:v>
                </c:pt>
                <c:pt idx="26">
                  <c:v>0.22074113392930192</c:v>
                </c:pt>
                <c:pt idx="27">
                  <c:v>0.22272743529933325</c:v>
                </c:pt>
                <c:pt idx="28">
                  <c:v>0.22432105120870638</c:v>
                </c:pt>
                <c:pt idx="29">
                  <c:v>0.22551879507683817</c:v>
                </c:pt>
                <c:pt idx="30">
                  <c:v>0.22631787279660934</c:v>
                </c:pt>
                <c:pt idx="31">
                  <c:v>0.22671589127445405</c:v>
                </c:pt>
                <c:pt idx="32">
                  <c:v>0.22671086691840459</c:v>
                </c:pt>
                <c:pt idx="33">
                  <c:v>0.22630123405050509</c:v>
                </c:pt>
                <c:pt idx="34">
                  <c:v>0.22548585321794823</c:v>
                </c:pt>
                <c:pt idx="35">
                  <c:v>0.2242640193751913</c:v>
                </c:pt>
                <c:pt idx="36">
                  <c:v>0.22263546990719577</c:v>
                </c:pt>
                <c:pt idx="37">
                  <c:v>0.22060039246181212</c:v>
                </c:pt>
                <c:pt idx="38">
                  <c:v>0.21815943255721768</c:v>
                </c:pt>
                <c:pt idx="39">
                  <c:v>0.21531370092821825</c:v>
                </c:pt>
                <c:pt idx="40">
                  <c:v>0.21206478057316716</c:v>
                </c:pt>
                <c:pt idx="41">
                  <c:v>0.20841473346125117</c:v>
                </c:pt>
                <c:pt idx="42">
                  <c:v>0.20436610685796372</c:v>
                </c:pt>
                <c:pt idx="43">
                  <c:v>0.19992193922475165</c:v>
                </c:pt>
                <c:pt idx="44">
                  <c:v>0.19508576564710325</c:v>
                </c:pt>
                <c:pt idx="45">
                  <c:v>0.18986162274377144</c:v>
                </c:pt>
                <c:pt idx="46">
                  <c:v>0.18425405300841596</c:v>
                </c:pt>
                <c:pt idx="47">
                  <c:v>0.17826810853372757</c:v>
                </c:pt>
                <c:pt idx="48">
                  <c:v>0.17190935406710195</c:v>
                </c:pt>
                <c:pt idx="49">
                  <c:v>0.16518386934617382</c:v>
                </c:pt>
                <c:pt idx="50">
                  <c:v>0.15809825066204386</c:v>
                </c:pt>
                <c:pt idx="51">
                  <c:v>0.15065961159785154</c:v>
                </c:pt>
                <c:pt idx="52">
                  <c:v>0.14287558289049543</c:v>
                </c:pt>
                <c:pt idx="53">
                  <c:v>0.13475431136381022</c:v>
                </c:pt>
                <c:pt idx="54">
                  <c:v>0.12630445788239086</c:v>
                </c:pt>
                <c:pt idx="55">
                  <c:v>0.11753519427654956</c:v>
                </c:pt>
                <c:pt idx="56">
                  <c:v>0.10845619919060202</c:v>
                </c:pt>
                <c:pt idx="57">
                  <c:v>9.9077652808845937E-2</c:v>
                </c:pt>
                <c:pt idx="58">
                  <c:v>8.941023041621747E-2</c:v>
                </c:pt>
                <c:pt idx="59">
                  <c:v>7.9465094753709969E-2</c:v>
                </c:pt>
                <c:pt idx="60">
                  <c:v>6.9253887132223871E-2</c:v>
                </c:pt>
                <c:pt idx="61">
                  <c:v>5.87887172725855E-2</c:v>
                </c:pt>
                <c:pt idx="62">
                  <c:v>4.8082151844033784E-2</c:v>
                </c:pt>
                <c:pt idx="63">
                  <c:v>3.7147201678509018E-2</c:v>
                </c:pt>
                <c:pt idx="64">
                  <c:v>2.5997307643589304E-2</c:v>
                </c:pt>
                <c:pt idx="65">
                  <c:v>1.4646325162878652E-2</c:v>
                </c:pt>
                <c:pt idx="66">
                  <c:v>3.1085073790360481E-3</c:v>
                </c:pt>
                <c:pt idx="67">
                  <c:v>-8.6015130385830706E-3</c:v>
                </c:pt>
                <c:pt idx="68">
                  <c:v>-2.0468743432561182E-2</c:v>
                </c:pt>
                <c:pt idx="69">
                  <c:v>-3.247785202576467E-2</c:v>
                </c:pt>
                <c:pt idx="70">
                  <c:v>-4.4613190095119569E-2</c:v>
                </c:pt>
                <c:pt idx="71">
                  <c:v>-5.6858815418608787E-2</c:v>
                </c:pt>
                <c:pt idx="72">
                  <c:v>-6.9198516955219128E-2</c:v>
                </c:pt>
                <c:pt idx="73">
                  <c:v>-8.1615840709416548E-2</c:v>
                </c:pt>
                <c:pt idx="74">
                  <c:v>-9.4094116723580729E-2</c:v>
                </c:pt>
                <c:pt idx="75">
                  <c:v>-0.10661648713375303</c:v>
                </c:pt>
                <c:pt idx="76">
                  <c:v>-0.11916593521612431</c:v>
                </c:pt>
                <c:pt idx="77">
                  <c:v>-0.13172531534399459</c:v>
                </c:pt>
                <c:pt idx="78">
                  <c:v>-0.14427738376755717</c:v>
                </c:pt>
                <c:pt idx="79">
                  <c:v>-0.15680483012187535</c:v>
                </c:pt>
                <c:pt idx="80">
                  <c:v>-0.16929030956191082</c:v>
                </c:pt>
                <c:pt idx="81">
                  <c:v>-0.18171647541751257</c:v>
                </c:pt>
                <c:pt idx="82">
                  <c:v>-0.19406601225594855</c:v>
                </c:pt>
                <c:pt idx="83">
                  <c:v>-0.20632166923493414</c:v>
                </c:pt>
                <c:pt idx="84">
                  <c:v>-0.21846629362524703</c:v>
                </c:pt>
                <c:pt idx="85">
                  <c:v>-0.23048286437896226</c:v>
                </c:pt>
                <c:pt idx="86">
                  <c:v>-0.24235452561715515</c:v>
                </c:pt>
                <c:pt idx="87">
                  <c:v>-0.25406461990962415</c:v>
                </c:pt>
                <c:pt idx="88">
                  <c:v>-0.26559672121882838</c:v>
                </c:pt>
                <c:pt idx="89">
                  <c:v>-0.27693466738080796</c:v>
                </c:pt>
                <c:pt idx="90">
                  <c:v>-0.28806259199739082</c:v>
                </c:pt>
                <c:pt idx="91">
                  <c:v>-0.29896495561645992</c:v>
                </c:pt>
                <c:pt idx="92">
                  <c:v>-0.30962657608045524</c:v>
                </c:pt>
                <c:pt idx="93">
                  <c:v>-0.32003265792758462</c:v>
                </c:pt>
                <c:pt idx="94">
                  <c:v>-0.33016882073537207</c:v>
                </c:pt>
                <c:pt idx="95">
                  <c:v>-0.34002112630214404</c:v>
                </c:pt>
                <c:pt idx="96">
                  <c:v>-0.3495761045687652</c:v>
                </c:pt>
                <c:pt idx="97">
                  <c:v>-0.35882077819033953</c:v>
                </c:pt>
                <c:pt idx="98">
                  <c:v>-0.36774268567559731</c:v>
                </c:pt>
                <c:pt idx="99">
                  <c:v>-0.37632990302021568</c:v>
                </c:pt>
                <c:pt idx="100">
                  <c:v>-0.38457106376929462</c:v>
                </c:pt>
                <c:pt idx="101">
                  <c:v>-0.39245537745351694</c:v>
                </c:pt>
                <c:pt idx="102">
                  <c:v>-0.3999726463530906</c:v>
                </c:pt>
                <c:pt idx="103">
                  <c:v>-0.40711328055328794</c:v>
                </c:pt>
                <c:pt idx="104">
                  <c:v>-0.4138683112651883</c:v>
                </c:pt>
                <c:pt idx="105">
                  <c:v>-0.42022940239497258</c:v>
                </c:pt>
                <c:pt idx="106">
                  <c:v>-0.42618886035475967</c:v>
                </c:pt>
                <c:pt idx="107">
                  <c:v>-0.43173964211738924</c:v>
                </c:pt>
                <c:pt idx="108">
                  <c:v>-0.43687536152669559</c:v>
                </c:pt>
                <c:pt idx="109">
                  <c:v>-0.44159029388358628</c:v>
                </c:pt>
                <c:pt idx="110">
                  <c:v>-0.44587937883657636</c:v>
                </c:pt>
                <c:pt idx="111">
                  <c:v>-0.44973822161327948</c:v>
                </c:pt>
                <c:pt idx="112">
                  <c:v>-0.45316309263665833</c:v>
                </c:pt>
                <c:pt idx="113">
                  <c:v>-0.45615092557654741</c:v>
                </c:pt>
                <c:pt idx="114">
                  <c:v>-0.45869931389305768</c:v>
                </c:pt>
                <c:pt idx="115">
                  <c:v>-0.46080650593390537</c:v>
                </c:pt>
                <c:pt idx="116">
                  <c:v>-0.46247139865248565</c:v>
                </c:pt>
                <c:pt idx="117">
                  <c:v>-0.46369353001759744</c:v>
                </c:pt>
                <c:pt idx="118">
                  <c:v>-0.46447307018914524</c:v>
                </c:pt>
                <c:pt idx="119">
                  <c:v>-0.46481081153688003</c:v>
                </c:pt>
                <c:pt idx="120">
                  <c:v>-0.46470815758131456</c:v>
                </c:pt>
                <c:pt idx="121">
                  <c:v>-0.4641671109373926</c:v>
                </c:pt>
                <c:pt idx="122">
                  <c:v>-0.46319026034229804</c:v>
                </c:pt>
                <c:pt idx="123">
                  <c:v>-0.46178076684902497</c:v>
                </c:pt>
                <c:pt idx="124">
                  <c:v>-0.45994234926700395</c:v>
                </c:pt>
                <c:pt idx="125">
                  <c:v>-0.45767926893023325</c:v>
                </c:pt>
                <c:pt idx="126">
                  <c:v>-0.45499631387204992</c:v>
                </c:pt>
                <c:pt idx="127">
                  <c:v>-0.45189878248391691</c:v>
                </c:pt>
                <c:pt idx="128">
                  <c:v>-0.4483924667334635</c:v>
                </c:pt>
                <c:pt idx="129">
                  <c:v>-0.44448363501451832</c:v>
                </c:pt>
                <c:pt idx="130">
                  <c:v>-0.44017901469908277</c:v>
                </c:pt>
                <c:pt idx="131">
                  <c:v>-0.43548577445814374</c:v>
                </c:pt>
                <c:pt idx="132">
                  <c:v>-0.43041150641494624</c:v>
                </c:pt>
                <c:pt idx="133">
                  <c:v>-0.42496420819091246</c:v>
                </c:pt>
                <c:pt idx="134">
                  <c:v>-0.4191522649008102</c:v>
                </c:pt>
                <c:pt idx="135">
                  <c:v>-0.41298443115010136</c:v>
                </c:pt>
                <c:pt idx="136">
                  <c:v>-0.40646981308366315</c:v>
                </c:pt>
                <c:pt idx="137">
                  <c:v>-0.39961785053131116</c:v>
                </c:pt>
                <c:pt idx="138">
                  <c:v>-0.39243829929178886</c:v>
                </c:pt>
                <c:pt idx="139">
                  <c:v>-0.38494121359315447</c:v>
                </c:pt>
                <c:pt idx="140">
                  <c:v>-0.3771369287638156</c:v>
                </c:pt>
                <c:pt idx="141">
                  <c:v>-0.36903604414485652</c:v>
                </c:pt>
                <c:pt idx="142">
                  <c:v>-0.36064940627079567</c:v>
                </c:pt>
                <c:pt idx="143">
                  <c:v>-0.35198809234250888</c:v>
                </c:pt>
                <c:pt idx="144">
                  <c:v>-0.34306339401278757</c:v>
                </c:pt>
                <c:pt idx="145">
                  <c:v>-0.33388680150185757</c:v>
                </c:pt>
                <c:pt idx="146">
                  <c:v>-0.32446998805720428</c:v>
                </c:pt>
                <c:pt idx="147">
                  <c:v>-0.31482479476920483</c:v>
                </c:pt>
                <c:pt idx="148">
                  <c:v>-0.30496321575139829</c:v>
                </c:pt>
                <c:pt idx="149">
                  <c:v>-0.29489738369170337</c:v>
                </c:pt>
                <c:pt idx="150">
                  <c:v>-0.28463955577854072</c:v>
                </c:pt>
                <c:pt idx="151">
                  <c:v>-0.27420210000363027</c:v>
                </c:pt>
                <c:pt idx="152">
                  <c:v>-0.2635974818411978</c:v>
                </c:pt>
                <c:pt idx="153">
                  <c:v>-0.25283825130146509</c:v>
                </c:pt>
                <c:pt idx="154">
                  <c:v>-0.24193703035457056</c:v>
                </c:pt>
                <c:pt idx="155">
                  <c:v>-0.23090650071952032</c:v>
                </c:pt>
                <c:pt idx="156">
                  <c:v>-0.2197593920113336</c:v>
                </c:pt>
                <c:pt idx="157">
                  <c:v>-0.20850847023828786</c:v>
                </c:pt>
                <c:pt idx="158">
                  <c:v>-0.19716652664001463</c:v>
                </c:pt>
                <c:pt idx="159">
                  <c:v>-0.18574636685618184</c:v>
                </c:pt>
                <c:pt idx="160">
                  <c:v>-0.17426080041461753</c:v>
                </c:pt>
                <c:pt idx="161">
                  <c:v>-0.16272263052693187</c:v>
                </c:pt>
                <c:pt idx="162">
                  <c:v>-0.15114464417904264</c:v>
                </c:pt>
                <c:pt idx="163">
                  <c:v>-0.13953960250341993</c:v>
                </c:pt>
                <c:pt idx="164">
                  <c:v>-0.12792023141940723</c:v>
                </c:pt>
                <c:pt idx="165">
                  <c:v>-0.11629921252757033</c:v>
                </c:pt>
                <c:pt idx="166">
                  <c:v>-0.10468917424373275</c:v>
                </c:pt>
                <c:pt idx="167">
                  <c:v>-9.3102683158115387E-2</c:v>
                </c:pt>
                <c:pt idx="168">
                  <c:v>-8.1552235604835238E-2</c:v>
                </c:pt>
                <c:pt idx="169">
                  <c:v>-7.0050249426929709E-2</c:v>
                </c:pt>
                <c:pt idx="170">
                  <c:v>-5.8609055922018642E-2</c:v>
                </c:pt>
                <c:pt idx="171">
                  <c:v>-4.7240891953749378E-2</c:v>
                </c:pt>
                <c:pt idx="172">
                  <c:v>-3.5957892214218128E-2</c:v>
                </c:pt>
                <c:pt idx="173">
                  <c:v>-2.4772081622690959E-2</c:v>
                </c:pt>
                <c:pt idx="174">
                  <c:v>-1.3695367846085924E-2</c:v>
                </c:pt>
                <c:pt idx="175">
                  <c:v>-2.7395339268878926E-3</c:v>
                </c:pt>
                <c:pt idx="176">
                  <c:v>8.083768995609265E-3</c:v>
                </c:pt>
                <c:pt idx="177">
                  <c:v>1.8763028884571278E-2</c:v>
                </c:pt>
                <c:pt idx="178">
                  <c:v>2.9286879938931257E-2</c:v>
                </c:pt>
                <c:pt idx="179">
                  <c:v>3.964410967394779E-2</c:v>
                </c:pt>
                <c:pt idx="180">
                  <c:v>4.9823665961845412E-2</c:v>
                </c:pt>
              </c:numCache>
            </c:numRef>
          </c:yVal>
        </c:ser>
        <c:ser>
          <c:idx val="11"/>
          <c:order val="11"/>
          <c:spPr>
            <a:ln>
              <a:noFill/>
            </a:ln>
          </c:spPr>
          <c:marker>
            <c:symbol val="circle"/>
            <c:size val="2"/>
            <c:spPr>
              <a:solidFill>
                <a:srgbClr val="00B050">
                  <a:alpha val="20000"/>
                </a:srgbClr>
              </a:solidFill>
              <a:ln w="0">
                <a:solidFill>
                  <a:srgbClr val="00B050">
                    <a:alpha val="20000"/>
                  </a:srgbClr>
                </a:solidFill>
              </a:ln>
            </c:spPr>
          </c:marker>
          <c:xVal>
            <c:numRef>
              <c:f>Samplespace!$X$11:$X$32010</c:f>
              <c:numCache>
                <c:formatCode>General</c:formatCode>
                <c:ptCount val="32000"/>
              </c:numCache>
            </c:numRef>
          </c:xVal>
          <c:yVal>
            <c:numRef>
              <c:f>Samplespace!$Y$11:$Y$32010</c:f>
              <c:numCache>
                <c:formatCode>General</c:formatCode>
                <c:ptCount val="32000"/>
              </c:numCache>
            </c:numRef>
          </c:yVal>
          <c:smooth val="1"/>
        </c:ser>
        <c:ser>
          <c:idx val="12"/>
          <c:order val="12"/>
          <c:spPr>
            <a:ln w="254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Samplespace!$AA$11:$AA$37</c:f>
              <c:numCache>
                <c:formatCode>General</c:formatCode>
                <c:ptCount val="27"/>
              </c:numCache>
            </c:numRef>
          </c:xVal>
          <c:yVal>
            <c:numRef>
              <c:f>Samplespace!$AB$11:$AB$37</c:f>
              <c:numCache>
                <c:formatCode>General</c:formatCode>
                <c:ptCount val="27"/>
              </c:numCache>
            </c:numRef>
          </c:yVal>
          <c:smooth val="1"/>
        </c:ser>
        <c:ser>
          <c:idx val="13"/>
          <c:order val="13"/>
          <c:spPr>
            <a:ln w="25400">
              <a:solidFill>
                <a:srgbClr val="2C5DEC"/>
              </a:solidFill>
            </a:ln>
          </c:spPr>
          <c:marker>
            <c:symbol val="none"/>
          </c:marker>
          <c:xVal>
            <c:numRef>
              <c:f>Samplespace!$AA$41:$AA$87</c:f>
              <c:numCache>
                <c:formatCode>General</c:formatCode>
                <c:ptCount val="47"/>
              </c:numCache>
            </c:numRef>
          </c:xVal>
          <c:yVal>
            <c:numRef>
              <c:f>Samplespace!$AB$41:$AB$87</c:f>
              <c:numCache>
                <c:formatCode>General</c:formatCode>
                <c:ptCount val="47"/>
              </c:numCache>
            </c:numRef>
          </c:yVal>
        </c:ser>
        <c:ser>
          <c:idx val="14"/>
          <c:order val="14"/>
          <c:spPr>
            <a:ln w="12700">
              <a:solidFill>
                <a:srgbClr val="FFC000"/>
              </a:solidFill>
              <a:prstDash val="dash"/>
            </a:ln>
          </c:spPr>
          <c:marker>
            <c:symbol val="none"/>
          </c:marker>
          <c:xVal>
            <c:numRef>
              <c:f>Samplespace!$AA$101:$AA$141</c:f>
              <c:numCache>
                <c:formatCode>General</c:formatCode>
                <c:ptCount val="41"/>
              </c:numCache>
            </c:numRef>
          </c:xVal>
          <c:yVal>
            <c:numRef>
              <c:f>Samplespace!$AB$101:$AB$141</c:f>
              <c:numCache>
                <c:formatCode>General</c:formatCode>
                <c:ptCount val="41"/>
              </c:numCache>
            </c:numRef>
          </c:yVal>
          <c:smooth val="1"/>
        </c:ser>
        <c:ser>
          <c:idx val="15"/>
          <c:order val="15"/>
          <c:spPr>
            <a:ln w="25400">
              <a:solidFill>
                <a:srgbClr val="FFC000"/>
              </a:solidFill>
              <a:prstDash val="solid"/>
            </a:ln>
          </c:spPr>
          <c:marker>
            <c:symbol val="none"/>
          </c:marker>
          <c:xVal>
            <c:numRef>
              <c:f>Samplespace!$AA$151:$AA$191</c:f>
              <c:numCache>
                <c:formatCode>General</c:formatCode>
                <c:ptCount val="41"/>
              </c:numCache>
            </c:numRef>
          </c:xVal>
          <c:yVal>
            <c:numRef>
              <c:f>Samplespace!$AB$151:$AB$191</c:f>
              <c:numCache>
                <c:formatCode>General</c:formatCode>
                <c:ptCount val="41"/>
              </c:numCache>
            </c:numRef>
          </c:yVal>
          <c:smooth val="1"/>
        </c:ser>
        <c:ser>
          <c:idx val="16"/>
          <c:order val="16"/>
          <c:spPr>
            <a:ln w="12700">
              <a:solidFill>
                <a:srgbClr val="7030A0"/>
              </a:solidFill>
              <a:prstDash val="dash"/>
            </a:ln>
          </c:spPr>
          <c:marker>
            <c:symbol val="none"/>
          </c:marker>
          <c:xVal>
            <c:numRef>
              <c:f>Samplespace!$AA$201:$AA$226</c:f>
              <c:numCache>
                <c:formatCode>General</c:formatCode>
                <c:ptCount val="26"/>
              </c:numCache>
            </c:numRef>
          </c:xVal>
          <c:yVal>
            <c:numRef>
              <c:f>Samplespace!$AB$201:$AB$226</c:f>
              <c:numCache>
                <c:formatCode>General</c:formatCode>
                <c:ptCount val="26"/>
              </c:numCache>
            </c:numRef>
          </c:yVal>
          <c:smooth val="1"/>
        </c:ser>
        <c:ser>
          <c:idx val="17"/>
          <c:order val="17"/>
          <c:spPr>
            <a:ln w="25400">
              <a:solidFill>
                <a:srgbClr val="7030A0"/>
              </a:solidFill>
              <a:prstDash val="solid"/>
            </a:ln>
          </c:spPr>
          <c:marker>
            <c:symbol val="none"/>
          </c:marker>
          <c:xVal>
            <c:numRef>
              <c:f>Samplespace!$AA$231:$AA$258</c:f>
              <c:numCache>
                <c:formatCode>General</c:formatCode>
                <c:ptCount val="28"/>
              </c:numCache>
            </c:numRef>
          </c:xVal>
          <c:yVal>
            <c:numRef>
              <c:f>Samplespace!$AB$231:$AB$258</c:f>
              <c:numCache>
                <c:formatCode>General</c:formatCode>
                <c:ptCount val="28"/>
              </c:numCache>
            </c:numRef>
          </c:yVal>
          <c:smooth val="1"/>
        </c:ser>
        <c:ser>
          <c:idx val="18"/>
          <c:order val="18"/>
          <c:spPr>
            <a:ln w="635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Samplespace!$AD$11:$AD$640</c:f>
              <c:numCache>
                <c:formatCode>General</c:formatCode>
                <c:ptCount val="630"/>
              </c:numCache>
            </c:numRef>
          </c:xVal>
          <c:yVal>
            <c:numRef>
              <c:f>Samplespace!$AE$11:$AE$640</c:f>
              <c:numCache>
                <c:formatCode>General</c:formatCode>
                <c:ptCount val="630"/>
              </c:numCache>
            </c:numRef>
          </c:yVal>
        </c:ser>
        <c:axId val="260862720"/>
        <c:axId val="260864256"/>
      </c:scatterChart>
      <c:valAx>
        <c:axId val="260862720"/>
        <c:scaling>
          <c:orientation val="minMax"/>
          <c:max val="1"/>
          <c:min val="-1"/>
        </c:scaling>
        <c:delete val="1"/>
        <c:axPos val="b"/>
        <c:numFmt formatCode="General" sourceLinked="1"/>
        <c:tickLblPos val="none"/>
        <c:crossAx val="260864256"/>
        <c:crosses val="autoZero"/>
        <c:crossBetween val="midCat"/>
      </c:valAx>
      <c:valAx>
        <c:axId val="260864256"/>
        <c:scaling>
          <c:orientation val="minMax"/>
          <c:max val="1"/>
          <c:min val="-1"/>
        </c:scaling>
        <c:delete val="1"/>
        <c:axPos val="l"/>
        <c:numFmt formatCode="General" sourceLinked="1"/>
        <c:tickLblPos val="none"/>
        <c:crossAx val="260862720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888" r="0.75000000000000888" t="1" header="0.5" footer="0.5"/>
    <c:pageSetup paperSize="9" orientation="landscape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sv-SE"/>
  <c:chart>
    <c:plotArea>
      <c:layout>
        <c:manualLayout>
          <c:layoutTarget val="inner"/>
          <c:xMode val="edge"/>
          <c:yMode val="edge"/>
          <c:x val="4.5673024735021592E-2"/>
          <c:y val="4.4068224506695342E-2"/>
          <c:w val="0.9086538461538578"/>
          <c:h val="0.9086538461538578"/>
        </c:manualLayout>
      </c:layout>
      <c:scatterChart>
        <c:scatterStyle val="smoothMarker"/>
        <c:ser>
          <c:idx val="0"/>
          <c:order val="0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stereo_Cirklar_streck!$B$4:$B$184</c:f>
              <c:numCache>
                <c:formatCode>General</c:formatCode>
                <c:ptCount val="181"/>
                <c:pt idx="0">
                  <c:v>1</c:v>
                </c:pt>
                <c:pt idx="1">
                  <c:v>0.99939082701909576</c:v>
                </c:pt>
                <c:pt idx="2">
                  <c:v>0.9975640502598242</c:v>
                </c:pt>
                <c:pt idx="3">
                  <c:v>0.99452189536827329</c:v>
                </c:pt>
                <c:pt idx="4">
                  <c:v>0.99026806874157036</c:v>
                </c:pt>
                <c:pt idx="5">
                  <c:v>0.98480775301220802</c:v>
                </c:pt>
                <c:pt idx="6">
                  <c:v>0.97814760073380569</c:v>
                </c:pt>
                <c:pt idx="7">
                  <c:v>0.97029572627599647</c:v>
                </c:pt>
                <c:pt idx="8">
                  <c:v>0.96126169593831889</c:v>
                </c:pt>
                <c:pt idx="9">
                  <c:v>0.95105651629515353</c:v>
                </c:pt>
                <c:pt idx="10">
                  <c:v>0.93969262078590843</c:v>
                </c:pt>
                <c:pt idx="11">
                  <c:v>0.92718385456678742</c:v>
                </c:pt>
                <c:pt idx="12">
                  <c:v>0.91354545764260087</c:v>
                </c:pt>
                <c:pt idx="13">
                  <c:v>0.89879404629916704</c:v>
                </c:pt>
                <c:pt idx="14">
                  <c:v>0.88294759285892699</c:v>
                </c:pt>
                <c:pt idx="15">
                  <c:v>0.86602540378443871</c:v>
                </c:pt>
                <c:pt idx="16">
                  <c:v>0.84804809615642596</c:v>
                </c:pt>
                <c:pt idx="17">
                  <c:v>0.82903757255504162</c:v>
                </c:pt>
                <c:pt idx="18">
                  <c:v>0.80901699437494745</c:v>
                </c:pt>
                <c:pt idx="19">
                  <c:v>0.78801075360672201</c:v>
                </c:pt>
                <c:pt idx="20">
                  <c:v>0.76604444311897801</c:v>
                </c:pt>
                <c:pt idx="21">
                  <c:v>0.74314482547739424</c:v>
                </c:pt>
                <c:pt idx="22">
                  <c:v>0.71933980033865119</c:v>
                </c:pt>
                <c:pt idx="23">
                  <c:v>0.69465837045899737</c:v>
                </c:pt>
                <c:pt idx="24">
                  <c:v>0.66913060635885824</c:v>
                </c:pt>
                <c:pt idx="25">
                  <c:v>0.64278760968653936</c:v>
                </c:pt>
                <c:pt idx="26">
                  <c:v>0.61566147532565829</c:v>
                </c:pt>
                <c:pt idx="27">
                  <c:v>0.58778525229247314</c:v>
                </c:pt>
                <c:pt idx="28">
                  <c:v>0.55919290347074679</c:v>
                </c:pt>
                <c:pt idx="29">
                  <c:v>0.5299192642332049</c:v>
                </c:pt>
                <c:pt idx="30">
                  <c:v>0.5</c:v>
                </c:pt>
                <c:pt idx="31">
                  <c:v>0.46947156278589086</c:v>
                </c:pt>
                <c:pt idx="32">
                  <c:v>0.43837114678907746</c:v>
                </c:pt>
                <c:pt idx="33">
                  <c:v>0.40673664307580021</c:v>
                </c:pt>
                <c:pt idx="34">
                  <c:v>0.37460659341591196</c:v>
                </c:pt>
                <c:pt idx="35">
                  <c:v>0.34202014332566882</c:v>
                </c:pt>
                <c:pt idx="36">
                  <c:v>0.30901699437494745</c:v>
                </c:pt>
                <c:pt idx="37">
                  <c:v>0.27563735581699916</c:v>
                </c:pt>
                <c:pt idx="38">
                  <c:v>0.2419218955996679</c:v>
                </c:pt>
                <c:pt idx="39">
                  <c:v>0.20791169081775945</c:v>
                </c:pt>
                <c:pt idx="40">
                  <c:v>0.17364817766693041</c:v>
                </c:pt>
                <c:pt idx="41">
                  <c:v>0.13917310096006569</c:v>
                </c:pt>
                <c:pt idx="42">
                  <c:v>0.10452846326765346</c:v>
                </c:pt>
                <c:pt idx="43">
                  <c:v>6.9756473744125455E-2</c:v>
                </c:pt>
                <c:pt idx="44">
                  <c:v>3.489949670250108E-2</c:v>
                </c:pt>
                <c:pt idx="45">
                  <c:v>6.1257422745431001E-17</c:v>
                </c:pt>
                <c:pt idx="46">
                  <c:v>-3.4899496702500733E-2</c:v>
                </c:pt>
                <c:pt idx="47">
                  <c:v>-6.975647374412533E-2</c:v>
                </c:pt>
                <c:pt idx="48">
                  <c:v>-0.10452846326765333</c:v>
                </c:pt>
                <c:pt idx="49">
                  <c:v>-0.13917310096006535</c:v>
                </c:pt>
                <c:pt idx="50">
                  <c:v>-0.1736481776669303</c:v>
                </c:pt>
                <c:pt idx="51">
                  <c:v>-0.20791169081775912</c:v>
                </c:pt>
                <c:pt idx="52">
                  <c:v>-0.24192189559966779</c:v>
                </c:pt>
                <c:pt idx="53">
                  <c:v>-0.27563735581699905</c:v>
                </c:pt>
                <c:pt idx="54">
                  <c:v>-0.30901699437494734</c:v>
                </c:pt>
                <c:pt idx="55">
                  <c:v>-0.34202014332566871</c:v>
                </c:pt>
                <c:pt idx="56">
                  <c:v>-0.37460659341591207</c:v>
                </c:pt>
                <c:pt idx="57">
                  <c:v>-0.40673664307580004</c:v>
                </c:pt>
                <c:pt idx="58">
                  <c:v>-0.43837114678907751</c:v>
                </c:pt>
                <c:pt idx="59">
                  <c:v>-0.46947156278589053</c:v>
                </c:pt>
                <c:pt idx="60">
                  <c:v>-0.5</c:v>
                </c:pt>
                <c:pt idx="61">
                  <c:v>-0.52991926423320479</c:v>
                </c:pt>
                <c:pt idx="62">
                  <c:v>-0.55919290347074668</c:v>
                </c:pt>
                <c:pt idx="63">
                  <c:v>-0.58778525229247303</c:v>
                </c:pt>
                <c:pt idx="64">
                  <c:v>-0.61566147532565829</c:v>
                </c:pt>
                <c:pt idx="65">
                  <c:v>-0.64278760968653936</c:v>
                </c:pt>
                <c:pt idx="66">
                  <c:v>-0.66913060635885824</c:v>
                </c:pt>
                <c:pt idx="67">
                  <c:v>-0.69465837045899703</c:v>
                </c:pt>
                <c:pt idx="68">
                  <c:v>-0.71933980033865119</c:v>
                </c:pt>
                <c:pt idx="69">
                  <c:v>-0.74314482547739402</c:v>
                </c:pt>
                <c:pt idx="70">
                  <c:v>-0.7660444431189779</c:v>
                </c:pt>
                <c:pt idx="71">
                  <c:v>-0.7880107536067219</c:v>
                </c:pt>
                <c:pt idx="72">
                  <c:v>-0.80901699437494734</c:v>
                </c:pt>
                <c:pt idx="73">
                  <c:v>-0.82903757255504162</c:v>
                </c:pt>
                <c:pt idx="74">
                  <c:v>-0.84804809615642596</c:v>
                </c:pt>
                <c:pt idx="75">
                  <c:v>-0.86602540378443871</c:v>
                </c:pt>
                <c:pt idx="76">
                  <c:v>-0.88294759285892677</c:v>
                </c:pt>
                <c:pt idx="77">
                  <c:v>-0.89879404629916704</c:v>
                </c:pt>
                <c:pt idx="78">
                  <c:v>-0.91354545764260076</c:v>
                </c:pt>
                <c:pt idx="79">
                  <c:v>-0.92718385456678731</c:v>
                </c:pt>
                <c:pt idx="80">
                  <c:v>-0.93969262078590832</c:v>
                </c:pt>
                <c:pt idx="81">
                  <c:v>-0.95105651629515353</c:v>
                </c:pt>
                <c:pt idx="82">
                  <c:v>-0.96126169593831867</c:v>
                </c:pt>
                <c:pt idx="83">
                  <c:v>-0.97029572627599647</c:v>
                </c:pt>
                <c:pt idx="84">
                  <c:v>-0.97814760073380569</c:v>
                </c:pt>
                <c:pt idx="85">
                  <c:v>-0.98480775301220802</c:v>
                </c:pt>
                <c:pt idx="86">
                  <c:v>-0.99026806874157025</c:v>
                </c:pt>
                <c:pt idx="87">
                  <c:v>-0.99452189536827329</c:v>
                </c:pt>
                <c:pt idx="88">
                  <c:v>-0.9975640502598242</c:v>
                </c:pt>
                <c:pt idx="89">
                  <c:v>-0.99939082701909576</c:v>
                </c:pt>
                <c:pt idx="90">
                  <c:v>-1</c:v>
                </c:pt>
                <c:pt idx="91">
                  <c:v>-0.99939082701909576</c:v>
                </c:pt>
                <c:pt idx="92">
                  <c:v>-0.99756405025982431</c:v>
                </c:pt>
                <c:pt idx="93">
                  <c:v>-0.9945218953682734</c:v>
                </c:pt>
                <c:pt idx="94">
                  <c:v>-0.99026806874157025</c:v>
                </c:pt>
                <c:pt idx="95">
                  <c:v>-0.98480775301220802</c:v>
                </c:pt>
                <c:pt idx="96">
                  <c:v>-0.97814760073380569</c:v>
                </c:pt>
                <c:pt idx="97">
                  <c:v>-0.97029572627599647</c:v>
                </c:pt>
                <c:pt idx="98">
                  <c:v>-0.96126169593831889</c:v>
                </c:pt>
                <c:pt idx="99">
                  <c:v>-0.95105651629515353</c:v>
                </c:pt>
                <c:pt idx="100">
                  <c:v>-0.93969262078590843</c:v>
                </c:pt>
                <c:pt idx="101">
                  <c:v>-0.92718385456678742</c:v>
                </c:pt>
                <c:pt idx="102">
                  <c:v>-0.91354545764260109</c:v>
                </c:pt>
                <c:pt idx="103">
                  <c:v>-0.89879404629916715</c:v>
                </c:pt>
                <c:pt idx="104">
                  <c:v>-0.88294759285892688</c:v>
                </c:pt>
                <c:pt idx="105">
                  <c:v>-0.8660254037844386</c:v>
                </c:pt>
                <c:pt idx="106">
                  <c:v>-0.84804809615642607</c:v>
                </c:pt>
                <c:pt idx="107">
                  <c:v>-0.82903757255504185</c:v>
                </c:pt>
                <c:pt idx="108">
                  <c:v>-0.80901699437494756</c:v>
                </c:pt>
                <c:pt idx="109">
                  <c:v>-0.78801075360672224</c:v>
                </c:pt>
                <c:pt idx="110">
                  <c:v>-0.76604444311897801</c:v>
                </c:pt>
                <c:pt idx="111">
                  <c:v>-0.74314482547739424</c:v>
                </c:pt>
                <c:pt idx="112">
                  <c:v>-0.71933980033865108</c:v>
                </c:pt>
                <c:pt idx="113">
                  <c:v>-0.69465837045899759</c:v>
                </c:pt>
                <c:pt idx="114">
                  <c:v>-0.66913060635885846</c:v>
                </c:pt>
                <c:pt idx="115">
                  <c:v>-0.64278760968653947</c:v>
                </c:pt>
                <c:pt idx="116">
                  <c:v>-0.61566147532565807</c:v>
                </c:pt>
                <c:pt idx="117">
                  <c:v>-0.58778525229247325</c:v>
                </c:pt>
                <c:pt idx="118">
                  <c:v>-0.55919290347074724</c:v>
                </c:pt>
                <c:pt idx="119">
                  <c:v>-0.52991926423320501</c:v>
                </c:pt>
                <c:pt idx="120">
                  <c:v>-0.5</c:v>
                </c:pt>
                <c:pt idx="121">
                  <c:v>-0.46947156278589075</c:v>
                </c:pt>
                <c:pt idx="122">
                  <c:v>-0.43837114678907774</c:v>
                </c:pt>
                <c:pt idx="123">
                  <c:v>-0.4067366430758001</c:v>
                </c:pt>
                <c:pt idx="124">
                  <c:v>-0.37460659341591229</c:v>
                </c:pt>
                <c:pt idx="125">
                  <c:v>-0.34202014332566938</c:v>
                </c:pt>
                <c:pt idx="126">
                  <c:v>-0.30901699437494756</c:v>
                </c:pt>
                <c:pt idx="127">
                  <c:v>-0.27563735581699889</c:v>
                </c:pt>
                <c:pt idx="128">
                  <c:v>-0.24192189559966779</c:v>
                </c:pt>
                <c:pt idx="129">
                  <c:v>-0.20791169081775979</c:v>
                </c:pt>
                <c:pt idx="130">
                  <c:v>-0.17364817766693033</c:v>
                </c:pt>
                <c:pt idx="131">
                  <c:v>-0.13917310096006494</c:v>
                </c:pt>
                <c:pt idx="132">
                  <c:v>-0.10452846326765336</c:v>
                </c:pt>
                <c:pt idx="133">
                  <c:v>-6.975647374412558E-2</c:v>
                </c:pt>
                <c:pt idx="134">
                  <c:v>-3.4899496702501649E-2</c:v>
                </c:pt>
                <c:pt idx="135">
                  <c:v>-1.83772268236293E-16</c:v>
                </c:pt>
                <c:pt idx="136">
                  <c:v>3.4899496702501281E-2</c:v>
                </c:pt>
                <c:pt idx="137">
                  <c:v>6.9756473744125219E-2</c:v>
                </c:pt>
                <c:pt idx="138">
                  <c:v>0.10452846326765299</c:v>
                </c:pt>
                <c:pt idx="139">
                  <c:v>0.13917310096006547</c:v>
                </c:pt>
                <c:pt idx="140">
                  <c:v>0.17364817766692997</c:v>
                </c:pt>
                <c:pt idx="141">
                  <c:v>0.20791169081775857</c:v>
                </c:pt>
                <c:pt idx="142">
                  <c:v>0.24192189559966745</c:v>
                </c:pt>
                <c:pt idx="143">
                  <c:v>0.27563735581699939</c:v>
                </c:pt>
                <c:pt idx="144">
                  <c:v>0.30901699437494723</c:v>
                </c:pt>
                <c:pt idx="145">
                  <c:v>0.34202014332566816</c:v>
                </c:pt>
                <c:pt idx="146">
                  <c:v>0.37460659341591196</c:v>
                </c:pt>
                <c:pt idx="147">
                  <c:v>0.40673664307580054</c:v>
                </c:pt>
                <c:pt idx="148">
                  <c:v>0.4383711467890774</c:v>
                </c:pt>
                <c:pt idx="149">
                  <c:v>0.46947156278589042</c:v>
                </c:pt>
                <c:pt idx="150">
                  <c:v>0.5</c:v>
                </c:pt>
                <c:pt idx="151">
                  <c:v>0.52991926423320468</c:v>
                </c:pt>
                <c:pt idx="152">
                  <c:v>0.55919290347074624</c:v>
                </c:pt>
                <c:pt idx="153">
                  <c:v>0.58778525229247292</c:v>
                </c:pt>
                <c:pt idx="154">
                  <c:v>0.61566147532565851</c:v>
                </c:pt>
                <c:pt idx="155">
                  <c:v>0.64278760968653925</c:v>
                </c:pt>
                <c:pt idx="156">
                  <c:v>0.66913060635885779</c:v>
                </c:pt>
                <c:pt idx="157">
                  <c:v>0.69465837045899659</c:v>
                </c:pt>
                <c:pt idx="158">
                  <c:v>0.71933980033865086</c:v>
                </c:pt>
                <c:pt idx="159">
                  <c:v>0.74314482547739424</c:v>
                </c:pt>
                <c:pt idx="160">
                  <c:v>0.76604444311897779</c:v>
                </c:pt>
                <c:pt idx="161">
                  <c:v>0.78801075360672157</c:v>
                </c:pt>
                <c:pt idx="162">
                  <c:v>0.80901699437494734</c:v>
                </c:pt>
                <c:pt idx="163">
                  <c:v>0.8290375725550414</c:v>
                </c:pt>
                <c:pt idx="164">
                  <c:v>0.8480480961564254</c:v>
                </c:pt>
                <c:pt idx="165">
                  <c:v>0.86602540378443837</c:v>
                </c:pt>
                <c:pt idx="166">
                  <c:v>0.88294759285892688</c:v>
                </c:pt>
                <c:pt idx="167">
                  <c:v>0.89879404629916715</c:v>
                </c:pt>
                <c:pt idx="168">
                  <c:v>0.91354545764260098</c:v>
                </c:pt>
                <c:pt idx="169">
                  <c:v>0.92718385456678731</c:v>
                </c:pt>
                <c:pt idx="170">
                  <c:v>0.93969262078590843</c:v>
                </c:pt>
                <c:pt idx="171">
                  <c:v>0.95105651629515353</c:v>
                </c:pt>
                <c:pt idx="172">
                  <c:v>0.96126169593831867</c:v>
                </c:pt>
                <c:pt idx="173">
                  <c:v>0.97029572627599647</c:v>
                </c:pt>
                <c:pt idx="174">
                  <c:v>0.97814760073380558</c:v>
                </c:pt>
                <c:pt idx="175">
                  <c:v>0.98480775301220791</c:v>
                </c:pt>
                <c:pt idx="176">
                  <c:v>0.99026806874157025</c:v>
                </c:pt>
                <c:pt idx="177">
                  <c:v>0.99452189536827329</c:v>
                </c:pt>
                <c:pt idx="178">
                  <c:v>0.99756405025982431</c:v>
                </c:pt>
                <c:pt idx="179">
                  <c:v>0.99939082701909576</c:v>
                </c:pt>
                <c:pt idx="180">
                  <c:v>1</c:v>
                </c:pt>
              </c:numCache>
            </c:numRef>
          </c:xVal>
          <c:yVal>
            <c:numRef>
              <c:f>stereo_Cirklar_streck!$C$4:$C$184</c:f>
              <c:numCache>
                <c:formatCode>General</c:formatCode>
                <c:ptCount val="181"/>
                <c:pt idx="0">
                  <c:v>0</c:v>
                </c:pt>
                <c:pt idx="1">
                  <c:v>-3.4899496702500969E-2</c:v>
                </c:pt>
                <c:pt idx="2">
                  <c:v>-6.9756473744125302E-2</c:v>
                </c:pt>
                <c:pt idx="3">
                  <c:v>-0.10452846326765346</c:v>
                </c:pt>
                <c:pt idx="4">
                  <c:v>-0.13917310096006544</c:v>
                </c:pt>
                <c:pt idx="5">
                  <c:v>-0.17364817766693033</c:v>
                </c:pt>
                <c:pt idx="6">
                  <c:v>-0.20791169081775931</c:v>
                </c:pt>
                <c:pt idx="7">
                  <c:v>-0.24192189559966773</c:v>
                </c:pt>
                <c:pt idx="8">
                  <c:v>-0.27563735581699916</c:v>
                </c:pt>
                <c:pt idx="9">
                  <c:v>-0.3090169943749474</c:v>
                </c:pt>
                <c:pt idx="10">
                  <c:v>-0.34202014332566871</c:v>
                </c:pt>
                <c:pt idx="11">
                  <c:v>-0.37460659341591201</c:v>
                </c:pt>
                <c:pt idx="12">
                  <c:v>-0.40673664307580015</c:v>
                </c:pt>
                <c:pt idx="13">
                  <c:v>-0.4383711467890774</c:v>
                </c:pt>
                <c:pt idx="14">
                  <c:v>-0.46947156278589081</c:v>
                </c:pt>
                <c:pt idx="15">
                  <c:v>-0.5</c:v>
                </c:pt>
                <c:pt idx="16">
                  <c:v>-0.5299192642332049</c:v>
                </c:pt>
                <c:pt idx="17">
                  <c:v>-0.5591929034707469</c:v>
                </c:pt>
                <c:pt idx="18">
                  <c:v>-0.58778525229247314</c:v>
                </c:pt>
                <c:pt idx="19">
                  <c:v>-0.61566147532565818</c:v>
                </c:pt>
                <c:pt idx="20">
                  <c:v>-0.64278760968653925</c:v>
                </c:pt>
                <c:pt idx="21">
                  <c:v>-0.66913060635885824</c:v>
                </c:pt>
                <c:pt idx="22">
                  <c:v>-0.69465837045899725</c:v>
                </c:pt>
                <c:pt idx="23">
                  <c:v>-0.71933980033865108</c:v>
                </c:pt>
                <c:pt idx="24">
                  <c:v>-0.74314482547739413</c:v>
                </c:pt>
                <c:pt idx="25">
                  <c:v>-0.76604444311897801</c:v>
                </c:pt>
                <c:pt idx="26">
                  <c:v>-0.78801075360672201</c:v>
                </c:pt>
                <c:pt idx="27">
                  <c:v>-0.80901699437494745</c:v>
                </c:pt>
                <c:pt idx="28">
                  <c:v>-0.82903757255504174</c:v>
                </c:pt>
                <c:pt idx="29">
                  <c:v>-0.84804809615642596</c:v>
                </c:pt>
                <c:pt idx="30">
                  <c:v>-0.8660254037844386</c:v>
                </c:pt>
                <c:pt idx="31">
                  <c:v>-0.88294759285892688</c:v>
                </c:pt>
                <c:pt idx="32">
                  <c:v>-0.89879404629916704</c:v>
                </c:pt>
                <c:pt idx="33">
                  <c:v>-0.91354545764260087</c:v>
                </c:pt>
                <c:pt idx="34">
                  <c:v>-0.92718385456678742</c:v>
                </c:pt>
                <c:pt idx="35">
                  <c:v>-0.93969262078590832</c:v>
                </c:pt>
                <c:pt idx="36">
                  <c:v>-0.95105651629515353</c:v>
                </c:pt>
                <c:pt idx="37">
                  <c:v>-0.96126169593831889</c:v>
                </c:pt>
                <c:pt idx="38">
                  <c:v>-0.97029572627599647</c:v>
                </c:pt>
                <c:pt idx="39">
                  <c:v>-0.97814760073380558</c:v>
                </c:pt>
                <c:pt idx="40">
                  <c:v>-0.98480775301220802</c:v>
                </c:pt>
                <c:pt idx="41">
                  <c:v>-0.99026806874157025</c:v>
                </c:pt>
                <c:pt idx="42">
                  <c:v>-0.99452189536827329</c:v>
                </c:pt>
                <c:pt idx="43">
                  <c:v>-0.9975640502598242</c:v>
                </c:pt>
                <c:pt idx="44">
                  <c:v>-0.99939082701909576</c:v>
                </c:pt>
                <c:pt idx="45">
                  <c:v>-1</c:v>
                </c:pt>
                <c:pt idx="46">
                  <c:v>-0.99939082701909576</c:v>
                </c:pt>
                <c:pt idx="47">
                  <c:v>-0.9975640502598242</c:v>
                </c:pt>
                <c:pt idx="48">
                  <c:v>-0.9945218953682734</c:v>
                </c:pt>
                <c:pt idx="49">
                  <c:v>-0.99026806874157036</c:v>
                </c:pt>
                <c:pt idx="50">
                  <c:v>-0.98480775301220802</c:v>
                </c:pt>
                <c:pt idx="51">
                  <c:v>-0.97814760073380569</c:v>
                </c:pt>
                <c:pt idx="52">
                  <c:v>-0.97029572627599647</c:v>
                </c:pt>
                <c:pt idx="53">
                  <c:v>-0.96126169593831889</c:v>
                </c:pt>
                <c:pt idx="54">
                  <c:v>-0.95105651629515364</c:v>
                </c:pt>
                <c:pt idx="55">
                  <c:v>-0.93969262078590843</c:v>
                </c:pt>
                <c:pt idx="56">
                  <c:v>-0.92718385456678742</c:v>
                </c:pt>
                <c:pt idx="57">
                  <c:v>-0.91354545764260098</c:v>
                </c:pt>
                <c:pt idx="58">
                  <c:v>-0.89879404629916693</c:v>
                </c:pt>
                <c:pt idx="59">
                  <c:v>-0.8829475928589271</c:v>
                </c:pt>
                <c:pt idx="60">
                  <c:v>-0.86602540378443871</c:v>
                </c:pt>
                <c:pt idx="61">
                  <c:v>-0.84804809615642607</c:v>
                </c:pt>
                <c:pt idx="62">
                  <c:v>-0.82903757255504174</c:v>
                </c:pt>
                <c:pt idx="63">
                  <c:v>-0.80901699437494745</c:v>
                </c:pt>
                <c:pt idx="64">
                  <c:v>-0.78801075360672201</c:v>
                </c:pt>
                <c:pt idx="65">
                  <c:v>-0.76604444311897801</c:v>
                </c:pt>
                <c:pt idx="66">
                  <c:v>-0.74314482547739424</c:v>
                </c:pt>
                <c:pt idx="67">
                  <c:v>-0.71933980033865141</c:v>
                </c:pt>
                <c:pt idx="68">
                  <c:v>-0.69465837045899714</c:v>
                </c:pt>
                <c:pt idx="69">
                  <c:v>-0.66913060635885835</c:v>
                </c:pt>
                <c:pt idx="70">
                  <c:v>-0.64278760968653947</c:v>
                </c:pt>
                <c:pt idx="71">
                  <c:v>-0.6156614753256584</c:v>
                </c:pt>
                <c:pt idx="72">
                  <c:v>-0.58778525229247325</c:v>
                </c:pt>
                <c:pt idx="73">
                  <c:v>-0.5591929034707469</c:v>
                </c:pt>
                <c:pt idx="74">
                  <c:v>-0.5299192642332049</c:v>
                </c:pt>
                <c:pt idx="75">
                  <c:v>-0.5</c:v>
                </c:pt>
                <c:pt idx="76">
                  <c:v>-0.46947156278589108</c:v>
                </c:pt>
                <c:pt idx="77">
                  <c:v>-0.43837114678907729</c:v>
                </c:pt>
                <c:pt idx="78">
                  <c:v>-0.40673664307580043</c:v>
                </c:pt>
                <c:pt idx="79">
                  <c:v>-0.37460659341591224</c:v>
                </c:pt>
                <c:pt idx="80">
                  <c:v>-0.34202014332566888</c:v>
                </c:pt>
                <c:pt idx="81">
                  <c:v>-0.30901699437494751</c:v>
                </c:pt>
                <c:pt idx="82">
                  <c:v>-0.27563735581699966</c:v>
                </c:pt>
                <c:pt idx="83">
                  <c:v>-0.24192189559966773</c:v>
                </c:pt>
                <c:pt idx="84">
                  <c:v>-0.20791169081775931</c:v>
                </c:pt>
                <c:pt idx="85">
                  <c:v>-0.17364817766693028</c:v>
                </c:pt>
                <c:pt idx="86">
                  <c:v>-0.13917310096006574</c:v>
                </c:pt>
                <c:pt idx="87">
                  <c:v>-0.10452846326765373</c:v>
                </c:pt>
                <c:pt idx="88">
                  <c:v>-6.9756473744125524E-2</c:v>
                </c:pt>
                <c:pt idx="89">
                  <c:v>-3.4899496702500699E-2</c:v>
                </c:pt>
                <c:pt idx="90">
                  <c:v>-1.22514845490862E-16</c:v>
                </c:pt>
                <c:pt idx="91">
                  <c:v>3.48994967025009E-2</c:v>
                </c:pt>
                <c:pt idx="92">
                  <c:v>6.9756473744124831E-2</c:v>
                </c:pt>
                <c:pt idx="93">
                  <c:v>0.10452846326765305</c:v>
                </c:pt>
                <c:pt idx="94">
                  <c:v>0.13917310096006552</c:v>
                </c:pt>
                <c:pt idx="95">
                  <c:v>0.17364817766693047</c:v>
                </c:pt>
                <c:pt idx="96">
                  <c:v>0.20791169081775907</c:v>
                </c:pt>
                <c:pt idx="97">
                  <c:v>0.24192189559966751</c:v>
                </c:pt>
                <c:pt idx="98">
                  <c:v>0.275637355816999</c:v>
                </c:pt>
                <c:pt idx="99">
                  <c:v>0.30901699437494773</c:v>
                </c:pt>
                <c:pt idx="100">
                  <c:v>0.34202014332566866</c:v>
                </c:pt>
                <c:pt idx="101">
                  <c:v>0.37460659341591201</c:v>
                </c:pt>
                <c:pt idx="102">
                  <c:v>0.40673664307579982</c:v>
                </c:pt>
                <c:pt idx="103">
                  <c:v>0.43837114678907707</c:v>
                </c:pt>
                <c:pt idx="104">
                  <c:v>0.46947156278589086</c:v>
                </c:pt>
                <c:pt idx="105">
                  <c:v>0.5</c:v>
                </c:pt>
                <c:pt idx="106">
                  <c:v>0.52991926423320479</c:v>
                </c:pt>
                <c:pt idx="107">
                  <c:v>0.55919290347074668</c:v>
                </c:pt>
                <c:pt idx="108">
                  <c:v>0.58778525229247303</c:v>
                </c:pt>
                <c:pt idx="109">
                  <c:v>0.61566147532565785</c:v>
                </c:pt>
                <c:pt idx="110">
                  <c:v>0.64278760968653925</c:v>
                </c:pt>
                <c:pt idx="111">
                  <c:v>0.66913060635885824</c:v>
                </c:pt>
                <c:pt idx="112">
                  <c:v>0.69465837045899737</c:v>
                </c:pt>
                <c:pt idx="113">
                  <c:v>0.71933980033865086</c:v>
                </c:pt>
                <c:pt idx="114">
                  <c:v>0.74314482547739402</c:v>
                </c:pt>
                <c:pt idx="115">
                  <c:v>0.7660444431189779</c:v>
                </c:pt>
                <c:pt idx="116">
                  <c:v>0.78801075360672213</c:v>
                </c:pt>
                <c:pt idx="117">
                  <c:v>0.80901699437494734</c:v>
                </c:pt>
                <c:pt idx="118">
                  <c:v>0.8290375725550414</c:v>
                </c:pt>
                <c:pt idx="119">
                  <c:v>0.84804809615642596</c:v>
                </c:pt>
                <c:pt idx="120">
                  <c:v>0.86602540378443837</c:v>
                </c:pt>
                <c:pt idx="121">
                  <c:v>0.88294759285892699</c:v>
                </c:pt>
                <c:pt idx="122">
                  <c:v>0.89879404629916682</c:v>
                </c:pt>
                <c:pt idx="123">
                  <c:v>0.91354545764260098</c:v>
                </c:pt>
                <c:pt idx="124">
                  <c:v>0.92718385456678731</c:v>
                </c:pt>
                <c:pt idx="125">
                  <c:v>0.93969262078590821</c:v>
                </c:pt>
                <c:pt idx="126">
                  <c:v>0.95105651629515353</c:v>
                </c:pt>
                <c:pt idx="127">
                  <c:v>0.96126169593831901</c:v>
                </c:pt>
                <c:pt idx="128">
                  <c:v>0.97029572627599647</c:v>
                </c:pt>
                <c:pt idx="129">
                  <c:v>0.97814760073380558</c:v>
                </c:pt>
                <c:pt idx="130">
                  <c:v>0.98480775301220802</c:v>
                </c:pt>
                <c:pt idx="131">
                  <c:v>0.99026806874157036</c:v>
                </c:pt>
                <c:pt idx="132">
                  <c:v>0.9945218953682734</c:v>
                </c:pt>
                <c:pt idx="133">
                  <c:v>0.9975640502598242</c:v>
                </c:pt>
                <c:pt idx="134">
                  <c:v>0.99939082701909565</c:v>
                </c:pt>
                <c:pt idx="135">
                  <c:v>1</c:v>
                </c:pt>
                <c:pt idx="136">
                  <c:v>0.99939082701909576</c:v>
                </c:pt>
                <c:pt idx="137">
                  <c:v>0.99756405025982431</c:v>
                </c:pt>
                <c:pt idx="138">
                  <c:v>0.9945218953682734</c:v>
                </c:pt>
                <c:pt idx="139">
                  <c:v>0.99026806874157036</c:v>
                </c:pt>
                <c:pt idx="140">
                  <c:v>0.98480775301220813</c:v>
                </c:pt>
                <c:pt idx="141">
                  <c:v>0.9781476007338058</c:v>
                </c:pt>
                <c:pt idx="142">
                  <c:v>0.97029572627599658</c:v>
                </c:pt>
                <c:pt idx="143">
                  <c:v>0.96126169593831878</c:v>
                </c:pt>
                <c:pt idx="144">
                  <c:v>0.95105651629515364</c:v>
                </c:pt>
                <c:pt idx="145">
                  <c:v>0.93969262078590854</c:v>
                </c:pt>
                <c:pt idx="146">
                  <c:v>0.92718385456678742</c:v>
                </c:pt>
                <c:pt idx="147">
                  <c:v>0.91354545764260076</c:v>
                </c:pt>
                <c:pt idx="148">
                  <c:v>0.89879404629916704</c:v>
                </c:pt>
                <c:pt idx="149">
                  <c:v>0.8829475928589271</c:v>
                </c:pt>
                <c:pt idx="150">
                  <c:v>0.8660254037844386</c:v>
                </c:pt>
                <c:pt idx="151">
                  <c:v>0.84804809615642618</c:v>
                </c:pt>
                <c:pt idx="152">
                  <c:v>0.82903757255504207</c:v>
                </c:pt>
                <c:pt idx="153">
                  <c:v>0.80901699437494756</c:v>
                </c:pt>
                <c:pt idx="154">
                  <c:v>0.78801075360672179</c:v>
                </c:pt>
                <c:pt idx="155">
                  <c:v>0.76604444311897812</c:v>
                </c:pt>
                <c:pt idx="156">
                  <c:v>0.74314482547739458</c:v>
                </c:pt>
                <c:pt idx="157">
                  <c:v>0.71933980033865175</c:v>
                </c:pt>
                <c:pt idx="158">
                  <c:v>0.69465837045899759</c:v>
                </c:pt>
                <c:pt idx="159">
                  <c:v>0.66913060635885813</c:v>
                </c:pt>
                <c:pt idx="160">
                  <c:v>0.64278760968653958</c:v>
                </c:pt>
                <c:pt idx="161">
                  <c:v>0.61566147532565885</c:v>
                </c:pt>
                <c:pt idx="162">
                  <c:v>0.58778525229247336</c:v>
                </c:pt>
                <c:pt idx="163">
                  <c:v>0.55919290347074735</c:v>
                </c:pt>
                <c:pt idx="164">
                  <c:v>0.52991926423320579</c:v>
                </c:pt>
                <c:pt idx="165">
                  <c:v>0.5</c:v>
                </c:pt>
                <c:pt idx="166">
                  <c:v>0.46947156278589081</c:v>
                </c:pt>
                <c:pt idx="167">
                  <c:v>0.43837114678907702</c:v>
                </c:pt>
                <c:pt idx="168">
                  <c:v>0.40673664307580015</c:v>
                </c:pt>
                <c:pt idx="169">
                  <c:v>0.37460659341591235</c:v>
                </c:pt>
                <c:pt idx="170">
                  <c:v>0.3420201433256686</c:v>
                </c:pt>
                <c:pt idx="171">
                  <c:v>0.30901699437494762</c:v>
                </c:pt>
                <c:pt idx="172">
                  <c:v>0.27563735581699977</c:v>
                </c:pt>
                <c:pt idx="173">
                  <c:v>0.24192189559966787</c:v>
                </c:pt>
                <c:pt idx="174">
                  <c:v>0.20791169081775987</c:v>
                </c:pt>
                <c:pt idx="175">
                  <c:v>0.17364817766693127</c:v>
                </c:pt>
                <c:pt idx="176">
                  <c:v>0.13917310096006588</c:v>
                </c:pt>
                <c:pt idx="177">
                  <c:v>0.10452846326765342</c:v>
                </c:pt>
                <c:pt idx="178">
                  <c:v>6.9756473744124761E-2</c:v>
                </c:pt>
                <c:pt idx="179">
                  <c:v>3.4899496702500823E-2</c:v>
                </c:pt>
                <c:pt idx="180">
                  <c:v>2.45029690981724E-16</c:v>
                </c:pt>
              </c:numCache>
            </c:numRef>
          </c:yVal>
          <c:smooth val="1"/>
        </c:ser>
        <c:ser>
          <c:idx val="2"/>
          <c:order val="1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stereo_Cirklar_streck!$I$2:$I$3</c:f>
              <c:numCache>
                <c:formatCode>General</c:formatCode>
                <c:ptCount val="2"/>
                <c:pt idx="0">
                  <c:v>3.5000000000000003E-2</c:v>
                </c:pt>
                <c:pt idx="1">
                  <c:v>-3.5000000000000003E-2</c:v>
                </c:pt>
              </c:numCache>
            </c:numRef>
          </c:xVal>
          <c:yVal>
            <c:numRef>
              <c:f>stereo_Cirklar_streck!$J$2:$J$3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</c:ser>
        <c:ser>
          <c:idx val="3"/>
          <c:order val="2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stereo_Cirklar_streck!$L$2:$L$3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stereo_Cirklar_streck!$M$2:$M$3</c:f>
              <c:numCache>
                <c:formatCode>General</c:formatCode>
                <c:ptCount val="2"/>
                <c:pt idx="0">
                  <c:v>3.5000000000000003E-2</c:v>
                </c:pt>
                <c:pt idx="1">
                  <c:v>-3.5000000000000003E-2</c:v>
                </c:pt>
              </c:numCache>
            </c:numRef>
          </c:yVal>
          <c:smooth val="1"/>
        </c:ser>
        <c:ser>
          <c:idx val="7"/>
          <c:order val="3"/>
          <c:spPr>
            <a:ln w="1905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Samplespace!$R$11:$R$3100</c:f>
              <c:numCache>
                <c:formatCode>General</c:formatCode>
                <c:ptCount val="3090"/>
                <c:pt idx="0">
                  <c:v>-6.8555807079666853E-2</c:v>
                </c:pt>
                <c:pt idx="1">
                  <c:v>-6.0089027843314526E-2</c:v>
                </c:pt>
                <c:pt idx="2">
                  <c:v>-5.158506884661699E-2</c:v>
                </c:pt>
                <c:pt idx="3">
                  <c:v>-4.5488227387074337E-2</c:v>
                </c:pt>
                <c:pt idx="4">
                  <c:v>-3.937752977281507E-2</c:v>
                </c:pt>
                <c:pt idx="5">
                  <c:v>-3.3254837381528464E-2</c:v>
                </c:pt>
                <c:pt idx="6">
                  <c:v>-2.7122015244628442E-2</c:v>
                </c:pt>
                <c:pt idx="7">
                  <c:v>-2.0980931479148215E-2</c:v>
                </c:pt>
                <c:pt idx="8">
                  <c:v>-1.4833456718692401E-2</c:v>
                </c:pt>
                <c:pt idx="9">
                  <c:v>-8.6814635436253378E-3</c:v>
                </c:pt>
                <c:pt idx="10">
                  <c:v>-2.526825910663518E-3</c:v>
                </c:pt>
                <c:pt idx="11">
                  <c:v>3.6285814179484671E-3</c:v>
                </c:pt>
                <c:pt idx="12">
                  <c:v>9.7828834455097064E-3</c:v>
                </c:pt>
                <c:pt idx="13">
                  <c:v>1.5934205512004643E-2</c:v>
                </c:pt>
                <c:pt idx="14">
                  <c:v>2.2080673865142387E-2</c:v>
                </c:pt>
                <c:pt idx="15">
                  <c:v>2.8220416231120642E-2</c:v>
                </c:pt>
                <c:pt idx="16">
                  <c:v>3.435156238493748E-2</c:v>
                </c:pt>
                <c:pt idx="17">
                  <c:v>4.0472244720080937E-2</c:v>
                </c:pt>
                <c:pt idx="18">
                  <c:v>4.6580598817419043E-2</c:v>
                </c:pt>
                <c:pt idx="19">
                  <c:v>5.2674764013121128E-2</c:v>
                </c:pt>
                <c:pt idx="20">
                  <c:v>5.8752883965432781E-2</c:v>
                </c:pt>
                <c:pt idx="21">
                  <c:v>6.4813107220136584E-2</c:v>
                </c:pt>
                <c:pt idx="22">
                  <c:v>7.085358777452265E-2</c:v>
                </c:pt>
                <c:pt idx="23">
                  <c:v>7.6872485639698285E-2</c:v>
                </c:pt>
                <c:pt idx="24">
                  <c:v>8.2867967401067749E-2</c:v>
                </c:pt>
                <c:pt idx="25">
                  <c:v>8.883820677680665E-2</c:v>
                </c:pt>
                <c:pt idx="26">
                  <c:v>9.478138517416651E-2</c:v>
                </c:pt>
                <c:pt idx="27">
                  <c:v>0.10069569224343422</c:v>
                </c:pt>
                <c:pt idx="28">
                  <c:v>0.10657932642938368</c:v>
                </c:pt>
                <c:pt idx="29">
                  <c:v>0.11243049552004546</c:v>
                </c:pt>
                <c:pt idx="30">
                  <c:v>0.11824741719263319</c:v>
                </c:pt>
                <c:pt idx="31">
                  <c:v>0.12402831955645573</c:v>
                </c:pt>
                <c:pt idx="32">
                  <c:v>0.12977144169265192</c:v>
                </c:pt>
                <c:pt idx="33">
                  <c:v>0.13547503419058449</c:v>
                </c:pt>
                <c:pt idx="34">
                  <c:v>0.14113735968072633</c:v>
                </c:pt>
                <c:pt idx="35">
                  <c:v>0.14675669336388128</c:v>
                </c:pt>
                <c:pt idx="36">
                  <c:v>0.15233132353657342</c:v>
                </c:pt>
                <c:pt idx="37">
                  <c:v>0.15785955211244981</c:v>
                </c:pt>
                <c:pt idx="38">
                  <c:v>0.16333969513953275</c:v>
                </c:pt>
                <c:pt idx="39">
                  <c:v>0.16877008331316909</c:v>
                </c:pt>
                <c:pt idx="40">
                  <c:v>0.17414906248451584</c:v>
                </c:pt>
                <c:pt idx="41">
                  <c:v>0.17947499416440982</c:v>
                </c:pt>
                <c:pt idx="42">
                  <c:v>0.18474625602246811</c:v>
                </c:pt>
                <c:pt idx="43">
                  <c:v>0.18996124238126474</c:v>
                </c:pt>
                <c:pt idx="44">
                  <c:v>0.19511836470543617</c:v>
                </c:pt>
                <c:pt idx="45">
                  <c:v>0.20021605208556428</c:v>
                </c:pt>
                <c:pt idx="46">
                  <c:v>0.20525275171669072</c:v>
                </c:pt>
                <c:pt idx="47">
                  <c:v>0.21022692937131612</c:v>
                </c:pt>
                <c:pt idx="48">
                  <c:v>0.21513706986674114</c:v>
                </c:pt>
                <c:pt idx="49">
                  <c:v>0.21998167752660502</c:v>
                </c:pt>
                <c:pt idx="50">
                  <c:v>0.22475927663648404</c:v>
                </c:pt>
                <c:pt idx="51">
                  <c:v>0.22946841189340755</c:v>
                </c:pt>
                <c:pt idx="52">
                  <c:v>0.23410764884915786</c:v>
                </c:pt>
                <c:pt idx="53">
                  <c:v>0.23867557434721706</c:v>
                </c:pt>
                <c:pt idx="54">
                  <c:v>0.24317079695322785</c:v>
                </c:pt>
                <c:pt idx="55">
                  <c:v>0.24759194737883833</c:v>
                </c:pt>
                <c:pt idx="56">
                  <c:v>0.25193767889880014</c:v>
                </c:pt>
                <c:pt idx="57">
                  <c:v>0.25620666776119427</c:v>
                </c:pt>
                <c:pt idx="58">
                  <c:v>0.26039761359065872</c:v>
                </c:pt>
                <c:pt idx="59">
                  <c:v>0.26450923978449503</c:v>
                </c:pt>
                <c:pt idx="60">
                  <c:v>0.26854029390153444</c:v>
                </c:pt>
                <c:pt idx="61">
                  <c:v>0.27248954804364311</c:v>
                </c:pt>
                <c:pt idx="62">
                  <c:v>0.27635579922975229</c:v>
                </c:pt>
                <c:pt idx="63">
                  <c:v>0.28013786976229732</c:v>
                </c:pt>
                <c:pt idx="64">
                  <c:v>0.2838346075859563</c:v>
                </c:pt>
                <c:pt idx="65">
                  <c:v>0.28744488663857698</c:v>
                </c:pt>
                <c:pt idx="66">
                  <c:v>0.29096760719418646</c:v>
                </c:pt>
                <c:pt idx="67">
                  <c:v>0.29440169619797801</c:v>
                </c:pt>
                <c:pt idx="68">
                  <c:v>0.29774610759317449</c:v>
                </c:pt>
                <c:pt idx="69">
                  <c:v>0.3004241350480229</c:v>
                </c:pt>
                <c:pt idx="70">
                  <c:v>0.30099982263966663</c:v>
                </c:pt>
                <c:pt idx="71">
                  <c:v>0.30360264574498863</c:v>
                </c:pt>
                <c:pt idx="72">
                  <c:v>0.30416185022433206</c:v>
                </c:pt>
                <c:pt idx="73">
                  <c:v>0.30668867613499562</c:v>
                </c:pt>
                <c:pt idx="74">
                  <c:v>0.30723122716293716</c:v>
                </c:pt>
                <c:pt idx="75">
                  <c:v>0.30968128618329194</c:v>
                </c:pt>
                <c:pt idx="76">
                  <c:v>0.31020701849353266</c:v>
                </c:pt>
                <c:pt idx="77">
                  <c:v>0.3125795643118669</c:v>
                </c:pt>
                <c:pt idx="78">
                  <c:v>0.31538262767712616</c:v>
                </c:pt>
                <c:pt idx="79">
                  <c:v>0.31808962243881495</c:v>
                </c:pt>
                <c:pt idx="80">
                  <c:v>0.32069972402010538</c:v>
                </c:pt>
                <c:pt idx="81">
                  <c:v>0.32321213735877141</c:v>
                </c:pt>
                <c:pt idx="82">
                  <c:v>0.32562609714937163</c:v>
                </c:pt>
                <c:pt idx="83">
                  <c:v>0.3279408680763693</c:v>
                </c:pt>
                <c:pt idx="84">
                  <c:v>0.33015574503811645</c:v>
                </c:pt>
                <c:pt idx="85">
                  <c:v>0.3322700533616344</c:v>
                </c:pt>
                <c:pt idx="86">
                  <c:v>0.33428314900812617</c:v>
                </c:pt>
                <c:pt idx="87">
                  <c:v>0.33619441876915646</c:v>
                </c:pt>
                <c:pt idx="88">
                  <c:v>0.33800328045344119</c:v>
                </c:pt>
                <c:pt idx="89">
                  <c:v>0.33970918306418851</c:v>
                </c:pt>
                <c:pt idx="90">
                  <c:v>0.34131160696693774</c:v>
                </c:pt>
                <c:pt idx="91">
                  <c:v>0.34281006404784503</c:v>
                </c:pt>
                <c:pt idx="92">
                  <c:v>0.34420409786236772</c:v>
                </c:pt>
                <c:pt idx="93">
                  <c:v>0.34549328377430155</c:v>
                </c:pt>
                <c:pt idx="94">
                  <c:v>0.3466772290851291</c:v>
                </c:pt>
                <c:pt idx="95">
                  <c:v>0.3477555731536397</c:v>
                </c:pt>
                <c:pt idx="96">
                  <c:v>0.34872798750578371</c:v>
                </c:pt>
                <c:pt idx="97">
                  <c:v>0.34959417593472963</c:v>
                </c:pt>
                <c:pt idx="98">
                  <c:v>0.35035387459109102</c:v>
                </c:pt>
                <c:pt idx="99">
                  <c:v>0.35100685206329774</c:v>
                </c:pt>
                <c:pt idx="100">
                  <c:v>0.35155290944808626</c:v>
                </c:pt>
                <c:pt idx="101">
                  <c:v>0.35199188041108742</c:v>
                </c:pt>
                <c:pt idx="102">
                  <c:v>0.35232363123749344</c:v>
                </c:pt>
                <c:pt idx="103">
                  <c:v>0.35254806087278884</c:v>
                </c:pt>
                <c:pt idx="104">
                  <c:v>0.35266510095353265</c:v>
                </c:pt>
                <c:pt idx="105">
                  <c:v>0.35267471582818244</c:v>
                </c:pt>
                <c:pt idx="106">
                  <c:v>0.35257690256795432</c:v>
                </c:pt>
                <c:pt idx="107">
                  <c:v>0.35237169096771481</c:v>
                </c:pt>
                <c:pt idx="108">
                  <c:v>0.35205914353690537</c:v>
                </c:pt>
                <c:pt idx="109">
                  <c:v>0.35163935548050107</c:v>
                </c:pt>
                <c:pt idx="110">
                  <c:v>0.35111245467001045</c:v>
                </c:pt>
                <c:pt idx="111">
                  <c:v>0.35047860160452465</c:v>
                </c:pt>
                <c:pt idx="112">
                  <c:v>0.34973798936182765</c:v>
                </c:pt>
                <c:pt idx="113">
                  <c:v>0.34889084353958305</c:v>
                </c:pt>
                <c:pt idx="114">
                  <c:v>0.34793742218661483</c:v>
                </c:pt>
                <c:pt idx="115">
                  <c:v>0.34687801572430305</c:v>
                </c:pt>
                <c:pt idx="116">
                  <c:v>0.34571294685811887</c:v>
                </c:pt>
                <c:pt idx="117">
                  <c:v>0.34444257047932519</c:v>
                </c:pt>
                <c:pt idx="118">
                  <c:v>0.34306727355687339</c:v>
                </c:pt>
                <c:pt idx="119">
                  <c:v>0.34158747501952891</c:v>
                </c:pt>
                <c:pt idx="120">
                  <c:v>0.34000362562826125</c:v>
                </c:pt>
                <c:pt idx="121">
                  <c:v>0.33831620783893818</c:v>
                </c:pt>
                <c:pt idx="122">
                  <c:v>0.33652573565536459</c:v>
                </c:pt>
                <c:pt idx="123">
                  <c:v>0.33463275447271246</c:v>
                </c:pt>
                <c:pt idx="124">
                  <c:v>0.33263784091138765</c:v>
                </c:pt>
                <c:pt idx="125">
                  <c:v>0.3305416026413861</c:v>
                </c:pt>
                <c:pt idx="126">
                  <c:v>0.3283446781971916</c:v>
                </c:pt>
                <c:pt idx="127">
                  <c:v>0.32604773678327187</c:v>
                </c:pt>
                <c:pt idx="128">
                  <c:v>0.32365147807023259</c:v>
                </c:pt>
                <c:pt idx="129">
                  <c:v>0.32115663198169092</c:v>
                </c:pt>
                <c:pt idx="130">
                  <c:v>0.31856395847193342</c:v>
                </c:pt>
                <c:pt idx="131">
                  <c:v>0.31587424729442704</c:v>
                </c:pt>
                <c:pt idx="132">
                  <c:v>0.31308831776125223</c:v>
                </c:pt>
                <c:pt idx="133">
                  <c:v>0.31020701849353272</c:v>
                </c:pt>
                <c:pt idx="134">
                  <c:v>0.30723122716293716</c:v>
                </c:pt>
                <c:pt idx="135">
                  <c:v>0.30416185022433206</c:v>
                </c:pt>
                <c:pt idx="136">
                  <c:v>0.30099982263966663</c:v>
                </c:pt>
                <c:pt idx="137">
                  <c:v>0.29774610759317449</c:v>
                </c:pt>
                <c:pt idx="138">
                  <c:v>0.29440169619797801</c:v>
                </c:pt>
                <c:pt idx="139">
                  <c:v>0.29096760719418646</c:v>
                </c:pt>
                <c:pt idx="140">
                  <c:v>0.28744488663857698</c:v>
                </c:pt>
                <c:pt idx="141">
                  <c:v>0.2838346075859563</c:v>
                </c:pt>
                <c:pt idx="142">
                  <c:v>0.28013786976229743</c:v>
                </c:pt>
                <c:pt idx="143">
                  <c:v>0.27635579922975234</c:v>
                </c:pt>
                <c:pt idx="144">
                  <c:v>0.26425399374480651</c:v>
                </c:pt>
                <c:pt idx="145">
                  <c:v>0.25212427126418485</c:v>
                </c:pt>
                <c:pt idx="146">
                  <c:v>0.24046246946488056</c:v>
                </c:pt>
                <c:pt idx="147">
                  <c:v>0.22877834807974473</c:v>
                </c:pt>
                <c:pt idx="148">
                  <c:v>0.22676198877903708</c:v>
                </c:pt>
                <c:pt idx="149">
                  <c:v>0.22494160780081793</c:v>
                </c:pt>
                <c:pt idx="150">
                  <c:v>0.22331696231759485</c:v>
                </c:pt>
                <c:pt idx="151">
                  <c:v>0.2218877940828545</c:v>
                </c:pt>
                <c:pt idx="152">
                  <c:v>0.22065383013496623</c:v>
                </c:pt>
                <c:pt idx="153">
                  <c:v>0.21961478342833213</c:v>
                </c:pt>
                <c:pt idx="154">
                  <c:v>0.21877035339501374</c:v>
                </c:pt>
                <c:pt idx="155">
                  <c:v>0.21812022643977336</c:v>
                </c:pt>
                <c:pt idx="156">
                  <c:v>0.21766407637118235</c:v>
                </c:pt>
                <c:pt idx="157">
                  <c:v>0.21740156477117156</c:v>
                </c:pt>
                <c:pt idx="158">
                  <c:v>0.21733234130513096</c:v>
                </c:pt>
                <c:pt idx="159">
                  <c:v>0.2174560439743991</c:v>
                </c:pt>
                <c:pt idx="160">
                  <c:v>0.21777229931272815</c:v>
                </c:pt>
                <c:pt idx="161">
                  <c:v>0.21828072252805639</c:v>
                </c:pt>
                <c:pt idx="162">
                  <c:v>0.21898091759067262</c:v>
                </c:pt>
                <c:pt idx="163">
                  <c:v>0.219872477268613</c:v>
                </c:pt>
                <c:pt idx="164">
                  <c:v>0.22114990744243812</c:v>
                </c:pt>
                <c:pt idx="165">
                  <c:v>0.22125567483140005</c:v>
                </c:pt>
                <c:pt idx="166">
                  <c:v>0.22028350681312608</c:v>
                </c:pt>
                <c:pt idx="167">
                  <c:v>0.21823813969247927</c:v>
                </c:pt>
                <c:pt idx="168">
                  <c:v>0.21512953829247172</c:v>
                </c:pt>
                <c:pt idx="169">
                  <c:v>0.2109728474066489</c:v>
                </c:pt>
                <c:pt idx="170">
                  <c:v>0.20578831801517727</c:v>
                </c:pt>
                <c:pt idx="171">
                  <c:v>0.19960120862410513</c:v>
                </c:pt>
                <c:pt idx="172">
                  <c:v>0.19244166220845971</c:v>
                </c:pt>
                <c:pt idx="173">
                  <c:v>0.18434455935870289</c:v>
                </c:pt>
                <c:pt idx="174">
                  <c:v>0.17534934834600077</c:v>
                </c:pt>
                <c:pt idx="175">
                  <c:v>0.16549985293421177</c:v>
                </c:pt>
                <c:pt idx="176">
                  <c:v>0.15484405887491434</c:v>
                </c:pt>
                <c:pt idx="177">
                  <c:v>0.14343388012564878</c:v>
                </c:pt>
                <c:pt idx="178">
                  <c:v>0.13132490593033416</c:v>
                </c:pt>
                <c:pt idx="179">
                  <c:v>0.11857612999406039</c:v>
                </c:pt>
                <c:pt idx="180">
                  <c:v>0.10524966307168644</c:v>
                </c:pt>
                <c:pt idx="181">
                  <c:v>9.1410430370486365E-2</c:v>
                </c:pt>
                <c:pt idx="182">
                  <c:v>8.7878353470022846E-2</c:v>
                </c:pt>
                <c:pt idx="183">
                  <c:v>7.6704831811933341E-2</c:v>
                </c:pt>
                <c:pt idx="184">
                  <c:v>6.5618923491241765E-2</c:v>
                </c:pt>
                <c:pt idx="185">
                  <c:v>5.4625090088709354E-2</c:v>
                </c:pt>
                <c:pt idx="186">
                  <c:v>4.3727791434064772E-2</c:v>
                </c:pt>
                <c:pt idx="187">
                  <c:v>3.2931486795251388E-2</c:v>
                </c:pt>
                <c:pt idx="188">
                  <c:v>2.2240636048987926E-2</c:v>
                </c:pt>
                <c:pt idx="189">
                  <c:v>1.1659700833295596E-2</c:v>
                </c:pt>
                <c:pt idx="190">
                  <c:v>1.1931456825047247E-3</c:v>
                </c:pt>
                <c:pt idx="191">
                  <c:v>-9.1545608548965329E-3</c:v>
                </c:pt>
                <c:pt idx="192">
                  <c:v>-1.9378945115370035E-2</c:v>
                </c:pt>
                <c:pt idx="193">
                  <c:v>-2.9475527236364062E-2</c:v>
                </c:pt>
                <c:pt idx="194">
                  <c:v>-3.9439820089436334E-2</c:v>
                </c:pt>
                <c:pt idx="195">
                  <c:v>-4.9267328230822624E-2</c:v>
                </c:pt>
                <c:pt idx="196">
                  <c:v>-5.8953546870023577E-2</c:v>
                </c:pt>
                <c:pt idx="197">
                  <c:v>-6.8493960857214486E-2</c:v>
                </c:pt>
                <c:pt idx="198">
                  <c:v>-7.78840436905303E-2</c:v>
                </c:pt>
                <c:pt idx="199">
                  <c:v>-7.3208189056118714E-2</c:v>
                </c:pt>
                <c:pt idx="200">
                  <c:v>-6.8555807079666853E-2</c:v>
                </c:pt>
              </c:numCache>
            </c:numRef>
          </c:xVal>
          <c:yVal>
            <c:numRef>
              <c:f>Samplespace!$S$11:$S$3100</c:f>
              <c:numCache>
                <c:formatCode>General</c:formatCode>
                <c:ptCount val="3090"/>
                <c:pt idx="0">
                  <c:v>-0.33070874543918843</c:v>
                </c:pt>
                <c:pt idx="1">
                  <c:v>-0.339826645246676</c:v>
                </c:pt>
                <c:pt idx="2">
                  <c:v>-0.34889084353958305</c:v>
                </c:pt>
                <c:pt idx="3">
                  <c:v>-0.34973798936182765</c:v>
                </c:pt>
                <c:pt idx="4">
                  <c:v>-0.3504786016045246</c:v>
                </c:pt>
                <c:pt idx="5">
                  <c:v>-0.35111245467001045</c:v>
                </c:pt>
                <c:pt idx="6">
                  <c:v>-0.35163935548050107</c:v>
                </c:pt>
                <c:pt idx="7">
                  <c:v>-0.35205914353690537</c:v>
                </c:pt>
                <c:pt idx="8">
                  <c:v>-0.35237169096771481</c:v>
                </c:pt>
                <c:pt idx="9">
                  <c:v>-0.35257690256795426</c:v>
                </c:pt>
                <c:pt idx="10">
                  <c:v>-0.35267471582818244</c:v>
                </c:pt>
                <c:pt idx="11">
                  <c:v>-0.35266510095353265</c:v>
                </c:pt>
                <c:pt idx="12">
                  <c:v>-0.35254806087278884</c:v>
                </c:pt>
                <c:pt idx="13">
                  <c:v>-0.35232363123749344</c:v>
                </c:pt>
                <c:pt idx="14">
                  <c:v>-0.35199188041108742</c:v>
                </c:pt>
                <c:pt idx="15">
                  <c:v>-0.35155290944808626</c:v>
                </c:pt>
                <c:pt idx="16">
                  <c:v>-0.35100685206329774</c:v>
                </c:pt>
                <c:pt idx="17">
                  <c:v>-0.35035387459109102</c:v>
                </c:pt>
                <c:pt idx="18">
                  <c:v>-0.34959417593472963</c:v>
                </c:pt>
                <c:pt idx="19">
                  <c:v>-0.34872798750578371</c:v>
                </c:pt>
                <c:pt idx="20">
                  <c:v>-0.3477555731536397</c:v>
                </c:pt>
                <c:pt idx="21">
                  <c:v>-0.34667722908512916</c:v>
                </c:pt>
                <c:pt idx="22">
                  <c:v>-0.34549328377430155</c:v>
                </c:pt>
                <c:pt idx="23">
                  <c:v>-0.34420409786236772</c:v>
                </c:pt>
                <c:pt idx="24">
                  <c:v>-0.34281006404784503</c:v>
                </c:pt>
                <c:pt idx="25">
                  <c:v>-0.34131160696693774</c:v>
                </c:pt>
                <c:pt idx="26">
                  <c:v>-0.33970918306418851</c:v>
                </c:pt>
                <c:pt idx="27">
                  <c:v>-0.33800328045344119</c:v>
                </c:pt>
                <c:pt idx="28">
                  <c:v>-0.33619441876915646</c:v>
                </c:pt>
                <c:pt idx="29">
                  <c:v>-0.33428314900812617</c:v>
                </c:pt>
                <c:pt idx="30">
                  <c:v>-0.33227005336163445</c:v>
                </c:pt>
                <c:pt idx="31">
                  <c:v>-0.33015574503811645</c:v>
                </c:pt>
                <c:pt idx="32">
                  <c:v>-0.32794086807636935</c:v>
                </c:pt>
                <c:pt idx="33">
                  <c:v>-0.32562609714937163</c:v>
                </c:pt>
                <c:pt idx="34">
                  <c:v>-0.32321213735877141</c:v>
                </c:pt>
                <c:pt idx="35">
                  <c:v>-0.32069972402010538</c:v>
                </c:pt>
                <c:pt idx="36">
                  <c:v>-0.31808962243881495</c:v>
                </c:pt>
                <c:pt idx="37">
                  <c:v>-0.31538262767712616</c:v>
                </c:pt>
                <c:pt idx="38">
                  <c:v>-0.3125795643118669</c:v>
                </c:pt>
                <c:pt idx="39">
                  <c:v>-0.30968128618329205</c:v>
                </c:pt>
                <c:pt idx="40">
                  <c:v>-0.30668867613499562</c:v>
                </c:pt>
                <c:pt idx="41">
                  <c:v>-0.30360264574498869</c:v>
                </c:pt>
                <c:pt idx="42">
                  <c:v>-0.3004241350480229</c:v>
                </c:pt>
                <c:pt idx="43">
                  <c:v>-0.29715411224924759</c:v>
                </c:pt>
                <c:pt idx="44">
                  <c:v>-0.29379357342928458</c:v>
                </c:pt>
                <c:pt idx="45">
                  <c:v>-0.29034354224081282</c:v>
                </c:pt>
                <c:pt idx="46">
                  <c:v>-0.28680506959675339</c:v>
                </c:pt>
                <c:pt idx="47">
                  <c:v>-0.28317923335015177</c:v>
                </c:pt>
                <c:pt idx="48">
                  <c:v>-0.27946713796585282</c:v>
                </c:pt>
                <c:pt idx="49">
                  <c:v>-0.27566991418407044</c:v>
                </c:pt>
                <c:pt idx="50">
                  <c:v>-0.27178871867595328</c:v>
                </c:pt>
                <c:pt idx="51">
                  <c:v>-0.26782473369125098</c:v>
                </c:pt>
                <c:pt idx="52">
                  <c:v>-0.2637791666981899</c:v>
                </c:pt>
                <c:pt idx="53">
                  <c:v>-0.2596532500156663</c:v>
                </c:pt>
                <c:pt idx="54">
                  <c:v>-0.25544824043787046</c:v>
                </c:pt>
                <c:pt idx="55">
                  <c:v>-0.25116541885145455</c:v>
                </c:pt>
                <c:pt idx="56">
                  <c:v>-0.24680608984536243</c:v>
                </c:pt>
                <c:pt idx="57">
                  <c:v>-0.24237158131343914</c:v>
                </c:pt>
                <c:pt idx="58">
                  <c:v>-0.23786324404994155</c:v>
                </c:pt>
                <c:pt idx="59">
                  <c:v>-0.2332824513380734</c:v>
                </c:pt>
                <c:pt idx="60">
                  <c:v>-0.22863059853166975</c:v>
                </c:pt>
                <c:pt idx="61">
                  <c:v>-0.22390910263015912</c:v>
                </c:pt>
                <c:pt idx="62">
                  <c:v>-0.21911940184693113</c:v>
                </c:pt>
                <c:pt idx="63">
                  <c:v>-0.21426295517124319</c:v>
                </c:pt>
                <c:pt idx="64">
                  <c:v>-0.20934124192379827</c:v>
                </c:pt>
                <c:pt idx="65">
                  <c:v>-0.20435576130612923</c:v>
                </c:pt>
                <c:pt idx="66">
                  <c:v>-0.19930803194392763</c:v>
                </c:pt>
                <c:pt idx="67">
                  <c:v>-0.19419959142445561</c:v>
                </c:pt>
                <c:pt idx="68">
                  <c:v>-0.18903199582818206</c:v>
                </c:pt>
                <c:pt idx="69">
                  <c:v>-0.18474625602246811</c:v>
                </c:pt>
                <c:pt idx="70">
                  <c:v>-0.18380681925478515</c:v>
                </c:pt>
                <c:pt idx="71">
                  <c:v>-0.1794749941644099</c:v>
                </c:pt>
                <c:pt idx="72">
                  <c:v>-0.1785256533436666</c:v>
                </c:pt>
                <c:pt idx="73">
                  <c:v>-0.17414906248451581</c:v>
                </c:pt>
                <c:pt idx="74">
                  <c:v>-0.17319010678912281</c:v>
                </c:pt>
                <c:pt idx="75">
                  <c:v>-0.1687700833131692</c:v>
                </c:pt>
                <c:pt idx="76">
                  <c:v>-0.16780180485032073</c:v>
                </c:pt>
                <c:pt idx="77">
                  <c:v>-0.16333969513953273</c:v>
                </c:pt>
                <c:pt idx="78">
                  <c:v>-0.15785955211244979</c:v>
                </c:pt>
                <c:pt idx="79">
                  <c:v>-0.15233132353657339</c:v>
                </c:pt>
                <c:pt idx="80">
                  <c:v>-0.14675669336388125</c:v>
                </c:pt>
                <c:pt idx="81">
                  <c:v>-0.14113735968072633</c:v>
                </c:pt>
                <c:pt idx="82">
                  <c:v>-0.13547503419058449</c:v>
                </c:pt>
                <c:pt idx="83">
                  <c:v>-0.12977144169265203</c:v>
                </c:pt>
                <c:pt idx="84">
                  <c:v>-0.12402831955645573</c:v>
                </c:pt>
                <c:pt idx="85">
                  <c:v>-0.11824741719263332</c:v>
                </c:pt>
                <c:pt idx="86">
                  <c:v>-0.11243049552004546</c:v>
                </c:pt>
                <c:pt idx="87">
                  <c:v>-0.10657932642938364</c:v>
                </c:pt>
                <c:pt idx="88">
                  <c:v>-0.10069569224343418</c:v>
                </c:pt>
                <c:pt idx="89">
                  <c:v>-9.4781385174166455E-2</c:v>
                </c:pt>
                <c:pt idx="90">
                  <c:v>-8.883820677680665E-2</c:v>
                </c:pt>
                <c:pt idx="91">
                  <c:v>-8.2867967401067721E-2</c:v>
                </c:pt>
                <c:pt idx="92">
                  <c:v>-7.6872485639698424E-2</c:v>
                </c:pt>
                <c:pt idx="93">
                  <c:v>-7.0853587774522594E-2</c:v>
                </c:pt>
                <c:pt idx="94">
                  <c:v>-6.4813107220136723E-2</c:v>
                </c:pt>
                <c:pt idx="95">
                  <c:v>-5.875288396543276E-2</c:v>
                </c:pt>
                <c:pt idx="96">
                  <c:v>-5.2674764013121128E-2</c:v>
                </c:pt>
                <c:pt idx="97">
                  <c:v>-4.6580598817418994E-2</c:v>
                </c:pt>
                <c:pt idx="98">
                  <c:v>-4.0472244720080881E-2</c:v>
                </c:pt>
                <c:pt idx="99">
                  <c:v>-3.4351562384937424E-2</c:v>
                </c:pt>
                <c:pt idx="100">
                  <c:v>-2.8220416231120642E-2</c:v>
                </c:pt>
                <c:pt idx="101">
                  <c:v>-2.2080673865142529E-2</c:v>
                </c:pt>
                <c:pt idx="102">
                  <c:v>-1.5934205512004643E-2</c:v>
                </c:pt>
                <c:pt idx="103">
                  <c:v>-9.7828834455098469E-3</c:v>
                </c:pt>
                <c:pt idx="104">
                  <c:v>-3.6285814179484671E-3</c:v>
                </c:pt>
                <c:pt idx="105">
                  <c:v>2.526825910663518E-3</c:v>
                </c:pt>
                <c:pt idx="106">
                  <c:v>8.6814635436253586E-3</c:v>
                </c:pt>
                <c:pt idx="107">
                  <c:v>1.4833456718692434E-2</c:v>
                </c:pt>
                <c:pt idx="108">
                  <c:v>2.0980931479148229E-2</c:v>
                </c:pt>
                <c:pt idx="109">
                  <c:v>2.7122015244628456E-2</c:v>
                </c:pt>
                <c:pt idx="110">
                  <c:v>3.3254837381528346E-2</c:v>
                </c:pt>
                <c:pt idx="111">
                  <c:v>3.9377529772815112E-2</c:v>
                </c:pt>
                <c:pt idx="112">
                  <c:v>4.5488227387074212E-2</c:v>
                </c:pt>
                <c:pt idx="113">
                  <c:v>5.1585068846617003E-2</c:v>
                </c:pt>
                <c:pt idx="114">
                  <c:v>5.7666196994473229E-2</c:v>
                </c:pt>
                <c:pt idx="115">
                  <c:v>6.3729759460099983E-2</c:v>
                </c:pt>
                <c:pt idx="116">
                  <c:v>6.977390922363115E-2</c:v>
                </c:pt>
                <c:pt idx="117">
                  <c:v>7.5796805178497781E-2</c:v>
                </c:pt>
                <c:pt idx="118">
                  <c:v>8.1796612692246862E-2</c:v>
                </c:pt>
                <c:pt idx="119">
                  <c:v>8.7771504165388356E-2</c:v>
                </c:pt>
                <c:pt idx="120">
                  <c:v>9.3719659588099385E-2</c:v>
                </c:pt>
                <c:pt idx="121">
                  <c:v>9.9639267094617151E-2</c:v>
                </c:pt>
                <c:pt idx="122">
                  <c:v>0.10552852351515067</c:v>
                </c:pt>
                <c:pt idx="123">
                  <c:v>0.11138563492514361</c:v>
                </c:pt>
                <c:pt idx="124">
                  <c:v>0.11720881719172156</c:v>
                </c:pt>
                <c:pt idx="125">
                  <c:v>0.12299629651715561</c:v>
                </c:pt>
                <c:pt idx="126">
                  <c:v>0.12874630997917863</c:v>
                </c:pt>
                <c:pt idx="127">
                  <c:v>0.13445710606798852</c:v>
                </c:pt>
                <c:pt idx="128">
                  <c:v>0.14012694521977487</c:v>
                </c:pt>
                <c:pt idx="129">
                  <c:v>0.14575410034660705</c:v>
                </c:pt>
                <c:pt idx="130">
                  <c:v>0.15133685736252198</c:v>
                </c:pt>
                <c:pt idx="131">
                  <c:v>0.15687351570565125</c:v>
                </c:pt>
                <c:pt idx="132">
                  <c:v>0.16236238885622861</c:v>
                </c:pt>
                <c:pt idx="133">
                  <c:v>0.16780180485032067</c:v>
                </c:pt>
                <c:pt idx="134">
                  <c:v>0.17319010678912272</c:v>
                </c:pt>
                <c:pt idx="135">
                  <c:v>0.1785256533436666</c:v>
                </c:pt>
                <c:pt idx="136">
                  <c:v>0.18380681925478515</c:v>
                </c:pt>
                <c:pt idx="137">
                  <c:v>0.18903199582818206</c:v>
                </c:pt>
                <c:pt idx="138">
                  <c:v>0.19419959142445561</c:v>
                </c:pt>
                <c:pt idx="139">
                  <c:v>0.19930803194392763</c:v>
                </c:pt>
                <c:pt idx="140">
                  <c:v>0.20435576130612923</c:v>
                </c:pt>
                <c:pt idx="141">
                  <c:v>0.20934124192379827</c:v>
                </c:pt>
                <c:pt idx="142">
                  <c:v>0.21426295517124314</c:v>
                </c:pt>
                <c:pt idx="143">
                  <c:v>0.21911940184693104</c:v>
                </c:pt>
                <c:pt idx="144">
                  <c:v>0.22195194722435882</c:v>
                </c:pt>
                <c:pt idx="145">
                  <c:v>0.22472544322753077</c:v>
                </c:pt>
                <c:pt idx="146">
                  <c:v>0.22336460679242123</c:v>
                </c:pt>
                <c:pt idx="147">
                  <c:v>0.22201798802920697</c:v>
                </c:pt>
                <c:pt idx="148">
                  <c:v>0.21001110874110487</c:v>
                </c:pt>
                <c:pt idx="149">
                  <c:v>0.19794379012593208</c:v>
                </c:pt>
                <c:pt idx="150">
                  <c:v>0.18582111874131105</c:v>
                </c:pt>
                <c:pt idx="151">
                  <c:v>0.17364815913448123</c:v>
                </c:pt>
                <c:pt idx="152">
                  <c:v>0.16142995539498656</c:v>
                </c:pt>
                <c:pt idx="153">
                  <c:v>0.14917153268830863</c:v>
                </c:pt>
                <c:pt idx="154">
                  <c:v>0.13687789877109535</c:v>
                </c:pt>
                <c:pt idx="155">
                  <c:v>0.12455404548875217</c:v>
                </c:pt>
                <c:pt idx="156">
                  <c:v>0.11220495025626592</c:v>
                </c:pt>
                <c:pt idx="157">
                  <c:v>9.9835577523218394E-2</c:v>
                </c:pt>
                <c:pt idx="158">
                  <c:v>8.7450880224022975E-2</c:v>
                </c:pt>
                <c:pt idx="159">
                  <c:v>7.5055801214480175E-2</c:v>
                </c:pt>
                <c:pt idx="160">
                  <c:v>6.2655274695799526E-2</c:v>
                </c:pt>
                <c:pt idx="161">
                  <c:v>5.0254227627275556E-2</c:v>
                </c:pt>
                <c:pt idx="162">
                  <c:v>3.7857581128836706E-2</c:v>
                </c:pt>
                <c:pt idx="163">
                  <c:v>2.5470251874706019E-2</c:v>
                </c:pt>
                <c:pt idx="164">
                  <c:v>9.2389625499171655E-3</c:v>
                </c:pt>
                <c:pt idx="165">
                  <c:v>-6.2101808105299444E-3</c:v>
                </c:pt>
                <c:pt idx="166">
                  <c:v>-2.1629068794313394E-2</c:v>
                </c:pt>
                <c:pt idx="167">
                  <c:v>-3.6942582129077292E-2</c:v>
                </c:pt>
                <c:pt idx="168">
                  <c:v>-5.2076114917163741E-2</c:v>
                </c:pt>
                <c:pt idx="169">
                  <c:v>-6.6955938108046495E-2</c:v>
                </c:pt>
                <c:pt idx="170">
                  <c:v>-8.1509558698854248E-2</c:v>
                </c:pt>
                <c:pt idx="171">
                  <c:v>-9.566607291299338E-2</c:v>
                </c:pt>
                <c:pt idx="172">
                  <c:v>-0.10935651163622043</c:v>
                </c:pt>
                <c:pt idx="173">
                  <c:v>-0.12251417642723383</c:v>
                </c:pt>
                <c:pt idx="174">
                  <c:v>-0.1350749644657758</c:v>
                </c:pt>
                <c:pt idx="175">
                  <c:v>-0.14697768085512844</c:v>
                </c:pt>
                <c:pt idx="176">
                  <c:v>-0.15816433675749969</c:v>
                </c:pt>
                <c:pt idx="177">
                  <c:v>-0.16858043190981192</c:v>
                </c:pt>
                <c:pt idx="178">
                  <c:v>-0.17817522014350531</c:v>
                </c:pt>
                <c:pt idx="179">
                  <c:v>-0.1869019566147701</c:v>
                </c:pt>
                <c:pt idx="180">
                  <c:v>-0.19471812554072668</c:v>
                </c:pt>
                <c:pt idx="181">
                  <c:v>-0.20158564733204637</c:v>
                </c:pt>
                <c:pt idx="182">
                  <c:v>-0.2031502768449884</c:v>
                </c:pt>
                <c:pt idx="183">
                  <c:v>-0.20857182814196751</c:v>
                </c:pt>
                <c:pt idx="184">
                  <c:v>-0.21416376467935683</c:v>
                </c:pt>
                <c:pt idx="185">
                  <c:v>-0.2199239807932708</c:v>
                </c:pt>
                <c:pt idx="186">
                  <c:v>-0.22585035889553573</c:v>
                </c:pt>
                <c:pt idx="187">
                  <c:v>-0.23194076874620495</c:v>
                </c:pt>
                <c:pt idx="188">
                  <c:v>-0.23819306667593185</c:v>
                </c:pt>
                <c:pt idx="189">
                  <c:v>-0.24460509475685299</c:v>
                </c:pt>
                <c:pt idx="190">
                  <c:v>-0.25117467992043402</c:v>
                </c:pt>
                <c:pt idx="191">
                  <c:v>-0.25789963302052876</c:v>
                </c:pt>
                <c:pt idx="192">
                  <c:v>-0.2647777478397077</c:v>
                </c:pt>
                <c:pt idx="193">
                  <c:v>-0.27180680003671032</c:v>
                </c:pt>
                <c:pt idx="194">
                  <c:v>-0.27898454603268308</c:v>
                </c:pt>
                <c:pt idx="195">
                  <c:v>-0.28630872183366485</c:v>
                </c:pt>
                <c:pt idx="196">
                  <c:v>-0.29377704178659025</c:v>
                </c:pt>
                <c:pt idx="197">
                  <c:v>-0.30138719726588031</c:v>
                </c:pt>
                <c:pt idx="198">
                  <c:v>-0.30913685528750129</c:v>
                </c:pt>
                <c:pt idx="199">
                  <c:v>-0.31992891060953704</c:v>
                </c:pt>
                <c:pt idx="200">
                  <c:v>-0.33070874543918843</c:v>
                </c:pt>
              </c:numCache>
            </c:numRef>
          </c:yVal>
        </c:ser>
        <c:ser>
          <c:idx val="9"/>
          <c:order val="4"/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C0C0C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Samplespace!$R$7</c:f>
              <c:numCache>
                <c:formatCode>General</c:formatCode>
                <c:ptCount val="1"/>
                <c:pt idx="0">
                  <c:v>0.61237243569579447</c:v>
                </c:pt>
              </c:numCache>
            </c:numRef>
          </c:xVal>
          <c:yVal>
            <c:numRef>
              <c:f>Samplespace!$S$7</c:f>
              <c:numCache>
                <c:formatCode>General</c:formatCode>
                <c:ptCount val="1"/>
                <c:pt idx="0">
                  <c:v>-0.35355339059327368</c:v>
                </c:pt>
              </c:numCache>
            </c:numRef>
          </c:yVal>
          <c:smooth val="1"/>
        </c:ser>
        <c:ser>
          <c:idx val="8"/>
          <c:order val="5"/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99CC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Samplespace!$R$9</c:f>
              <c:numCache>
                <c:formatCode>General</c:formatCode>
                <c:ptCount val="1"/>
                <c:pt idx="0">
                  <c:v>0.21267471502406848</c:v>
                </c:pt>
              </c:numCache>
            </c:numRef>
          </c:xVal>
          <c:yVal>
            <c:numRef>
              <c:f>Samplespace!$S$9</c:f>
              <c:numCache>
                <c:formatCode>General</c:formatCode>
                <c:ptCount val="1"/>
                <c:pt idx="0">
                  <c:v>-0.12278780396897304</c:v>
                </c:pt>
              </c:numCache>
            </c:numRef>
          </c:yVal>
          <c:smooth val="1"/>
        </c:ser>
        <c:ser>
          <c:idx val="10"/>
          <c:order val="6"/>
          <c:spPr>
            <a:ln w="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Samplespace!$U$11:$U$197</c:f>
              <c:numCache>
                <c:formatCode>General</c:formatCode>
                <c:ptCount val="187"/>
                <c:pt idx="0">
                  <c:v>-8.6297120865256538E-2</c:v>
                </c:pt>
                <c:pt idx="1">
                  <c:v>-8.0311087171937662E-2</c:v>
                </c:pt>
                <c:pt idx="2">
                  <c:v>-7.4004846076899597E-2</c:v>
                </c:pt>
                <c:pt idx="3">
                  <c:v>-6.7385080540885503E-2</c:v>
                </c:pt>
                <c:pt idx="4">
                  <c:v>-6.0458767440257251E-2</c:v>
                </c:pt>
                <c:pt idx="5">
                  <c:v>-5.3233173489529113E-2</c:v>
                </c:pt>
                <c:pt idx="6">
                  <c:v>-4.5715851133889665E-2</c:v>
                </c:pt>
                <c:pt idx="7">
                  <c:v>-3.7914634402346707E-2</c:v>
                </c:pt>
                <c:pt idx="8">
                  <c:v>-2.9837634711359879E-2</c:v>
                </c:pt>
                <c:pt idx="9">
                  <c:v>-2.1493236608067613E-2</c:v>
                </c:pt>
                <c:pt idx="10">
                  <c:v>-1.2890093441473911E-2</c:v>
                </c:pt>
                <c:pt idx="11">
                  <c:v>-4.0371229492320729E-3</c:v>
                </c:pt>
                <c:pt idx="12">
                  <c:v>5.0564972530474589E-3</c:v>
                </c:pt>
                <c:pt idx="13">
                  <c:v>1.4381334293733677E-2</c:v>
                </c:pt>
                <c:pt idx="14">
                  <c:v>2.3927704792799685E-2</c:v>
                </c:pt>
                <c:pt idx="15">
                  <c:v>3.3685679750233739E-2</c:v>
                </c:pt>
                <c:pt idx="16">
                  <c:v>4.364508959096846E-2</c:v>
                </c:pt>
                <c:pt idx="17">
                  <c:v>5.3795529382664083E-2</c:v>
                </c:pt>
                <c:pt idx="18">
                  <c:v>6.4126364243259612E-2</c:v>
                </c:pt>
                <c:pt idx="19">
                  <c:v>7.4626734955748203E-2</c:v>
                </c:pt>
                <c:pt idx="20">
                  <c:v>8.5285563808136663E-2</c:v>
                </c:pt>
                <c:pt idx="21">
                  <c:v>9.6091560677013924E-2</c:v>
                </c:pt>
                <c:pt idx="22">
                  <c:v>0.10703322937356294</c:v>
                </c:pt>
                <c:pt idx="23">
                  <c:v>0.11809887427121228</c:v>
                </c:pt>
                <c:pt idx="24">
                  <c:v>0.12927660723441833</c:v>
                </c:pt>
                <c:pt idx="25">
                  <c:v>0.14055435486829942</c:v>
                </c:pt>
                <c:pt idx="26">
                  <c:v>0.15191986610899436</c:v>
                </c:pt>
                <c:pt idx="27">
                  <c:v>0.16336072017468506</c:v>
                </c:pt>
                <c:pt idx="28">
                  <c:v>0.17486433489719963</c:v>
                </c:pt>
                <c:pt idx="29">
                  <c:v>0.18641797545398045</c:v>
                </c:pt>
                <c:pt idx="30">
                  <c:v>0.19800876351996599</c:v>
                </c:pt>
                <c:pt idx="31">
                  <c:v>0.20962368685857044</c:v>
                </c:pt>
                <c:pt idx="32">
                  <c:v>0.22124960937045302</c:v>
                </c:pt>
                <c:pt idx="33">
                  <c:v>0.23287328161813439</c:v>
                </c:pt>
                <c:pt idx="34">
                  <c:v>0.24448135184372816</c:v>
                </c:pt>
                <c:pt idx="35">
                  <c:v>0.25606037749610705</c:v>
                </c:pt>
                <c:pt idx="36">
                  <c:v>0.26759683728270073</c:v>
                </c:pt>
                <c:pt idx="37">
                  <c:v>0.2790771437598164</c:v>
                </c:pt>
                <c:pt idx="38">
                  <c:v>0.29048765647387947</c:v>
                </c:pt>
                <c:pt idx="39">
                  <c:v>0.30181469566429364</c:v>
                </c:pt>
                <c:pt idx="40">
                  <c:v>0.3130445565367182</c:v>
                </c:pt>
                <c:pt idx="41">
                  <c:v>0.3241635241134404</c:v>
                </c:pt>
                <c:pt idx="42">
                  <c:v>0.33515788866518509</c:v>
                </c:pt>
                <c:pt idx="43">
                  <c:v>0.34601396172614185</c:v>
                </c:pt>
                <c:pt idx="44">
                  <c:v>0.35671809269120025</c:v>
                </c:pt>
                <c:pt idx="45">
                  <c:v>0.36725668599137534</c:v>
                </c:pt>
                <c:pt idx="46">
                  <c:v>0.37761621884015967</c:v>
                </c:pt>
                <c:pt idx="47">
                  <c:v>0.38778325954008586</c:v>
                </c:pt>
                <c:pt idx="48">
                  <c:v>0.39774448633510717</c:v>
                </c:pt>
                <c:pt idx="49">
                  <c:v>0.40748670679052651</c:v>
                </c:pt>
                <c:pt idx="50">
                  <c:v>0.41699687767813942</c:v>
                </c:pt>
                <c:pt idx="51">
                  <c:v>0.42626212534000701</c:v>
                </c:pt>
                <c:pt idx="52">
                  <c:v>0.43526976649987886</c:v>
                </c:pt>
                <c:pt idx="53">
                  <c:v>0.44400732948674876</c:v>
                </c:pt>
                <c:pt idx="54">
                  <c:v>0.45246257583038296</c:v>
                </c:pt>
                <c:pt idx="55">
                  <c:v>0.46062352218394192</c:v>
                </c:pt>
                <c:pt idx="56">
                  <c:v>0.46847846252404957</c:v>
                </c:pt>
                <c:pt idx="57">
                  <c:v>0.47601599057388938</c:v>
                </c:pt>
                <c:pt idx="58">
                  <c:v>0.48322502239016768</c:v>
                </c:pt>
                <c:pt idx="59">
                  <c:v>0.49009481905011559</c:v>
                </c:pt>
                <c:pt idx="60">
                  <c:v>0.49661500937015668</c:v>
                </c:pt>
                <c:pt idx="61">
                  <c:v>0.50277561258349235</c:v>
                </c:pt>
                <c:pt idx="62">
                  <c:v>0.50856706089970072</c:v>
                </c:pt>
                <c:pt idx="63">
                  <c:v>0.51398022186556702</c:v>
                </c:pt>
                <c:pt idx="64">
                  <c:v>0.5190064204427991</c:v>
                </c:pt>
                <c:pt idx="65">
                  <c:v>0.52363746071511574</c:v>
                </c:pt>
                <c:pt idx="66">
                  <c:v>0.52786564713444284</c:v>
                </c:pt>
                <c:pt idx="67">
                  <c:v>0.5316838052136974</c:v>
                </c:pt>
                <c:pt idx="68">
                  <c:v>0.53508530157191869</c:v>
                </c:pt>
                <c:pt idx="69">
                  <c:v>0.53806406323635725</c:v>
                </c:pt>
                <c:pt idx="70">
                  <c:v>0.54061459610562634</c:v>
                </c:pt>
                <c:pt idx="71">
                  <c:v>0.54273200247816633</c:v>
                </c:pt>
                <c:pt idx="72">
                  <c:v>0.54441199755112457</c:v>
                </c:pt>
                <c:pt idx="73">
                  <c:v>0.54565092479633426</c:v>
                </c:pt>
                <c:pt idx="74">
                  <c:v>0.54644577012240036</c:v>
                </c:pt>
                <c:pt idx="75">
                  <c:v>0.54679417473499092</c:v>
                </c:pt>
                <c:pt idx="76">
                  <c:v>0.54669444661128774</c:v>
                </c:pt>
                <c:pt idx="77">
                  <c:v>0.5461455705091689</c:v>
                </c:pt>
                <c:pt idx="78">
                  <c:v>0.5451472164370621</c:v>
                </c:pt>
                <c:pt idx="79">
                  <c:v>0.5436997465165071</c:v>
                </c:pt>
                <c:pt idx="80">
                  <c:v>0.54180422017625063</c:v>
                </c:pt>
                <c:pt idx="81">
                  <c:v>0.53946239762414583</c:v>
                </c:pt>
                <c:pt idx="82">
                  <c:v>0.53667674155117373</c:v>
                </c:pt>
                <c:pt idx="83">
                  <c:v>0.53345041703048968</c:v>
                </c:pt>
                <c:pt idx="84">
                  <c:v>0.52978728958347121</c:v>
                </c:pt>
                <c:pt idx="85">
                  <c:v>0.5256919213941954</c:v>
                </c:pt>
                <c:pt idx="86">
                  <c:v>0.52116956566356565</c:v>
                </c:pt>
                <c:pt idx="87">
                  <c:v>0.5162261591043068</c:v>
                </c:pt>
                <c:pt idx="88">
                  <c:v>0.51086831258819909</c:v>
                </c:pt>
                <c:pt idx="89">
                  <c:v>0.50510329996710479</c:v>
                </c:pt>
                <c:pt idx="90">
                  <c:v>0.49893904509946529</c:v>
                </c:pt>
                <c:pt idx="91">
                  <c:v>0.49238410712392605</c:v>
                </c:pt>
                <c:pt idx="92">
                  <c:v>0.48544766403145861</c:v>
                </c:pt>
                <c:pt idx="93">
                  <c:v>0.47813949459672578</c:v>
                </c:pt>
                <c:pt idx="94">
                  <c:v>0.47046995873836583</c:v>
                </c:pt>
                <c:pt idx="95">
                  <c:v>0.46244997638628277</c:v>
                </c:pt>
                <c:pt idx="96">
                  <c:v>0.45409100494183008</c:v>
                </c:pt>
                <c:pt idx="97">
                  <c:v>0.44540501542390837</c:v>
                </c:pt>
                <c:pt idx="98">
                  <c:v>0.43640446740038086</c:v>
                </c:pt>
                <c:pt idx="99">
                  <c:v>0.42710228280980966</c:v>
                </c:pt>
                <c:pt idx="100">
                  <c:v>0.41751181878327215</c:v>
                </c:pt>
                <c:pt idx="101">
                  <c:v>0.40764683957990133</c:v>
                </c:pt>
                <c:pt idx="102">
                  <c:v>0.39752148775279256</c:v>
                </c:pt>
                <c:pt idx="103">
                  <c:v>0.3871502546640001</c:v>
                </c:pt>
                <c:pt idx="104">
                  <c:v>0.37654795046853845</c:v>
                </c:pt>
                <c:pt idx="105">
                  <c:v>0.36572967368758258</c:v>
                </c:pt>
                <c:pt idx="106">
                  <c:v>0.35471078049047966</c:v>
                </c:pt>
                <c:pt idx="107">
                  <c:v>0.34350685380374646</c:v>
                </c:pt>
                <c:pt idx="108">
                  <c:v>0.33213367236299068</c:v>
                </c:pt>
                <c:pt idx="109">
                  <c:v>0.32060717982068915</c:v>
                </c:pt>
                <c:pt idx="110">
                  <c:v>0.30894345401905149</c:v>
                </c:pt>
                <c:pt idx="111">
                  <c:v>0.29715867653284311</c:v>
                </c:pt>
                <c:pt idx="112">
                  <c:v>0.28526910258210353</c:v>
                </c:pt>
                <c:pt idx="113">
                  <c:v>0.27329103140924499</c:v>
                </c:pt>
                <c:pt idx="114">
                  <c:v>0.26124077720912509</c:v>
                </c:pt>
                <c:pt idx="115">
                  <c:v>0.24913464069441812</c:v>
                </c:pt>
                <c:pt idx="116">
                  <c:v>0.2369888813720521</c:v>
                </c:pt>
                <c:pt idx="117">
                  <c:v>0.22481969059969117</c:v>
                </c:pt>
                <c:pt idx="118">
                  <c:v>0.2126431654842966</c:v>
                </c:pt>
                <c:pt idx="119">
                  <c:v>0.20047528367778655</c:v>
                </c:pt>
                <c:pt idx="120">
                  <c:v>0.18833187911775284</c:v>
                </c:pt>
                <c:pt idx="121">
                  <c:v>0.17622861875420773</c:v>
                </c:pt>
                <c:pt idx="122">
                  <c:v>0.16418098029641984</c:v>
                </c:pt>
                <c:pt idx="123">
                  <c:v>0.15220423100714972</c:v>
                </c:pt>
                <c:pt idx="124">
                  <c:v>0.14031340756505861</c:v>
                </c:pt>
                <c:pt idx="125">
                  <c:v>0.12852329700973997</c:v>
                </c:pt>
                <c:pt idx="126">
                  <c:v>0.11684841877781971</c:v>
                </c:pt>
                <c:pt idx="127">
                  <c:v>0.10530300783283694</c:v>
                </c:pt>
                <c:pt idx="128">
                  <c:v>9.3900998886261425E-2</c:v>
                </c:pt>
                <c:pt idx="129">
                  <c:v>8.2656011701967916E-2</c:v>
                </c:pt>
                <c:pt idx="130">
                  <c:v>7.1581337471860101E-2</c:v>
                </c:pt>
                <c:pt idx="131">
                  <c:v>6.0689926246067574E-2</c:v>
                </c:pt>
                <c:pt idx="132">
                  <c:v>4.9994375397269836E-2</c:v>
                </c:pt>
                <c:pt idx="133">
                  <c:v>3.9506919095233788E-2</c:v>
                </c:pt>
                <c:pt idx="134">
                  <c:v>2.9239418764547293E-2</c:v>
                </c:pt>
                <c:pt idx="135">
                  <c:v>1.9203354495844621E-2</c:v>
                </c:pt>
                <c:pt idx="136">
                  <c:v>9.4098173784714183E-3</c:v>
                </c:pt>
                <c:pt idx="137">
                  <c:v>-1.3049727941236513E-4</c:v>
                </c:pt>
                <c:pt idx="138">
                  <c:v>-9.4072958789287852E-3</c:v>
                </c:pt>
                <c:pt idx="139">
                  <c:v>-1.8410691643685695E-2</c:v>
                </c:pt>
                <c:pt idx="140">
                  <c:v>-2.7131208955975976E-2</c:v>
                </c:pt>
                <c:pt idx="141">
                  <c:v>-3.5559786954534982E-2</c:v>
                </c:pt>
                <c:pt idx="142">
                  <c:v>-4.3687782432808381E-2</c:v>
                </c:pt>
                <c:pt idx="143">
                  <c:v>-5.1506972076838034E-2</c:v>
                </c:pt>
                <c:pt idx="144">
                  <c:v>-5.9009554081766794E-2</c:v>
                </c:pt>
                <c:pt idx="145">
                  <c:v>-6.6188149185667525E-2</c:v>
                </c:pt>
                <c:pt idx="146">
                  <c:v>-7.3035801158887928E-2</c:v>
                </c:pt>
                <c:pt idx="147">
                  <c:v>-7.9545976786437878E-2</c:v>
                </c:pt>
                <c:pt idx="148">
                  <c:v>-8.5712565380104716E-2</c:v>
                </c:pt>
                <c:pt idx="149">
                  <c:v>-9.1529877856022429E-2</c:v>
                </c:pt>
                <c:pt idx="150">
                  <c:v>-9.6992645412335599E-2</c:v>
                </c:pt>
                <c:pt idx="151">
                  <c:v>-0.10209601784040839</c:v>
                </c:pt>
                <c:pt idx="152">
                  <c:v>-0.1068355615017697</c:v>
                </c:pt>
                <c:pt idx="153">
                  <c:v>-0.11120725700163472</c:v>
                </c:pt>
                <c:pt idx="154">
                  <c:v>-0.11520749658846118</c:v>
                </c:pt>
                <c:pt idx="155">
                  <c:v>-0.11883308130754944</c:v>
                </c:pt>
                <c:pt idx="156">
                  <c:v>-0.12208121793523848</c:v>
                </c:pt>
                <c:pt idx="157">
                  <c:v>-0.12494951571875283</c:v>
                </c:pt>
                <c:pt idx="158">
                  <c:v>-0.12743598294526143</c:v>
                </c:pt>
                <c:pt idx="159">
                  <c:v>-0.12953902336220657</c:v>
                </c:pt>
                <c:pt idx="160">
                  <c:v>-0.13125743246946336</c:v>
                </c:pt>
                <c:pt idx="161">
                  <c:v>-0.1325903937024078</c:v>
                </c:pt>
                <c:pt idx="162">
                  <c:v>-0.13353747452350179</c:v>
                </c:pt>
                <c:pt idx="163">
                  <c:v>-0.13409862243856041</c:v>
                </c:pt>
                <c:pt idx="164">
                  <c:v>-0.13427416095244474</c:v>
                </c:pt>
                <c:pt idx="165">
                  <c:v>-0.13406478547753461</c:v>
                </c:pt>
                <c:pt idx="166">
                  <c:v>-0.13347155920697654</c:v>
                </c:pt>
                <c:pt idx="167">
                  <c:v>-0.13249590896337524</c:v>
                </c:pt>
                <c:pt idx="168">
                  <c:v>-0.13113962103230714</c:v>
                </c:pt>
                <c:pt idx="169">
                  <c:v>-0.12940483698877867</c:v>
                </c:pt>
                <c:pt idx="170">
                  <c:v>-0.12729404952352955</c:v>
                </c:pt>
                <c:pt idx="171">
                  <c:v>-0.12481009827490062</c:v>
                </c:pt>
                <c:pt idx="172">
                  <c:v>-0.1219561656708308</c:v>
                </c:pt>
                <c:pt idx="173">
                  <c:v>-0.11873577278443721</c:v>
                </c:pt>
                <c:pt idx="174">
                  <c:v>-0.11515277520554493</c:v>
                </c:pt>
                <c:pt idx="175">
                  <c:v>-0.11121135892948657</c:v>
                </c:pt>
                <c:pt idx="176">
                  <c:v>-0.10691603626346889</c:v>
                </c:pt>
                <c:pt idx="177">
                  <c:v>-0.10227164174981106</c:v>
                </c:pt>
                <c:pt idx="178">
                  <c:v>-9.7283328104400366E-2</c:v>
                </c:pt>
                <c:pt idx="179">
                  <c:v>-9.1956562167764863E-2</c:v>
                </c:pt>
                <c:pt idx="180">
                  <c:v>-8.629712086525658E-2</c:v>
                </c:pt>
              </c:numCache>
            </c:numRef>
          </c:xVal>
          <c:yVal>
            <c:numRef>
              <c:f>Samplespace!$V$11:$V$197</c:f>
              <c:numCache>
                <c:formatCode>General</c:formatCode>
                <c:ptCount val="187"/>
                <c:pt idx="0">
                  <c:v>4.9823665961845488E-2</c:v>
                </c:pt>
                <c:pt idx="1">
                  <c:v>5.9814664044993485E-2</c:v>
                </c:pt>
                <c:pt idx="2">
                  <c:v>6.9606393533641564E-2</c:v>
                </c:pt>
                <c:pt idx="3">
                  <c:v>7.9188325399791884E-2</c:v>
                </c:pt>
                <c:pt idx="4">
                  <c:v>8.8550118978297537E-2</c:v>
                </c:pt>
                <c:pt idx="5">
                  <c:v>9.768162898576864E-2</c:v>
                </c:pt>
                <c:pt idx="6">
                  <c:v>0.1065729125673235</c:v>
                </c:pt>
                <c:pt idx="7">
                  <c:v>0.115214236380645</c:v>
                </c:pt>
                <c:pt idx="8">
                  <c:v>0.12359608372619224</c:v>
                </c:pt>
                <c:pt idx="9">
                  <c:v>0.13170916173177091</c:v>
                </c:pt>
                <c:pt idx="10">
                  <c:v>0.13954440859898035</c:v>
                </c:pt>
                <c:pt idx="11">
                  <c:v>0.14709300091833127</c:v>
                </c:pt>
                <c:pt idx="12">
                  <c:v>0.15434636105905972</c:v>
                </c:pt>
                <c:pt idx="13">
                  <c:v>0.16129616463885091</c:v>
                </c:pt>
                <c:pt idx="14">
                  <c:v>0.16793434807782689</c:v>
                </c:pt>
                <c:pt idx="15">
                  <c:v>0.17425311624024115</c:v>
                </c:pt>
                <c:pt idx="16">
                  <c:v>0.18024495016636127</c:v>
                </c:pt>
                <c:pt idx="17">
                  <c:v>0.18590261489600132</c:v>
                </c:pt>
                <c:pt idx="18">
                  <c:v>0.19121916738409114</c:v>
                </c:pt>
                <c:pt idx="19">
                  <c:v>0.19618796450753143</c:v>
                </c:pt>
                <c:pt idx="20">
                  <c:v>0.20080267116138445</c:v>
                </c:pt>
                <c:pt idx="21">
                  <c:v>0.20505726844118782</c:v>
                </c:pt>
                <c:pt idx="22">
                  <c:v>0.20894606190684423</c:v>
                </c:pt>
                <c:pt idx="23">
                  <c:v>0.21246368992214698</c:v>
                </c:pt>
                <c:pt idx="24">
                  <c:v>0.21560513206252785</c:v>
                </c:pt>
                <c:pt idx="25">
                  <c:v>0.21836571758207976</c:v>
                </c:pt>
                <c:pt idx="26">
                  <c:v>0.22074113392930192</c:v>
                </c:pt>
                <c:pt idx="27">
                  <c:v>0.22272743529933325</c:v>
                </c:pt>
                <c:pt idx="28">
                  <c:v>0.22432105120870638</c:v>
                </c:pt>
                <c:pt idx="29">
                  <c:v>0.22551879507683817</c:v>
                </c:pt>
                <c:pt idx="30">
                  <c:v>0.22631787279660934</c:v>
                </c:pt>
                <c:pt idx="31">
                  <c:v>0.22671589127445405</c:v>
                </c:pt>
                <c:pt idx="32">
                  <c:v>0.22671086691840459</c:v>
                </c:pt>
                <c:pt idx="33">
                  <c:v>0.22630123405050509</c:v>
                </c:pt>
                <c:pt idx="34">
                  <c:v>0.22548585321794823</c:v>
                </c:pt>
                <c:pt idx="35">
                  <c:v>0.2242640193751913</c:v>
                </c:pt>
                <c:pt idx="36">
                  <c:v>0.22263546990719577</c:v>
                </c:pt>
                <c:pt idx="37">
                  <c:v>0.22060039246181212</c:v>
                </c:pt>
                <c:pt idx="38">
                  <c:v>0.21815943255721768</c:v>
                </c:pt>
                <c:pt idx="39">
                  <c:v>0.21531370092821825</c:v>
                </c:pt>
                <c:pt idx="40">
                  <c:v>0.21206478057316716</c:v>
                </c:pt>
                <c:pt idx="41">
                  <c:v>0.20841473346125117</c:v>
                </c:pt>
                <c:pt idx="42">
                  <c:v>0.20436610685796372</c:v>
                </c:pt>
                <c:pt idx="43">
                  <c:v>0.19992193922475165</c:v>
                </c:pt>
                <c:pt idx="44">
                  <c:v>0.19508576564710325</c:v>
                </c:pt>
                <c:pt idx="45">
                  <c:v>0.18986162274377144</c:v>
                </c:pt>
                <c:pt idx="46">
                  <c:v>0.18425405300841596</c:v>
                </c:pt>
                <c:pt idx="47">
                  <c:v>0.17826810853372757</c:v>
                </c:pt>
                <c:pt idx="48">
                  <c:v>0.17190935406710195</c:v>
                </c:pt>
                <c:pt idx="49">
                  <c:v>0.16518386934617382</c:v>
                </c:pt>
                <c:pt idx="50">
                  <c:v>0.15809825066204386</c:v>
                </c:pt>
                <c:pt idx="51">
                  <c:v>0.15065961159785154</c:v>
                </c:pt>
                <c:pt idx="52">
                  <c:v>0.14287558289049543</c:v>
                </c:pt>
                <c:pt idx="53">
                  <c:v>0.13475431136381022</c:v>
                </c:pt>
                <c:pt idx="54">
                  <c:v>0.12630445788239086</c:v>
                </c:pt>
                <c:pt idx="55">
                  <c:v>0.11753519427654956</c:v>
                </c:pt>
                <c:pt idx="56">
                  <c:v>0.10845619919060202</c:v>
                </c:pt>
                <c:pt idx="57">
                  <c:v>9.9077652808845937E-2</c:v>
                </c:pt>
                <c:pt idx="58">
                  <c:v>8.941023041621747E-2</c:v>
                </c:pt>
                <c:pt idx="59">
                  <c:v>7.9465094753709969E-2</c:v>
                </c:pt>
                <c:pt idx="60">
                  <c:v>6.9253887132223871E-2</c:v>
                </c:pt>
                <c:pt idx="61">
                  <c:v>5.87887172725855E-2</c:v>
                </c:pt>
                <c:pt idx="62">
                  <c:v>4.8082151844033784E-2</c:v>
                </c:pt>
                <c:pt idx="63">
                  <c:v>3.7147201678509018E-2</c:v>
                </c:pt>
                <c:pt idx="64">
                  <c:v>2.5997307643589304E-2</c:v>
                </c:pt>
                <c:pt idx="65">
                  <c:v>1.4646325162878652E-2</c:v>
                </c:pt>
                <c:pt idx="66">
                  <c:v>3.1085073790360481E-3</c:v>
                </c:pt>
                <c:pt idx="67">
                  <c:v>-8.6015130385830706E-3</c:v>
                </c:pt>
                <c:pt idx="68">
                  <c:v>-2.0468743432561182E-2</c:v>
                </c:pt>
                <c:pt idx="69">
                  <c:v>-3.247785202576467E-2</c:v>
                </c:pt>
                <c:pt idx="70">
                  <c:v>-4.4613190095119569E-2</c:v>
                </c:pt>
                <c:pt idx="71">
                  <c:v>-5.6858815418608787E-2</c:v>
                </c:pt>
                <c:pt idx="72">
                  <c:v>-6.9198516955219128E-2</c:v>
                </c:pt>
                <c:pt idx="73">
                  <c:v>-8.1615840709416548E-2</c:v>
                </c:pt>
                <c:pt idx="74">
                  <c:v>-9.4094116723580729E-2</c:v>
                </c:pt>
                <c:pt idx="75">
                  <c:v>-0.10661648713375303</c:v>
                </c:pt>
                <c:pt idx="76">
                  <c:v>-0.11916593521612431</c:v>
                </c:pt>
                <c:pt idx="77">
                  <c:v>-0.13172531534399459</c:v>
                </c:pt>
                <c:pt idx="78">
                  <c:v>-0.14427738376755717</c:v>
                </c:pt>
                <c:pt idx="79">
                  <c:v>-0.15680483012187535</c:v>
                </c:pt>
                <c:pt idx="80">
                  <c:v>-0.16929030956191082</c:v>
                </c:pt>
                <c:pt idx="81">
                  <c:v>-0.18171647541751257</c:v>
                </c:pt>
                <c:pt idx="82">
                  <c:v>-0.19406601225594855</c:v>
                </c:pt>
                <c:pt idx="83">
                  <c:v>-0.20632166923493414</c:v>
                </c:pt>
                <c:pt idx="84">
                  <c:v>-0.21846629362524703</c:v>
                </c:pt>
                <c:pt idx="85">
                  <c:v>-0.23048286437896226</c:v>
                </c:pt>
                <c:pt idx="86">
                  <c:v>-0.24235452561715515</c:v>
                </c:pt>
                <c:pt idx="87">
                  <c:v>-0.25406461990962415</c:v>
                </c:pt>
                <c:pt idx="88">
                  <c:v>-0.26559672121882838</c:v>
                </c:pt>
                <c:pt idx="89">
                  <c:v>-0.27693466738080796</c:v>
                </c:pt>
                <c:pt idx="90">
                  <c:v>-0.28806259199739082</c:v>
                </c:pt>
                <c:pt idx="91">
                  <c:v>-0.29896495561645992</c:v>
                </c:pt>
                <c:pt idx="92">
                  <c:v>-0.30962657608045524</c:v>
                </c:pt>
                <c:pt idx="93">
                  <c:v>-0.32003265792758462</c:v>
                </c:pt>
                <c:pt idx="94">
                  <c:v>-0.33016882073537207</c:v>
                </c:pt>
                <c:pt idx="95">
                  <c:v>-0.34002112630214404</c:v>
                </c:pt>
                <c:pt idx="96">
                  <c:v>-0.3495761045687652</c:v>
                </c:pt>
                <c:pt idx="97">
                  <c:v>-0.35882077819033953</c:v>
                </c:pt>
                <c:pt idx="98">
                  <c:v>-0.36774268567559731</c:v>
                </c:pt>
                <c:pt idx="99">
                  <c:v>-0.37632990302021568</c:v>
                </c:pt>
                <c:pt idx="100">
                  <c:v>-0.38457106376929462</c:v>
                </c:pt>
                <c:pt idx="101">
                  <c:v>-0.39245537745351694</c:v>
                </c:pt>
                <c:pt idx="102">
                  <c:v>-0.3999726463530906</c:v>
                </c:pt>
                <c:pt idx="103">
                  <c:v>-0.40711328055328794</c:v>
                </c:pt>
                <c:pt idx="104">
                  <c:v>-0.4138683112651883</c:v>
                </c:pt>
                <c:pt idx="105">
                  <c:v>-0.42022940239497258</c:v>
                </c:pt>
                <c:pt idx="106">
                  <c:v>-0.42618886035475967</c:v>
                </c:pt>
                <c:pt idx="107">
                  <c:v>-0.43173964211738924</c:v>
                </c:pt>
                <c:pt idx="108">
                  <c:v>-0.43687536152669559</c:v>
                </c:pt>
                <c:pt idx="109">
                  <c:v>-0.44159029388358628</c:v>
                </c:pt>
                <c:pt idx="110">
                  <c:v>-0.44587937883657636</c:v>
                </c:pt>
                <c:pt idx="111">
                  <c:v>-0.44973822161327948</c:v>
                </c:pt>
                <c:pt idx="112">
                  <c:v>-0.45316309263665833</c:v>
                </c:pt>
                <c:pt idx="113">
                  <c:v>-0.45615092557654741</c:v>
                </c:pt>
                <c:pt idx="114">
                  <c:v>-0.45869931389305768</c:v>
                </c:pt>
                <c:pt idx="115">
                  <c:v>-0.46080650593390537</c:v>
                </c:pt>
                <c:pt idx="116">
                  <c:v>-0.46247139865248565</c:v>
                </c:pt>
                <c:pt idx="117">
                  <c:v>-0.46369353001759744</c:v>
                </c:pt>
                <c:pt idx="118">
                  <c:v>-0.46447307018914524</c:v>
                </c:pt>
                <c:pt idx="119">
                  <c:v>-0.46481081153688003</c:v>
                </c:pt>
                <c:pt idx="120">
                  <c:v>-0.46470815758131456</c:v>
                </c:pt>
                <c:pt idx="121">
                  <c:v>-0.4641671109373926</c:v>
                </c:pt>
                <c:pt idx="122">
                  <c:v>-0.46319026034229804</c:v>
                </c:pt>
                <c:pt idx="123">
                  <c:v>-0.46178076684902497</c:v>
                </c:pt>
                <c:pt idx="124">
                  <c:v>-0.45994234926700395</c:v>
                </c:pt>
                <c:pt idx="125">
                  <c:v>-0.45767926893023325</c:v>
                </c:pt>
                <c:pt idx="126">
                  <c:v>-0.45499631387204992</c:v>
                </c:pt>
                <c:pt idx="127">
                  <c:v>-0.45189878248391691</c:v>
                </c:pt>
                <c:pt idx="128">
                  <c:v>-0.4483924667334635</c:v>
                </c:pt>
                <c:pt idx="129">
                  <c:v>-0.44448363501451832</c:v>
                </c:pt>
                <c:pt idx="130">
                  <c:v>-0.44017901469908277</c:v>
                </c:pt>
                <c:pt idx="131">
                  <c:v>-0.43548577445814374</c:v>
                </c:pt>
                <c:pt idx="132">
                  <c:v>-0.43041150641494624</c:v>
                </c:pt>
                <c:pt idx="133">
                  <c:v>-0.42496420819091246</c:v>
                </c:pt>
                <c:pt idx="134">
                  <c:v>-0.4191522649008102</c:v>
                </c:pt>
                <c:pt idx="135">
                  <c:v>-0.41298443115010136</c:v>
                </c:pt>
                <c:pt idx="136">
                  <c:v>-0.40646981308366315</c:v>
                </c:pt>
                <c:pt idx="137">
                  <c:v>-0.39961785053131116</c:v>
                </c:pt>
                <c:pt idx="138">
                  <c:v>-0.39243829929178886</c:v>
                </c:pt>
                <c:pt idx="139">
                  <c:v>-0.38494121359315447</c:v>
                </c:pt>
                <c:pt idx="140">
                  <c:v>-0.3771369287638156</c:v>
                </c:pt>
                <c:pt idx="141">
                  <c:v>-0.36903604414485652</c:v>
                </c:pt>
                <c:pt idx="142">
                  <c:v>-0.36064940627079567</c:v>
                </c:pt>
                <c:pt idx="143">
                  <c:v>-0.35198809234250888</c:v>
                </c:pt>
                <c:pt idx="144">
                  <c:v>-0.34306339401278757</c:v>
                </c:pt>
                <c:pt idx="145">
                  <c:v>-0.33388680150185757</c:v>
                </c:pt>
                <c:pt idx="146">
                  <c:v>-0.32446998805720428</c:v>
                </c:pt>
                <c:pt idx="147">
                  <c:v>-0.31482479476920483</c:v>
                </c:pt>
                <c:pt idx="148">
                  <c:v>-0.30496321575139829</c:v>
                </c:pt>
                <c:pt idx="149">
                  <c:v>-0.29489738369170337</c:v>
                </c:pt>
                <c:pt idx="150">
                  <c:v>-0.28463955577854072</c:v>
                </c:pt>
                <c:pt idx="151">
                  <c:v>-0.27420210000363027</c:v>
                </c:pt>
                <c:pt idx="152">
                  <c:v>-0.2635974818411978</c:v>
                </c:pt>
                <c:pt idx="153">
                  <c:v>-0.25283825130146509</c:v>
                </c:pt>
                <c:pt idx="154">
                  <c:v>-0.24193703035457056</c:v>
                </c:pt>
                <c:pt idx="155">
                  <c:v>-0.23090650071952032</c:v>
                </c:pt>
                <c:pt idx="156">
                  <c:v>-0.2197593920113336</c:v>
                </c:pt>
                <c:pt idx="157">
                  <c:v>-0.20850847023828786</c:v>
                </c:pt>
                <c:pt idx="158">
                  <c:v>-0.19716652664001463</c:v>
                </c:pt>
                <c:pt idx="159">
                  <c:v>-0.18574636685618184</c:v>
                </c:pt>
                <c:pt idx="160">
                  <c:v>-0.17426080041461753</c:v>
                </c:pt>
                <c:pt idx="161">
                  <c:v>-0.16272263052693187</c:v>
                </c:pt>
                <c:pt idx="162">
                  <c:v>-0.15114464417904264</c:v>
                </c:pt>
                <c:pt idx="163">
                  <c:v>-0.13953960250341993</c:v>
                </c:pt>
                <c:pt idx="164">
                  <c:v>-0.12792023141940723</c:v>
                </c:pt>
                <c:pt idx="165">
                  <c:v>-0.11629921252757033</c:v>
                </c:pt>
                <c:pt idx="166">
                  <c:v>-0.10468917424373275</c:v>
                </c:pt>
                <c:pt idx="167">
                  <c:v>-9.3102683158115387E-2</c:v>
                </c:pt>
                <c:pt idx="168">
                  <c:v>-8.1552235604835238E-2</c:v>
                </c:pt>
                <c:pt idx="169">
                  <c:v>-7.0050249426929709E-2</c:v>
                </c:pt>
                <c:pt idx="170">
                  <c:v>-5.8609055922018642E-2</c:v>
                </c:pt>
                <c:pt idx="171">
                  <c:v>-4.7240891953749378E-2</c:v>
                </c:pt>
                <c:pt idx="172">
                  <c:v>-3.5957892214218128E-2</c:v>
                </c:pt>
                <c:pt idx="173">
                  <c:v>-2.4772081622690959E-2</c:v>
                </c:pt>
                <c:pt idx="174">
                  <c:v>-1.3695367846085924E-2</c:v>
                </c:pt>
                <c:pt idx="175">
                  <c:v>-2.7395339268878926E-3</c:v>
                </c:pt>
                <c:pt idx="176">
                  <c:v>8.083768995609265E-3</c:v>
                </c:pt>
                <c:pt idx="177">
                  <c:v>1.8763028884571278E-2</c:v>
                </c:pt>
                <c:pt idx="178">
                  <c:v>2.9286879938931257E-2</c:v>
                </c:pt>
                <c:pt idx="179">
                  <c:v>3.964410967394779E-2</c:v>
                </c:pt>
                <c:pt idx="180">
                  <c:v>4.9823665961845412E-2</c:v>
                </c:pt>
              </c:numCache>
            </c:numRef>
          </c:yVal>
        </c:ser>
        <c:ser>
          <c:idx val="11"/>
          <c:order val="7"/>
          <c:spPr>
            <a:ln>
              <a:noFill/>
            </a:ln>
          </c:spPr>
          <c:marker>
            <c:symbol val="circle"/>
            <c:size val="2"/>
            <c:spPr>
              <a:solidFill>
                <a:srgbClr val="00B050">
                  <a:alpha val="20000"/>
                </a:srgbClr>
              </a:solidFill>
              <a:ln w="0">
                <a:solidFill>
                  <a:srgbClr val="00B050">
                    <a:alpha val="20000"/>
                  </a:srgbClr>
                </a:solidFill>
              </a:ln>
            </c:spPr>
          </c:marker>
          <c:xVal>
            <c:numRef>
              <c:f>Samplespace!$X$11:$X$32010</c:f>
              <c:numCache>
                <c:formatCode>General</c:formatCode>
                <c:ptCount val="32000"/>
              </c:numCache>
            </c:numRef>
          </c:xVal>
          <c:yVal>
            <c:numRef>
              <c:f>Samplespace!$Y$11:$Y$32010</c:f>
              <c:numCache>
                <c:formatCode>General</c:formatCode>
                <c:ptCount val="32000"/>
              </c:numCache>
            </c:numRef>
          </c:yVal>
          <c:smooth val="1"/>
        </c:ser>
        <c:ser>
          <c:idx val="12"/>
          <c:order val="8"/>
          <c:spPr>
            <a:ln w="254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Samplespace!$AA$11:$AA$37</c:f>
              <c:numCache>
                <c:formatCode>General</c:formatCode>
                <c:ptCount val="27"/>
              </c:numCache>
            </c:numRef>
          </c:xVal>
          <c:yVal>
            <c:numRef>
              <c:f>Samplespace!$AB$11:$AB$37</c:f>
              <c:numCache>
                <c:formatCode>General</c:formatCode>
                <c:ptCount val="27"/>
              </c:numCache>
            </c:numRef>
          </c:yVal>
          <c:smooth val="1"/>
        </c:ser>
        <c:ser>
          <c:idx val="13"/>
          <c:order val="9"/>
          <c:spPr>
            <a:ln w="25400">
              <a:solidFill>
                <a:srgbClr val="2C5DEC"/>
              </a:solidFill>
            </a:ln>
          </c:spPr>
          <c:marker>
            <c:symbol val="none"/>
          </c:marker>
          <c:xVal>
            <c:numRef>
              <c:f>Samplespace!$AA$41:$AA$87</c:f>
              <c:numCache>
                <c:formatCode>General</c:formatCode>
                <c:ptCount val="47"/>
              </c:numCache>
            </c:numRef>
          </c:xVal>
          <c:yVal>
            <c:numRef>
              <c:f>Samplespace!$AB$41:$AB$87</c:f>
              <c:numCache>
                <c:formatCode>General</c:formatCode>
                <c:ptCount val="47"/>
              </c:numCache>
            </c:numRef>
          </c:yVal>
        </c:ser>
        <c:ser>
          <c:idx val="14"/>
          <c:order val="10"/>
          <c:spPr>
            <a:ln w="12700">
              <a:solidFill>
                <a:srgbClr val="FFC000"/>
              </a:solidFill>
              <a:prstDash val="dash"/>
            </a:ln>
          </c:spPr>
          <c:marker>
            <c:symbol val="none"/>
          </c:marker>
          <c:xVal>
            <c:numRef>
              <c:f>Samplespace!$AA$101:$AA$141</c:f>
              <c:numCache>
                <c:formatCode>General</c:formatCode>
                <c:ptCount val="41"/>
              </c:numCache>
            </c:numRef>
          </c:xVal>
          <c:yVal>
            <c:numRef>
              <c:f>Samplespace!$AB$101:$AB$141</c:f>
              <c:numCache>
                <c:formatCode>General</c:formatCode>
                <c:ptCount val="41"/>
              </c:numCache>
            </c:numRef>
          </c:yVal>
          <c:smooth val="1"/>
        </c:ser>
        <c:ser>
          <c:idx val="15"/>
          <c:order val="11"/>
          <c:spPr>
            <a:ln w="25400">
              <a:solidFill>
                <a:srgbClr val="FFC000"/>
              </a:solidFill>
              <a:prstDash val="solid"/>
            </a:ln>
          </c:spPr>
          <c:marker>
            <c:symbol val="none"/>
          </c:marker>
          <c:xVal>
            <c:numRef>
              <c:f>Samplespace!$AA$151:$AA$191</c:f>
              <c:numCache>
                <c:formatCode>General</c:formatCode>
                <c:ptCount val="41"/>
              </c:numCache>
            </c:numRef>
          </c:xVal>
          <c:yVal>
            <c:numRef>
              <c:f>Samplespace!$AB$151:$AB$191</c:f>
              <c:numCache>
                <c:formatCode>General</c:formatCode>
                <c:ptCount val="41"/>
              </c:numCache>
            </c:numRef>
          </c:yVal>
          <c:smooth val="1"/>
        </c:ser>
        <c:ser>
          <c:idx val="16"/>
          <c:order val="12"/>
          <c:spPr>
            <a:ln w="12700">
              <a:solidFill>
                <a:srgbClr val="7030A0"/>
              </a:solidFill>
              <a:prstDash val="dash"/>
            </a:ln>
          </c:spPr>
          <c:marker>
            <c:symbol val="none"/>
          </c:marker>
          <c:xVal>
            <c:numRef>
              <c:f>Samplespace!$AA$201:$AA$226</c:f>
              <c:numCache>
                <c:formatCode>General</c:formatCode>
                <c:ptCount val="26"/>
              </c:numCache>
            </c:numRef>
          </c:xVal>
          <c:yVal>
            <c:numRef>
              <c:f>Samplespace!$AB$201:$AB$226</c:f>
              <c:numCache>
                <c:formatCode>General</c:formatCode>
                <c:ptCount val="26"/>
              </c:numCache>
            </c:numRef>
          </c:yVal>
          <c:smooth val="1"/>
        </c:ser>
        <c:ser>
          <c:idx val="17"/>
          <c:order val="13"/>
          <c:spPr>
            <a:ln w="25400">
              <a:solidFill>
                <a:srgbClr val="7030A0"/>
              </a:solidFill>
              <a:prstDash val="solid"/>
            </a:ln>
          </c:spPr>
          <c:marker>
            <c:symbol val="none"/>
          </c:marker>
          <c:xVal>
            <c:numRef>
              <c:f>Samplespace!$AA$231:$AA$258</c:f>
              <c:numCache>
                <c:formatCode>General</c:formatCode>
                <c:ptCount val="28"/>
              </c:numCache>
            </c:numRef>
          </c:xVal>
          <c:yVal>
            <c:numRef>
              <c:f>Samplespace!$AB$231:$AB$258</c:f>
              <c:numCache>
                <c:formatCode>General</c:formatCode>
                <c:ptCount val="28"/>
              </c:numCache>
            </c:numRef>
          </c:yVal>
          <c:smooth val="1"/>
        </c:ser>
        <c:ser>
          <c:idx val="1"/>
          <c:order val="14"/>
          <c:spPr>
            <a:ln w="635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Samplespace!$AD$11:$AD$640</c:f>
              <c:numCache>
                <c:formatCode>General</c:formatCode>
                <c:ptCount val="630"/>
              </c:numCache>
            </c:numRef>
          </c:xVal>
          <c:yVal>
            <c:numRef>
              <c:f>Samplespace!$AE$11:$AE$640</c:f>
              <c:numCache>
                <c:formatCode>General</c:formatCode>
                <c:ptCount val="630"/>
              </c:numCache>
            </c:numRef>
          </c:yVal>
          <c:smooth val="1"/>
        </c:ser>
        <c:axId val="259493248"/>
        <c:axId val="259503232"/>
      </c:scatterChart>
      <c:valAx>
        <c:axId val="259493248"/>
        <c:scaling>
          <c:orientation val="minMax"/>
          <c:max val="1"/>
          <c:min val="-1"/>
        </c:scaling>
        <c:delete val="1"/>
        <c:axPos val="b"/>
        <c:numFmt formatCode="General" sourceLinked="1"/>
        <c:tickLblPos val="none"/>
        <c:crossAx val="259503232"/>
        <c:crosses val="autoZero"/>
        <c:crossBetween val="midCat"/>
      </c:valAx>
      <c:valAx>
        <c:axId val="259503232"/>
        <c:scaling>
          <c:orientation val="minMax"/>
          <c:max val="1"/>
          <c:min val="-1"/>
        </c:scaling>
        <c:delete val="1"/>
        <c:axPos val="l"/>
        <c:numFmt formatCode="General" sourceLinked="1"/>
        <c:tickLblPos val="none"/>
        <c:crossAx val="259493248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91" r="0.7500000000000091" t="1" header="0.5" footer="0.5"/>
    <c:pageSetup paperSize="9" orientation="landscape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601209</xdr:colOff>
      <xdr:row>27</xdr:row>
      <xdr:rowOff>134710</xdr:rowOff>
    </xdr:from>
    <xdr:to>
      <xdr:col>12</xdr:col>
      <xdr:colOff>295275</xdr:colOff>
      <xdr:row>52</xdr:row>
      <xdr:rowOff>47625</xdr:rowOff>
    </xdr:to>
    <xdr:graphicFrame macro="">
      <xdr:nvGraphicFramePr>
        <xdr:cNvPr id="3080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5</xdr:col>
      <xdr:colOff>600075</xdr:colOff>
      <xdr:row>1</xdr:row>
      <xdr:rowOff>133350</xdr:rowOff>
    </xdr:from>
    <xdr:to>
      <xdr:col>12</xdr:col>
      <xdr:colOff>294141</xdr:colOff>
      <xdr:row>26</xdr:row>
      <xdr:rowOff>46265</xdr:rowOff>
    </xdr:to>
    <xdr:graphicFrame macro="">
      <xdr:nvGraphicFramePr>
        <xdr:cNvPr id="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0.48438</cdr:x>
      <cdr:y>0.01199</cdr:y>
    </cdr:from>
    <cdr:to>
      <cdr:x>0.51008</cdr:x>
      <cdr:y>0.0513</cdr:y>
    </cdr:to>
    <cdr:sp macro="" textlink="">
      <cdr:nvSpPr>
        <cdr:cNvPr id="4097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19307" y="47509"/>
          <a:ext cx="101823" cy="15574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18288" tIns="22860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sv-SE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N</a:t>
          </a:r>
        </a:p>
      </cdr:txBody>
    </cdr:sp>
  </cdr:relSizeAnchor>
  <cdr:relSizeAnchor xmlns:cdr="http://schemas.openxmlformats.org/drawingml/2006/chartDrawing">
    <cdr:from>
      <cdr:x>0.02883</cdr:x>
      <cdr:y>0.93506</cdr:y>
    </cdr:from>
    <cdr:to>
      <cdr:x>0.07372</cdr:x>
      <cdr:y>0.98777</cdr:y>
    </cdr:to>
    <cdr:sp macro="" textlink="">
      <cdr:nvSpPr>
        <cdr:cNvPr id="4109" name="Text Box 1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7673" y="3717165"/>
          <a:ext cx="178327" cy="20934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Symbol"/>
            </a:rPr>
            <a:t>W:</a:t>
          </a:r>
        </a:p>
      </cdr:txBody>
    </cdr:sp>
  </cdr:relSizeAnchor>
  <cdr:relSizeAnchor xmlns:cdr="http://schemas.openxmlformats.org/drawingml/2006/chartDrawing">
    <cdr:from>
      <cdr:x>0.0747</cdr:x>
      <cdr:y>0.93506</cdr:y>
    </cdr:from>
    <cdr:to>
      <cdr:x>0.20256</cdr:x>
      <cdr:y>0.98581</cdr:y>
    </cdr:to>
    <cdr:sp macro="" textlink="Samplespace!$R$5">
      <cdr:nvSpPr>
        <cdr:cNvPr id="4111" name="Text Box 15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299876" y="3717165"/>
          <a:ext cx="507845" cy="20158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18288" rIns="0" bIns="18288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fld id="{BE751D84-66AF-4486-9C48-E3427F15A85D}" type="TxLink">
            <a:rPr lang="sv-SE" sz="1100" b="0" i="0" u="none" strike="noStrike" baseline="0">
              <a:solidFill>
                <a:srgbClr val="000000"/>
              </a:solidFill>
              <a:latin typeface="+mn-lt"/>
              <a:cs typeface="Arial"/>
            </a:rPr>
            <a:pPr algn="l" rtl="0">
              <a:defRPr sz="1000"/>
            </a:pPr>
            <a:t>28.1°</a:t>
          </a:fld>
          <a:endParaRPr lang="sv-SE" sz="1100" b="0" i="0" u="none" strike="noStrike" baseline="0">
            <a:solidFill>
              <a:srgbClr val="000000"/>
            </a:solidFill>
            <a:latin typeface="+mn-lt"/>
            <a:cs typeface="Arial"/>
          </a:endParaRPr>
        </a:p>
      </cdr:txBody>
    </cdr:sp>
  </cdr:relSizeAnchor>
  <cdr:relSizeAnchor xmlns:cdr="http://schemas.openxmlformats.org/drawingml/2006/chartDrawing">
    <cdr:from>
      <cdr:x>0</cdr:x>
      <cdr:y>0</cdr:y>
    </cdr:from>
    <cdr:to>
      <cdr:x>0.3727</cdr:x>
      <cdr:y>0.06493</cdr:y>
    </cdr:to>
    <cdr:sp macro="" textlink="">
      <cdr:nvSpPr>
        <cdr:cNvPr id="5" name="textruta 4"/>
        <cdr:cNvSpPr txBox="1"/>
      </cdr:nvSpPr>
      <cdr:spPr>
        <a:xfrm xmlns:a="http://schemas.openxmlformats.org/drawingml/2006/main">
          <a:off x="0" y="0"/>
          <a:ext cx="14763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sv-SE" sz="1100"/>
            <a:t>Equal Area Projection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0.48438</cdr:x>
      <cdr:y>0</cdr:y>
    </cdr:from>
    <cdr:to>
      <cdr:x>0.51008</cdr:x>
      <cdr:y>0.03931</cdr:y>
    </cdr:to>
    <cdr:sp macro="" textlink="">
      <cdr:nvSpPr>
        <cdr:cNvPr id="4097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18758" y="0"/>
          <a:ext cx="101805" cy="15570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18288" tIns="22860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sv-SE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N</a:t>
          </a:r>
        </a:p>
      </cdr:txBody>
    </cdr:sp>
  </cdr:relSizeAnchor>
  <cdr:relSizeAnchor xmlns:cdr="http://schemas.openxmlformats.org/drawingml/2006/chartDrawing">
    <cdr:from>
      <cdr:x>0.02883</cdr:x>
      <cdr:y>0.93506</cdr:y>
    </cdr:from>
    <cdr:to>
      <cdr:x>0.07372</cdr:x>
      <cdr:y>0.98777</cdr:y>
    </cdr:to>
    <cdr:sp macro="" textlink="">
      <cdr:nvSpPr>
        <cdr:cNvPr id="4109" name="Text Box 1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7673" y="3717165"/>
          <a:ext cx="178327" cy="20934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Symbol"/>
            </a:rPr>
            <a:t>W:</a:t>
          </a:r>
        </a:p>
      </cdr:txBody>
    </cdr:sp>
  </cdr:relSizeAnchor>
  <cdr:relSizeAnchor xmlns:cdr="http://schemas.openxmlformats.org/drawingml/2006/chartDrawing">
    <cdr:from>
      <cdr:x>0.0747</cdr:x>
      <cdr:y>0.93506</cdr:y>
    </cdr:from>
    <cdr:to>
      <cdr:x>0.20256</cdr:x>
      <cdr:y>0.98581</cdr:y>
    </cdr:to>
    <cdr:sp macro="" textlink="Samplespace!$R$5">
      <cdr:nvSpPr>
        <cdr:cNvPr id="4111" name="Text Box 15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294949" y="3668912"/>
          <a:ext cx="504846" cy="19912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18288" rIns="0" bIns="18288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fld id="{BE751D84-66AF-4486-9C48-E3427F15A85D}" type="TxLink">
            <a:rPr lang="sv-SE" sz="1100" b="0" i="0" u="none" strike="noStrike" baseline="0">
              <a:solidFill>
                <a:srgbClr val="000000"/>
              </a:solidFill>
              <a:latin typeface="+mn-lt"/>
              <a:cs typeface="Arial"/>
            </a:rPr>
            <a:pPr algn="l" rtl="0">
              <a:defRPr sz="1000"/>
            </a:pPr>
            <a:t>28.1°</a:t>
          </a:fld>
          <a:endParaRPr lang="sv-SE" sz="1100" b="0" i="0" u="none" strike="noStrike" baseline="0">
            <a:solidFill>
              <a:srgbClr val="000000"/>
            </a:solidFill>
            <a:latin typeface="+mn-lt"/>
            <a:cs typeface="Arial"/>
          </a:endParaRPr>
        </a:p>
      </cdr:txBody>
    </cdr:sp>
  </cdr:relSizeAnchor>
  <cdr:relSizeAnchor xmlns:cdr="http://schemas.openxmlformats.org/drawingml/2006/chartDrawing">
    <cdr:from>
      <cdr:x>0</cdr:x>
      <cdr:y>0</cdr:y>
    </cdr:from>
    <cdr:to>
      <cdr:x>0.3727</cdr:x>
      <cdr:y>0.06493</cdr:y>
    </cdr:to>
    <cdr:sp macro="" textlink="">
      <cdr:nvSpPr>
        <cdr:cNvPr id="5" name="textruta 4"/>
        <cdr:cNvSpPr txBox="1"/>
      </cdr:nvSpPr>
      <cdr:spPr>
        <a:xfrm xmlns:a="http://schemas.openxmlformats.org/drawingml/2006/main">
          <a:off x="0" y="0"/>
          <a:ext cx="14763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sv-SE" sz="1100"/>
            <a:t>Equal Area Projection</a:t>
          </a:r>
        </a:p>
      </cdr:txBody>
    </cdr:sp>
  </cdr:relSizeAnchor>
  <cdr:relSizeAnchor xmlns:cdr="http://schemas.openxmlformats.org/drawingml/2006/chartDrawing">
    <cdr:from>
      <cdr:x>0.77666</cdr:x>
      <cdr:y>0.03607</cdr:y>
    </cdr:from>
    <cdr:to>
      <cdr:x>0.82956</cdr:x>
      <cdr:y>0.09619</cdr:y>
    </cdr:to>
    <cdr:sp macro="" textlink="">
      <cdr:nvSpPr>
        <cdr:cNvPr id="6" name="textruta 5"/>
        <cdr:cNvSpPr txBox="1"/>
      </cdr:nvSpPr>
      <cdr:spPr>
        <a:xfrm xmlns:a="http://schemas.openxmlformats.org/drawingml/2006/main">
          <a:off x="3076575" y="142875"/>
          <a:ext cx="209550" cy="2381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sv-SE" sz="1100">
              <a:latin typeface="Symbol" pitchFamily="18" charset="2"/>
            </a:rPr>
            <a:t>a</a:t>
          </a:r>
        </a:p>
      </cdr:txBody>
    </cdr:sp>
  </cdr:relSizeAnchor>
  <cdr:relSizeAnchor xmlns:cdr="http://schemas.openxmlformats.org/drawingml/2006/chartDrawing">
    <cdr:from>
      <cdr:x>0.78734</cdr:x>
      <cdr:y>0.0024</cdr:y>
    </cdr:from>
    <cdr:to>
      <cdr:x>0.90757</cdr:x>
      <cdr:y>0.06252</cdr:y>
    </cdr:to>
    <cdr:sp macro="" textlink="">
      <cdr:nvSpPr>
        <cdr:cNvPr id="7" name="textruta 1"/>
        <cdr:cNvSpPr txBox="1"/>
      </cdr:nvSpPr>
      <cdr:spPr>
        <a:xfrm xmlns:a="http://schemas.openxmlformats.org/drawingml/2006/main">
          <a:off x="3108772" y="9435"/>
          <a:ext cx="474708" cy="2358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sv-SE" sz="1100"/>
            <a:t>exp</a:t>
          </a:r>
        </a:p>
      </cdr:txBody>
    </cdr:sp>
  </cdr:relSizeAnchor>
  <cdr:relSizeAnchor xmlns:cdr="http://schemas.openxmlformats.org/drawingml/2006/chartDrawing">
    <cdr:from>
      <cdr:x>0.88295</cdr:x>
      <cdr:y>0</cdr:y>
    </cdr:from>
    <cdr:to>
      <cdr:x>0.99385</cdr:x>
      <cdr:y>0.06012</cdr:y>
    </cdr:to>
    <cdr:sp macro="" textlink="">
      <cdr:nvSpPr>
        <cdr:cNvPr id="8" name="textruta 1"/>
        <cdr:cNvSpPr txBox="1"/>
      </cdr:nvSpPr>
      <cdr:spPr>
        <a:xfrm xmlns:a="http://schemas.openxmlformats.org/drawingml/2006/main">
          <a:off x="3486277" y="0"/>
          <a:ext cx="437861" cy="2358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sv-SE" sz="1100"/>
            <a:t>unc</a:t>
          </a:r>
        </a:p>
      </cdr:txBody>
    </cdr:sp>
  </cdr:relSizeAnchor>
  <cdr:relSizeAnchor xmlns:cdr="http://schemas.openxmlformats.org/drawingml/2006/chartDrawing">
    <cdr:from>
      <cdr:x>0.80071</cdr:x>
      <cdr:y>0.04328</cdr:y>
    </cdr:from>
    <cdr:to>
      <cdr:x>0.91132</cdr:x>
      <cdr:y>0.1034</cdr:y>
    </cdr:to>
    <cdr:sp macro="" textlink="Samplespace!$C$5">
      <cdr:nvSpPr>
        <cdr:cNvPr id="9" name="textruta 1"/>
        <cdr:cNvSpPr txBox="1"/>
      </cdr:nvSpPr>
      <cdr:spPr>
        <a:xfrm xmlns:a="http://schemas.openxmlformats.org/drawingml/2006/main">
          <a:off x="3171825" y="171450"/>
          <a:ext cx="438149" cy="2381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fld id="{4CC8912A-F676-4AC5-AC26-05A3A7F4BF69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50</a:t>
          </a:fld>
          <a:endParaRPr lang="sv-SE" sz="1100">
            <a:latin typeface="+mn-lt"/>
          </a:endParaRPr>
        </a:p>
      </cdr:txBody>
    </cdr:sp>
  </cdr:relSizeAnchor>
  <cdr:relSizeAnchor xmlns:cdr="http://schemas.openxmlformats.org/drawingml/2006/chartDrawing">
    <cdr:from>
      <cdr:x>0.8867</cdr:x>
      <cdr:y>0.04088</cdr:y>
    </cdr:from>
    <cdr:to>
      <cdr:x>0.9976</cdr:x>
      <cdr:y>0.101</cdr:y>
    </cdr:to>
    <cdr:sp macro="" textlink="Samplespace!$C$6">
      <cdr:nvSpPr>
        <cdr:cNvPr id="10" name="textruta 1"/>
        <cdr:cNvSpPr txBox="1"/>
      </cdr:nvSpPr>
      <cdr:spPr>
        <a:xfrm xmlns:a="http://schemas.openxmlformats.org/drawingml/2006/main">
          <a:off x="3512456" y="161925"/>
          <a:ext cx="439284" cy="2381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fld id="{F6F93E53-30D1-4FB6-94E2-A5517CB387E7}" type="TxLink">
            <a:rPr lang="en-US" sz="1100" b="0" i="0" u="none" strike="noStrike">
              <a:solidFill>
                <a:srgbClr val="000000"/>
              </a:solidFill>
              <a:latin typeface="+mn-lt"/>
              <a:cs typeface="Arial"/>
            </a:rPr>
            <a:pPr algn="r"/>
            <a:t>1</a:t>
          </a:fld>
          <a:endParaRPr lang="sv-SE" sz="1100">
            <a:latin typeface="+mn-lt"/>
          </a:endParaRPr>
        </a:p>
      </cdr:txBody>
    </cdr:sp>
  </cdr:relSizeAnchor>
  <cdr:relSizeAnchor xmlns:cdr="http://schemas.openxmlformats.org/drawingml/2006/chartDrawing">
    <cdr:from>
      <cdr:x>0.77907</cdr:x>
      <cdr:y>0.08897</cdr:y>
    </cdr:from>
    <cdr:to>
      <cdr:x>0.83678</cdr:x>
      <cdr:y>0.14909</cdr:y>
    </cdr:to>
    <cdr:sp macro="" textlink="">
      <cdr:nvSpPr>
        <cdr:cNvPr id="11" name="textruta 1"/>
        <cdr:cNvSpPr txBox="1"/>
      </cdr:nvSpPr>
      <cdr:spPr>
        <a:xfrm xmlns:a="http://schemas.openxmlformats.org/drawingml/2006/main">
          <a:off x="3086100" y="352425"/>
          <a:ext cx="228600" cy="2381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sv-SE" sz="1100">
              <a:latin typeface="Symbol" pitchFamily="18" charset="2"/>
            </a:rPr>
            <a:t>b</a:t>
          </a:r>
        </a:p>
      </cdr:txBody>
    </cdr:sp>
  </cdr:relSizeAnchor>
  <cdr:relSizeAnchor xmlns:cdr="http://schemas.openxmlformats.org/drawingml/2006/chartDrawing">
    <cdr:from>
      <cdr:x>0.80311</cdr:x>
      <cdr:y>0.09378</cdr:y>
    </cdr:from>
    <cdr:to>
      <cdr:x>0.91132</cdr:x>
      <cdr:y>0.1539</cdr:y>
    </cdr:to>
    <cdr:sp macro="" textlink="Samplespace!$D$5">
      <cdr:nvSpPr>
        <cdr:cNvPr id="12" name="textruta 1"/>
        <cdr:cNvSpPr txBox="1"/>
      </cdr:nvSpPr>
      <cdr:spPr>
        <a:xfrm xmlns:a="http://schemas.openxmlformats.org/drawingml/2006/main">
          <a:off x="3181351" y="371475"/>
          <a:ext cx="428624" cy="2381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fld id="{52369483-FA2B-4517-B2ED-DAC1A893BA74}" type="TxLink">
            <a:rPr lang="en-US" sz="1100" b="0" i="0" u="none" strike="noStrike">
              <a:solidFill>
                <a:srgbClr val="000000"/>
              </a:solidFill>
              <a:latin typeface="+mn-lt"/>
              <a:cs typeface="Arial"/>
            </a:rPr>
            <a:pPr algn="r"/>
            <a:t>0</a:t>
          </a:fld>
          <a:endParaRPr lang="sv-SE" sz="1100">
            <a:latin typeface="+mn-lt"/>
          </a:endParaRPr>
        </a:p>
      </cdr:txBody>
    </cdr:sp>
  </cdr:relSizeAnchor>
  <cdr:relSizeAnchor xmlns:cdr="http://schemas.openxmlformats.org/drawingml/2006/chartDrawing">
    <cdr:from>
      <cdr:x>0.8867</cdr:x>
      <cdr:y>0.09138</cdr:y>
    </cdr:from>
    <cdr:to>
      <cdr:x>0.9976</cdr:x>
      <cdr:y>0.15149</cdr:y>
    </cdr:to>
    <cdr:sp macro="" textlink="Samplespace!$D$6">
      <cdr:nvSpPr>
        <cdr:cNvPr id="13" name="textruta 1"/>
        <cdr:cNvSpPr txBox="1"/>
      </cdr:nvSpPr>
      <cdr:spPr>
        <a:xfrm xmlns:a="http://schemas.openxmlformats.org/drawingml/2006/main">
          <a:off x="3512456" y="361950"/>
          <a:ext cx="439284" cy="2381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fld id="{55507048-37E0-4D45-88B9-DE996D6784D4}" type="TxLink">
            <a:rPr lang="en-US" sz="1100" b="0" i="0" u="none" strike="noStrike">
              <a:solidFill>
                <a:srgbClr val="000000"/>
              </a:solidFill>
              <a:latin typeface="+mn-lt"/>
              <a:cs typeface="Arial"/>
            </a:rPr>
            <a:pPr algn="r"/>
            <a:t>25</a:t>
          </a:fld>
          <a:endParaRPr lang="sv-SE" sz="1100">
            <a:latin typeface="+mn-lt"/>
          </a:endParaRPr>
        </a:p>
      </cdr:txBody>
    </cdr:sp>
  </cdr:relSizeAnchor>
  <cdr:relSizeAnchor xmlns:cdr="http://schemas.openxmlformats.org/drawingml/2006/chartDrawing">
    <cdr:from>
      <cdr:x>0.72258</cdr:x>
      <cdr:y>0.89014</cdr:y>
    </cdr:from>
    <cdr:to>
      <cdr:x>0.84041</cdr:x>
      <cdr:y>0.93898</cdr:y>
    </cdr:to>
    <cdr:sp macro="" textlink="">
      <cdr:nvSpPr>
        <cdr:cNvPr id="14" name="textruta 1"/>
        <cdr:cNvSpPr txBox="1"/>
      </cdr:nvSpPr>
      <cdr:spPr>
        <a:xfrm xmlns:a="http://schemas.openxmlformats.org/drawingml/2006/main">
          <a:off x="2852025" y="3500436"/>
          <a:ext cx="465041" cy="1920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sv-SE" sz="1100">
              <a:latin typeface="+mn-lt"/>
            </a:rPr>
            <a:t>bear</a:t>
          </a:r>
        </a:p>
      </cdr:txBody>
    </cdr:sp>
  </cdr:relSizeAnchor>
  <cdr:relSizeAnchor xmlns:cdr="http://schemas.openxmlformats.org/drawingml/2006/chartDrawing">
    <cdr:from>
      <cdr:x>0.78494</cdr:x>
      <cdr:y>0.84885</cdr:y>
    </cdr:from>
    <cdr:to>
      <cdr:x>0.90516</cdr:x>
      <cdr:y>0.90897</cdr:y>
    </cdr:to>
    <cdr:sp macro="" textlink="">
      <cdr:nvSpPr>
        <cdr:cNvPr id="15" name="textruta 1"/>
        <cdr:cNvSpPr txBox="1"/>
      </cdr:nvSpPr>
      <cdr:spPr>
        <a:xfrm xmlns:a="http://schemas.openxmlformats.org/drawingml/2006/main">
          <a:off x="3099278" y="3330644"/>
          <a:ext cx="474708" cy="2358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sv-SE" sz="1100"/>
            <a:t>exp</a:t>
          </a:r>
        </a:p>
      </cdr:txBody>
    </cdr:sp>
  </cdr:relSizeAnchor>
  <cdr:relSizeAnchor xmlns:cdr="http://schemas.openxmlformats.org/drawingml/2006/chartDrawing">
    <cdr:from>
      <cdr:x>0.88055</cdr:x>
      <cdr:y>0.84644</cdr:y>
    </cdr:from>
    <cdr:to>
      <cdr:x>0.99144</cdr:x>
      <cdr:y>0.90656</cdr:y>
    </cdr:to>
    <cdr:sp macro="" textlink="">
      <cdr:nvSpPr>
        <cdr:cNvPr id="16" name="textruta 1"/>
        <cdr:cNvSpPr txBox="1"/>
      </cdr:nvSpPr>
      <cdr:spPr>
        <a:xfrm xmlns:a="http://schemas.openxmlformats.org/drawingml/2006/main">
          <a:off x="3476783" y="3321209"/>
          <a:ext cx="437861" cy="2358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sv-SE" sz="1100"/>
            <a:t>unc</a:t>
          </a:r>
        </a:p>
      </cdr:txBody>
    </cdr:sp>
  </cdr:relSizeAnchor>
  <cdr:relSizeAnchor xmlns:cdr="http://schemas.openxmlformats.org/drawingml/2006/chartDrawing">
    <cdr:from>
      <cdr:x>0.79831</cdr:x>
      <cdr:y>0.88973</cdr:y>
    </cdr:from>
    <cdr:to>
      <cdr:x>0.90891</cdr:x>
      <cdr:y>0.94985</cdr:y>
    </cdr:to>
    <cdr:sp macro="" textlink="Samplespace!$C$8">
      <cdr:nvSpPr>
        <cdr:cNvPr id="17" name="textruta 1"/>
        <cdr:cNvSpPr txBox="1"/>
      </cdr:nvSpPr>
      <cdr:spPr>
        <a:xfrm xmlns:a="http://schemas.openxmlformats.org/drawingml/2006/main">
          <a:off x="3152058" y="3491044"/>
          <a:ext cx="436730" cy="2358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fld id="{60EDF57F-4166-47CA-B21D-A78ECEB664D7}" type="TxLink">
            <a:rPr lang="en-US" sz="1100" b="0" i="0" u="none" strike="noStrike">
              <a:solidFill>
                <a:srgbClr val="000000"/>
              </a:solidFill>
              <a:latin typeface="+mn-lt"/>
              <a:cs typeface="Arial"/>
            </a:rPr>
            <a:pPr algn="r"/>
            <a:t>120</a:t>
          </a:fld>
          <a:endParaRPr lang="sv-SE" sz="1100">
            <a:latin typeface="+mn-lt"/>
          </a:endParaRPr>
        </a:p>
      </cdr:txBody>
    </cdr:sp>
  </cdr:relSizeAnchor>
  <cdr:relSizeAnchor xmlns:cdr="http://schemas.openxmlformats.org/drawingml/2006/chartDrawing">
    <cdr:from>
      <cdr:x>0.8843</cdr:x>
      <cdr:y>0.88732</cdr:y>
    </cdr:from>
    <cdr:to>
      <cdr:x>0.99519</cdr:x>
      <cdr:y>0.94744</cdr:y>
    </cdr:to>
    <cdr:sp macro="" textlink="Samplespace!$C$9">
      <cdr:nvSpPr>
        <cdr:cNvPr id="18" name="textruta 1"/>
        <cdr:cNvSpPr txBox="1"/>
      </cdr:nvSpPr>
      <cdr:spPr>
        <a:xfrm xmlns:a="http://schemas.openxmlformats.org/drawingml/2006/main">
          <a:off x="3502931" y="3514725"/>
          <a:ext cx="439284" cy="2381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fld id="{4CE1C488-4623-4119-AA02-0A13B94F9C4D}" type="TxLink">
            <a:rPr lang="en-US" sz="1100" b="0" i="0" u="none" strike="noStrike">
              <a:solidFill>
                <a:srgbClr val="000000"/>
              </a:solidFill>
              <a:latin typeface="+mn-lt"/>
              <a:cs typeface="Arial"/>
            </a:rPr>
            <a:pPr algn="r"/>
            <a:t>35</a:t>
          </a:fld>
          <a:endParaRPr lang="sv-SE" sz="1100">
            <a:latin typeface="+mn-lt"/>
          </a:endParaRPr>
        </a:p>
      </cdr:txBody>
    </cdr:sp>
  </cdr:relSizeAnchor>
  <cdr:relSizeAnchor xmlns:cdr="http://schemas.openxmlformats.org/drawingml/2006/chartDrawing">
    <cdr:from>
      <cdr:x>0.71174</cdr:x>
      <cdr:y>0.94009</cdr:y>
    </cdr:from>
    <cdr:to>
      <cdr:x>0.83437</cdr:x>
      <cdr:y>0.98983</cdr:y>
    </cdr:to>
    <cdr:sp macro="" textlink="">
      <cdr:nvSpPr>
        <cdr:cNvPr id="19" name="textruta 1"/>
        <cdr:cNvSpPr txBox="1"/>
      </cdr:nvSpPr>
      <cdr:spPr>
        <a:xfrm xmlns:a="http://schemas.openxmlformats.org/drawingml/2006/main">
          <a:off x="2809231" y="3696890"/>
          <a:ext cx="484022" cy="1955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sv-SE" sz="1100">
              <a:latin typeface="+mn-lt"/>
              <a:cs typeface="Arial" pitchFamily="34" charset="0"/>
            </a:rPr>
            <a:t>incl</a:t>
          </a:r>
        </a:p>
      </cdr:txBody>
    </cdr:sp>
  </cdr:relSizeAnchor>
  <cdr:relSizeAnchor xmlns:cdr="http://schemas.openxmlformats.org/drawingml/2006/chartDrawing">
    <cdr:from>
      <cdr:x>0.80071</cdr:x>
      <cdr:y>0.93988</cdr:y>
    </cdr:from>
    <cdr:to>
      <cdr:x>0.90891</cdr:x>
      <cdr:y>1</cdr:y>
    </cdr:to>
    <cdr:sp macro="" textlink="Samplespace!$D$8">
      <cdr:nvSpPr>
        <cdr:cNvPr id="20" name="textruta 1"/>
        <cdr:cNvSpPr txBox="1"/>
      </cdr:nvSpPr>
      <cdr:spPr>
        <a:xfrm xmlns:a="http://schemas.openxmlformats.org/drawingml/2006/main">
          <a:off x="3171826" y="3724275"/>
          <a:ext cx="428624" cy="2381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fld id="{C0135BCF-72A1-403F-9D6C-548610332277}" type="TxLink">
            <a:rPr lang="en-US" sz="1100" b="0" i="0" u="none" strike="noStrike">
              <a:solidFill>
                <a:srgbClr val="000000"/>
              </a:solidFill>
              <a:latin typeface="+mn-lt"/>
              <a:cs typeface="Arial"/>
            </a:rPr>
            <a:pPr algn="r"/>
            <a:t>-30</a:t>
          </a:fld>
          <a:endParaRPr lang="sv-SE" sz="1100">
            <a:latin typeface="+mn-lt"/>
          </a:endParaRPr>
        </a:p>
      </cdr:txBody>
    </cdr:sp>
  </cdr:relSizeAnchor>
  <cdr:relSizeAnchor xmlns:cdr="http://schemas.openxmlformats.org/drawingml/2006/chartDrawing">
    <cdr:from>
      <cdr:x>0.8843</cdr:x>
      <cdr:y>0.93782</cdr:y>
    </cdr:from>
    <cdr:to>
      <cdr:x>0.99519</cdr:x>
      <cdr:y>0.99794</cdr:y>
    </cdr:to>
    <cdr:sp macro="" textlink="Samplespace!$D$9">
      <cdr:nvSpPr>
        <cdr:cNvPr id="21" name="textruta 1"/>
        <cdr:cNvSpPr txBox="1"/>
      </cdr:nvSpPr>
      <cdr:spPr>
        <a:xfrm xmlns:a="http://schemas.openxmlformats.org/drawingml/2006/main">
          <a:off x="3502931" y="3714750"/>
          <a:ext cx="439284" cy="2381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fld id="{A12505CE-C565-4C81-84F0-A47A1512BFDF}" type="TxLink">
            <a:rPr lang="en-US" sz="1100" b="0" i="0" u="none" strike="noStrike">
              <a:solidFill>
                <a:srgbClr val="000000"/>
              </a:solidFill>
              <a:latin typeface="+mn-lt"/>
              <a:cs typeface="Arial"/>
            </a:rPr>
            <a:pPr algn="r"/>
            <a:t>1</a:t>
          </a:fld>
          <a:endParaRPr lang="sv-SE" sz="1100">
            <a:latin typeface="+mn-lt"/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control" Target="../activeX/activeX10.xml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4.xml"/><Relationship Id="rId12" Type="http://schemas.openxmlformats.org/officeDocument/2006/relationships/control" Target="../activeX/activeX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11" Type="http://schemas.openxmlformats.org/officeDocument/2006/relationships/control" Target="../activeX/activeX8.xml"/><Relationship Id="rId5" Type="http://schemas.openxmlformats.org/officeDocument/2006/relationships/control" Target="../activeX/activeX2.xml"/><Relationship Id="rId10" Type="http://schemas.openxmlformats.org/officeDocument/2006/relationships/control" Target="../activeX/activeX7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B1:CA32010"/>
  <sheetViews>
    <sheetView tabSelected="1" zoomScaleNormal="100" workbookViewId="0"/>
  </sheetViews>
  <sheetFormatPr defaultRowHeight="12.75"/>
  <cols>
    <col min="1" max="1" width="4.140625" style="1" customWidth="1"/>
    <col min="2" max="2" width="12.28515625" style="1" customWidth="1"/>
    <col min="3" max="3" width="10.140625" style="11" bestFit="1" customWidth="1"/>
    <col min="4" max="4" width="10" style="1" customWidth="1"/>
    <col min="5" max="13" width="9.140625" style="1"/>
    <col min="14" max="15" width="2.140625" style="1" customWidth="1"/>
    <col min="16" max="19" width="7.5703125" style="1" customWidth="1"/>
    <col min="20" max="29" width="9.140625" style="1"/>
    <col min="30" max="30" width="9.140625" style="28"/>
    <col min="31" max="31" width="12.42578125" style="28" bestFit="1" customWidth="1"/>
    <col min="32" max="79" width="9.140625" style="28"/>
    <col min="80" max="16384" width="9.140625" style="1"/>
  </cols>
  <sheetData>
    <row r="1" spans="2:66" ht="26.25" customHeight="1">
      <c r="B1" s="46" t="s">
        <v>17</v>
      </c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AS1" s="42"/>
      <c r="AT1" s="42"/>
      <c r="BB1" s="42"/>
      <c r="BC1" s="42"/>
      <c r="BK1" s="42"/>
      <c r="BL1" s="42"/>
    </row>
    <row r="3" spans="2:66">
      <c r="B3" s="2"/>
      <c r="C3" s="3"/>
      <c r="D3" s="3"/>
      <c r="E3" s="4"/>
    </row>
    <row r="4" spans="2:66">
      <c r="B4" s="5"/>
      <c r="C4" s="12" t="s">
        <v>0</v>
      </c>
      <c r="D4" s="12" t="s">
        <v>1</v>
      </c>
      <c r="E4" s="6"/>
      <c r="R4" s="15" t="s">
        <v>2</v>
      </c>
      <c r="AS4" s="43"/>
      <c r="AT4" s="43"/>
      <c r="BB4" s="43"/>
      <c r="BC4" s="43"/>
      <c r="BK4" s="43"/>
      <c r="BL4" s="43"/>
    </row>
    <row r="5" spans="2:66">
      <c r="B5" s="13" t="s">
        <v>13</v>
      </c>
      <c r="C5" s="24">
        <v>50</v>
      </c>
      <c r="D5" s="24">
        <v>0</v>
      </c>
      <c r="E5" s="6"/>
      <c r="R5" s="16" t="s">
        <v>16</v>
      </c>
    </row>
    <row r="6" spans="2:66">
      <c r="B6" s="13" t="s">
        <v>9</v>
      </c>
      <c r="C6" s="24">
        <v>1</v>
      </c>
      <c r="D6" s="24">
        <v>25</v>
      </c>
      <c r="E6" s="6"/>
    </row>
    <row r="7" spans="2:66">
      <c r="B7" s="14"/>
      <c r="C7" s="12" t="s">
        <v>14</v>
      </c>
      <c r="D7" s="12" t="s">
        <v>15</v>
      </c>
      <c r="E7" s="6"/>
      <c r="R7" s="9">
        <f>COS((90-C8)*PI()/180)*2^0.5*SIN((90+D8)/2*PI()/180)</f>
        <v>0.61237243569579447</v>
      </c>
      <c r="S7" s="10">
        <f>SIN((90-C8)*PI()/180)*2^0.5*SIN((90+D8)/2*PI()/180)</f>
        <v>-0.35355339059327368</v>
      </c>
    </row>
    <row r="8" spans="2:66">
      <c r="B8" s="13" t="s">
        <v>13</v>
      </c>
      <c r="C8" s="24">
        <v>120</v>
      </c>
      <c r="D8" s="24">
        <v>-30</v>
      </c>
      <c r="E8" s="6"/>
    </row>
    <row r="9" spans="2:66">
      <c r="B9" s="13" t="s">
        <v>9</v>
      </c>
      <c r="C9" s="24">
        <v>35</v>
      </c>
      <c r="D9" s="24">
        <v>1</v>
      </c>
      <c r="E9" s="6"/>
      <c r="P9" s="9">
        <v>-240.00000000000003</v>
      </c>
      <c r="Q9" s="10">
        <v>69.999999999999986</v>
      </c>
      <c r="R9" s="9">
        <f>COS((90-P9)*PI()/180)*2^0.5*SIN((90-Q9)/2*PI()/180)</f>
        <v>0.21267471502406848</v>
      </c>
      <c r="S9" s="10">
        <f>SIN((90-P9)*PI()/180)*2^0.5*SIN((90-Q9)/2*PI()/180)</f>
        <v>-0.12278780396897304</v>
      </c>
      <c r="U9" s="1" t="s">
        <v>7</v>
      </c>
      <c r="X9" s="1" t="s">
        <v>10</v>
      </c>
      <c r="AA9" s="1" t="s">
        <v>11</v>
      </c>
      <c r="AD9" s="23" t="s">
        <v>12</v>
      </c>
      <c r="AE9" s="1"/>
      <c r="AF9" s="44"/>
      <c r="AG9" s="44"/>
      <c r="AS9" s="44"/>
      <c r="AT9" s="44"/>
      <c r="AU9" s="44"/>
      <c r="AV9" s="44"/>
      <c r="BB9" s="44"/>
      <c r="BC9" s="44"/>
      <c r="BD9" s="44"/>
      <c r="BE9" s="44"/>
      <c r="BK9" s="44"/>
      <c r="BL9" s="44"/>
      <c r="BM9" s="44"/>
      <c r="BN9" s="44"/>
    </row>
    <row r="10" spans="2:66">
      <c r="B10" s="19"/>
      <c r="C10" s="25"/>
      <c r="D10" s="25"/>
      <c r="E10" s="20"/>
      <c r="P10" s="1" t="s">
        <v>3</v>
      </c>
      <c r="Q10" s="1" t="s">
        <v>4</v>
      </c>
      <c r="R10" s="1" t="s">
        <v>5</v>
      </c>
      <c r="S10" s="1" t="s">
        <v>6</v>
      </c>
      <c r="U10" s="1" t="s">
        <v>5</v>
      </c>
      <c r="V10" s="1" t="s">
        <v>6</v>
      </c>
      <c r="X10" s="1" t="s">
        <v>5</v>
      </c>
      <c r="Y10" s="1" t="s">
        <v>6</v>
      </c>
      <c r="AA10" s="1" t="s">
        <v>5</v>
      </c>
      <c r="AB10" s="1" t="s">
        <v>6</v>
      </c>
      <c r="AD10" s="1" t="s">
        <v>5</v>
      </c>
      <c r="AE10" s="1" t="s">
        <v>6</v>
      </c>
      <c r="AI10" s="44"/>
      <c r="AJ10" s="44"/>
      <c r="AK10" s="44"/>
      <c r="AL10" s="44"/>
    </row>
    <row r="11" spans="2:66">
      <c r="B11" s="19"/>
      <c r="C11" s="25"/>
      <c r="D11" s="25"/>
      <c r="E11" s="20"/>
      <c r="P11" s="17">
        <v>-168.28848484522686</v>
      </c>
      <c r="Q11" s="18">
        <v>62.366411257061166</v>
      </c>
      <c r="R11" s="41">
        <v>-6.8555807079666853E-2</v>
      </c>
      <c r="S11" s="18">
        <v>-0.33070874543918843</v>
      </c>
      <c r="U11" s="17">
        <v>-8.6297120865256538E-2</v>
      </c>
      <c r="V11" s="18">
        <v>4.9823665961845488E-2</v>
      </c>
      <c r="X11" s="17"/>
      <c r="Y11" s="18"/>
      <c r="AA11" s="17"/>
      <c r="AB11" s="18"/>
      <c r="AD11" s="17"/>
      <c r="AE11" s="18"/>
    </row>
    <row r="12" spans="2:66">
      <c r="B12" s="36"/>
      <c r="C12" s="30"/>
      <c r="D12" s="32"/>
      <c r="E12" s="37"/>
      <c r="P12" s="19">
        <v>-169.97246222346354</v>
      </c>
      <c r="Q12" s="20">
        <v>61.75198792696856</v>
      </c>
      <c r="R12" s="25">
        <v>-6.0089027843314526E-2</v>
      </c>
      <c r="S12" s="20">
        <v>-0.339826645246676</v>
      </c>
      <c r="U12" s="19">
        <v>-8.0311087171937662E-2</v>
      </c>
      <c r="V12" s="20">
        <v>5.9814664044993485E-2</v>
      </c>
      <c r="X12" s="19"/>
      <c r="Y12" s="20"/>
      <c r="AA12" s="19"/>
      <c r="AB12" s="20"/>
      <c r="AD12" s="19"/>
      <c r="AE12" s="20"/>
    </row>
    <row r="13" spans="2:66">
      <c r="B13" s="36"/>
      <c r="C13" s="30"/>
      <c r="D13" s="33"/>
      <c r="E13" s="37"/>
      <c r="P13" s="19">
        <v>-171.58949713000791</v>
      </c>
      <c r="Q13" s="20">
        <v>61.117744787525083</v>
      </c>
      <c r="R13" s="25">
        <v>-5.158506884661699E-2</v>
      </c>
      <c r="S13" s="20">
        <v>-0.34889084353958305</v>
      </c>
      <c r="U13" s="5">
        <v>-7.4004846076899597E-2</v>
      </c>
      <c r="V13" s="6">
        <v>6.9606393533641564E-2</v>
      </c>
      <c r="X13" s="19"/>
      <c r="Y13" s="20"/>
      <c r="AA13" s="19"/>
      <c r="AB13" s="20"/>
      <c r="AD13" s="19"/>
      <c r="AE13" s="20"/>
    </row>
    <row r="14" spans="2:66">
      <c r="B14" s="36"/>
      <c r="C14" s="30"/>
      <c r="D14" s="34"/>
      <c r="E14" s="37"/>
      <c r="P14" s="19">
        <v>-172.58949713000791</v>
      </c>
      <c r="Q14" s="20">
        <v>61.117744787525083</v>
      </c>
      <c r="R14" s="25">
        <v>-4.5488227387074337E-2</v>
      </c>
      <c r="S14" s="20">
        <v>-0.34973798936182765</v>
      </c>
      <c r="U14" s="5">
        <v>-6.7385080540885503E-2</v>
      </c>
      <c r="V14" s="6">
        <v>7.9188325399791884E-2</v>
      </c>
      <c r="X14" s="19"/>
      <c r="Y14" s="20"/>
      <c r="AA14" s="19"/>
      <c r="AB14" s="20"/>
      <c r="AD14" s="19"/>
      <c r="AE14" s="20"/>
    </row>
    <row r="15" spans="2:66">
      <c r="B15" s="36"/>
      <c r="C15" s="30"/>
      <c r="D15" s="32"/>
      <c r="E15" s="37"/>
      <c r="P15" s="19">
        <v>-173.58949713000791</v>
      </c>
      <c r="Q15" s="20">
        <v>61.117744787525083</v>
      </c>
      <c r="R15" s="25">
        <v>-3.937752977281507E-2</v>
      </c>
      <c r="S15" s="20">
        <v>-0.3504786016045246</v>
      </c>
      <c r="U15" s="5">
        <v>-6.0458767440257251E-2</v>
      </c>
      <c r="V15" s="6">
        <v>8.8550118978297537E-2</v>
      </c>
      <c r="X15" s="19"/>
      <c r="Y15" s="20"/>
      <c r="AA15" s="19"/>
      <c r="AB15" s="20"/>
      <c r="AD15" s="19"/>
      <c r="AE15" s="20"/>
    </row>
    <row r="16" spans="2:66">
      <c r="B16" s="38"/>
      <c r="C16" s="31"/>
      <c r="D16" s="35"/>
      <c r="E16" s="37"/>
      <c r="P16" s="19">
        <v>-174.58949713000791</v>
      </c>
      <c r="Q16" s="20">
        <v>61.117744787525083</v>
      </c>
      <c r="R16" s="25">
        <v>-3.3254837381528464E-2</v>
      </c>
      <c r="S16" s="20">
        <v>-0.35111245467001045</v>
      </c>
      <c r="U16" s="5">
        <v>-5.3233173489529113E-2</v>
      </c>
      <c r="V16" s="6">
        <v>9.768162898576864E-2</v>
      </c>
      <c r="X16" s="19"/>
      <c r="Y16" s="20"/>
      <c r="AA16" s="19"/>
      <c r="AB16" s="20"/>
      <c r="AD16" s="19"/>
      <c r="AE16" s="20"/>
    </row>
    <row r="17" spans="2:31">
      <c r="B17" s="38"/>
      <c r="C17" s="31"/>
      <c r="D17" s="35"/>
      <c r="E17" s="37"/>
      <c r="P17" s="19">
        <v>-175.58949713000791</v>
      </c>
      <c r="Q17" s="20">
        <v>61.117744787525083</v>
      </c>
      <c r="R17" s="25">
        <v>-2.7122015244628442E-2</v>
      </c>
      <c r="S17" s="20">
        <v>-0.35163935548050107</v>
      </c>
      <c r="U17" s="5">
        <v>-4.5715851133889665E-2</v>
      </c>
      <c r="V17" s="6">
        <v>0.1065729125673235</v>
      </c>
      <c r="X17" s="19"/>
      <c r="Y17" s="20"/>
      <c r="AA17" s="19"/>
      <c r="AB17" s="20"/>
      <c r="AD17" s="19"/>
      <c r="AE17" s="20"/>
    </row>
    <row r="18" spans="2:31">
      <c r="B18" s="19"/>
      <c r="C18" s="25"/>
      <c r="D18" s="26"/>
      <c r="E18" s="20"/>
      <c r="P18" s="19">
        <v>-176.58949713000791</v>
      </c>
      <c r="Q18" s="20">
        <v>61.117744787525083</v>
      </c>
      <c r="R18" s="25">
        <v>-2.0980931479148215E-2</v>
      </c>
      <c r="S18" s="20">
        <v>-0.35205914353690537</v>
      </c>
      <c r="U18" s="5">
        <v>-3.7914634402346707E-2</v>
      </c>
      <c r="V18" s="6">
        <v>0.115214236380645</v>
      </c>
      <c r="X18" s="19"/>
      <c r="Y18" s="20"/>
      <c r="AA18" s="19"/>
      <c r="AB18" s="20"/>
      <c r="AD18" s="19"/>
      <c r="AE18" s="20"/>
    </row>
    <row r="19" spans="2:31">
      <c r="B19" s="19"/>
      <c r="C19" s="25"/>
      <c r="D19" s="26"/>
      <c r="E19" s="20"/>
      <c r="P19" s="19">
        <v>-177.58949713000794</v>
      </c>
      <c r="Q19" s="20">
        <v>61.117744787525083</v>
      </c>
      <c r="R19" s="25">
        <v>-1.4833456718692401E-2</v>
      </c>
      <c r="S19" s="20">
        <v>-0.35237169096771481</v>
      </c>
      <c r="U19" s="5">
        <v>-2.9837634711359879E-2</v>
      </c>
      <c r="V19" s="6">
        <v>0.12359608372619224</v>
      </c>
      <c r="X19" s="19"/>
      <c r="Y19" s="20"/>
      <c r="AA19" s="19"/>
      <c r="AB19" s="20"/>
      <c r="AD19" s="19"/>
      <c r="AE19" s="20"/>
    </row>
    <row r="20" spans="2:31">
      <c r="B20" s="21"/>
      <c r="C20" s="39"/>
      <c r="D20" s="40"/>
      <c r="E20" s="22"/>
      <c r="P20" s="19">
        <v>-178.58949713000791</v>
      </c>
      <c r="Q20" s="20">
        <v>61.117744787525083</v>
      </c>
      <c r="R20" s="25">
        <v>-8.6814635436253378E-3</v>
      </c>
      <c r="S20" s="20">
        <v>-0.35257690256795426</v>
      </c>
      <c r="U20" s="5">
        <v>-2.1493236608067613E-2</v>
      </c>
      <c r="V20" s="6">
        <v>0.13170916173177091</v>
      </c>
      <c r="X20" s="19"/>
      <c r="Y20" s="20"/>
      <c r="AA20" s="19"/>
      <c r="AB20" s="20"/>
      <c r="AD20" s="19"/>
      <c r="AE20" s="20"/>
    </row>
    <row r="21" spans="2:31">
      <c r="B21" s="27"/>
      <c r="C21" s="28"/>
      <c r="D21" s="29"/>
      <c r="E21" s="28"/>
      <c r="P21" s="19">
        <v>-179.58949713000794</v>
      </c>
      <c r="Q21" s="20">
        <v>61.117744787525083</v>
      </c>
      <c r="R21" s="25">
        <v>-2.526825910663518E-3</v>
      </c>
      <c r="S21" s="20">
        <v>-0.35267471582818244</v>
      </c>
      <c r="U21" s="5">
        <v>-1.2890093441473911E-2</v>
      </c>
      <c r="V21" s="6">
        <v>0.13954440859898035</v>
      </c>
      <c r="X21" s="19"/>
      <c r="Y21" s="20"/>
      <c r="AA21" s="19"/>
      <c r="AB21" s="20"/>
      <c r="AD21" s="19"/>
      <c r="AE21" s="20"/>
    </row>
    <row r="22" spans="2:31">
      <c r="B22" s="27"/>
      <c r="C22" s="28"/>
      <c r="D22" s="29"/>
      <c r="E22" s="28"/>
      <c r="P22" s="19">
        <v>-180.58949713000791</v>
      </c>
      <c r="Q22" s="20">
        <v>61.117744787525083</v>
      </c>
      <c r="R22" s="25">
        <v>3.6285814179484671E-3</v>
      </c>
      <c r="S22" s="20">
        <v>-0.35266510095353265</v>
      </c>
      <c r="U22" s="5">
        <v>-4.0371229492320729E-3</v>
      </c>
      <c r="V22" s="6">
        <v>0.14709300091833127</v>
      </c>
      <c r="X22" s="19"/>
      <c r="Y22" s="20"/>
      <c r="AA22" s="19"/>
      <c r="AB22" s="20"/>
      <c r="AD22" s="19"/>
      <c r="AE22" s="20"/>
    </row>
    <row r="23" spans="2:31">
      <c r="B23" s="27"/>
      <c r="C23" s="28"/>
      <c r="D23" s="29"/>
      <c r="E23" s="28"/>
      <c r="P23" s="19">
        <v>-181.58949713000791</v>
      </c>
      <c r="Q23" s="20">
        <v>61.117744787525083</v>
      </c>
      <c r="R23" s="25">
        <v>9.7828834455097064E-3</v>
      </c>
      <c r="S23" s="20">
        <v>-0.35254806087278884</v>
      </c>
      <c r="U23" s="5">
        <v>5.0564972530474589E-3</v>
      </c>
      <c r="V23" s="6">
        <v>0.15434636105905972</v>
      </c>
      <c r="X23" s="19"/>
      <c r="Y23" s="20"/>
      <c r="AA23" s="19"/>
      <c r="AB23" s="20"/>
      <c r="AD23" s="19"/>
      <c r="AE23" s="20"/>
    </row>
    <row r="24" spans="2:31">
      <c r="B24" s="27"/>
      <c r="C24" s="28"/>
      <c r="D24" s="29"/>
      <c r="E24" s="28"/>
      <c r="P24" s="19">
        <v>-182.58949713000791</v>
      </c>
      <c r="Q24" s="20">
        <v>61.117744787525083</v>
      </c>
      <c r="R24" s="25">
        <v>1.5934205512004643E-2</v>
      </c>
      <c r="S24" s="20">
        <v>-0.35232363123749344</v>
      </c>
      <c r="U24" s="5">
        <v>1.4381334293733677E-2</v>
      </c>
      <c r="V24" s="6">
        <v>0.16129616463885091</v>
      </c>
      <c r="X24" s="19"/>
      <c r="Y24" s="20"/>
      <c r="AA24" s="19"/>
      <c r="AB24" s="20"/>
      <c r="AD24" s="19"/>
      <c r="AE24" s="20"/>
    </row>
    <row r="25" spans="2:31">
      <c r="B25" s="27"/>
      <c r="C25" s="28"/>
      <c r="D25" s="29"/>
      <c r="E25" s="28"/>
      <c r="P25" s="19">
        <v>-183.58949713000791</v>
      </c>
      <c r="Q25" s="20">
        <v>61.117744787525083</v>
      </c>
      <c r="R25" s="25">
        <v>2.2080673865142387E-2</v>
      </c>
      <c r="S25" s="20">
        <v>-0.35199188041108742</v>
      </c>
      <c r="U25" s="5">
        <v>2.3927704792799685E-2</v>
      </c>
      <c r="V25" s="6">
        <v>0.16793434807782689</v>
      </c>
      <c r="X25" s="19"/>
      <c r="Y25" s="20"/>
      <c r="AA25" s="19"/>
      <c r="AB25" s="20"/>
      <c r="AD25" s="19"/>
      <c r="AE25" s="20"/>
    </row>
    <row r="26" spans="2:31">
      <c r="B26" s="27"/>
      <c r="C26" s="28"/>
      <c r="D26" s="29"/>
      <c r="E26" s="28"/>
      <c r="P26" s="19">
        <v>-184.58949713000791</v>
      </c>
      <c r="Q26" s="20">
        <v>61.117744787525083</v>
      </c>
      <c r="R26" s="25">
        <v>2.8220416231120642E-2</v>
      </c>
      <c r="S26" s="20">
        <v>-0.35155290944808626</v>
      </c>
      <c r="U26" s="5">
        <v>3.3685679750233739E-2</v>
      </c>
      <c r="V26" s="6">
        <v>0.17425311624024115</v>
      </c>
      <c r="X26" s="19"/>
      <c r="Y26" s="20"/>
      <c r="AA26" s="19"/>
      <c r="AB26" s="20"/>
      <c r="AD26" s="19"/>
      <c r="AE26" s="20"/>
    </row>
    <row r="27" spans="2:31">
      <c r="B27" s="27"/>
      <c r="C27" s="28"/>
      <c r="D27" s="29"/>
      <c r="E27" s="28"/>
      <c r="P27" s="19">
        <v>-185.58949713000791</v>
      </c>
      <c r="Q27" s="20">
        <v>61.117744787525083</v>
      </c>
      <c r="R27" s="25">
        <v>3.435156238493748E-2</v>
      </c>
      <c r="S27" s="20">
        <v>-0.35100685206329774</v>
      </c>
      <c r="U27" s="5">
        <v>4.364508959096846E-2</v>
      </c>
      <c r="V27" s="6">
        <v>0.18024495016636127</v>
      </c>
      <c r="X27" s="19"/>
      <c r="Y27" s="20"/>
      <c r="AA27" s="19"/>
      <c r="AB27" s="20"/>
      <c r="AD27" s="19"/>
      <c r="AE27" s="20"/>
    </row>
    <row r="28" spans="2:31">
      <c r="P28" s="19">
        <v>-186.58949713000794</v>
      </c>
      <c r="Q28" s="20">
        <v>61.117744787525083</v>
      </c>
      <c r="R28" s="25">
        <v>4.0472244720080937E-2</v>
      </c>
      <c r="S28" s="20">
        <v>-0.35035387459109102</v>
      </c>
      <c r="U28" s="5">
        <v>5.3795529382664083E-2</v>
      </c>
      <c r="V28" s="6">
        <v>0.18590261489600132</v>
      </c>
      <c r="X28" s="19"/>
      <c r="Y28" s="20"/>
      <c r="AA28" s="19"/>
      <c r="AB28" s="20"/>
      <c r="AD28" s="19"/>
      <c r="AE28" s="20"/>
    </row>
    <row r="29" spans="2:31">
      <c r="B29" s="28"/>
      <c r="C29" s="27"/>
      <c r="D29" s="28"/>
      <c r="E29" s="28"/>
      <c r="F29" s="28"/>
      <c r="P29" s="19">
        <v>-187.58949713000791</v>
      </c>
      <c r="Q29" s="20">
        <v>61.117744787525083</v>
      </c>
      <c r="R29" s="25">
        <v>4.6580598817419043E-2</v>
      </c>
      <c r="S29" s="20">
        <v>-0.34959417593472963</v>
      </c>
      <c r="U29" s="5">
        <v>6.4126364243259612E-2</v>
      </c>
      <c r="V29" s="6">
        <v>0.19121916738409114</v>
      </c>
      <c r="X29" s="19"/>
      <c r="Y29" s="20"/>
      <c r="AA29" s="19"/>
      <c r="AB29" s="20"/>
      <c r="AD29" s="19"/>
      <c r="AE29" s="20"/>
    </row>
    <row r="30" spans="2:31">
      <c r="B30" s="28"/>
      <c r="C30" s="27"/>
      <c r="D30" s="28"/>
      <c r="E30" s="28"/>
      <c r="F30" s="28"/>
      <c r="G30" s="23"/>
      <c r="H30" s="23"/>
      <c r="P30" s="19">
        <v>-188.58949713000794</v>
      </c>
      <c r="Q30" s="20">
        <v>61.117744787525083</v>
      </c>
      <c r="R30" s="25">
        <v>5.2674764013121128E-2</v>
      </c>
      <c r="S30" s="20">
        <v>-0.34872798750578371</v>
      </c>
      <c r="U30" s="5">
        <v>7.4626734955748203E-2</v>
      </c>
      <c r="V30" s="6">
        <v>0.19618796450753143</v>
      </c>
      <c r="X30" s="19"/>
      <c r="Y30" s="20"/>
      <c r="AA30" s="19"/>
      <c r="AB30" s="20"/>
      <c r="AD30" s="19"/>
      <c r="AE30" s="20"/>
    </row>
    <row r="31" spans="2:31">
      <c r="B31" s="28"/>
      <c r="C31" s="27"/>
      <c r="D31" s="28"/>
      <c r="E31" s="28"/>
      <c r="F31" s="28"/>
      <c r="P31" s="19">
        <v>-189.58949713000791</v>
      </c>
      <c r="Q31" s="20">
        <v>61.117744787525083</v>
      </c>
      <c r="R31" s="25">
        <v>5.8752883965432781E-2</v>
      </c>
      <c r="S31" s="20">
        <v>-0.3477555731536397</v>
      </c>
      <c r="U31" s="5">
        <v>8.5285563808136663E-2</v>
      </c>
      <c r="V31" s="6">
        <v>0.20080267116138445</v>
      </c>
      <c r="X31" s="19"/>
      <c r="Y31" s="20"/>
      <c r="AA31" s="19"/>
      <c r="AB31" s="20"/>
      <c r="AD31" s="19"/>
      <c r="AE31" s="20"/>
    </row>
    <row r="32" spans="2:31">
      <c r="B32" s="28"/>
      <c r="C32" s="27"/>
      <c r="D32" s="28"/>
      <c r="E32" s="28"/>
      <c r="F32" s="28"/>
      <c r="H32" s="23"/>
      <c r="P32" s="19">
        <v>-190.58949713000791</v>
      </c>
      <c r="Q32" s="20">
        <v>61.117744787525083</v>
      </c>
      <c r="R32" s="25">
        <v>6.4813107220136584E-2</v>
      </c>
      <c r="S32" s="20">
        <v>-0.34667722908512916</v>
      </c>
      <c r="U32" s="5">
        <v>9.6091560677013924E-2</v>
      </c>
      <c r="V32" s="6">
        <v>0.20505726844118782</v>
      </c>
      <c r="X32" s="19"/>
      <c r="Y32" s="20"/>
      <c r="AA32" s="19"/>
      <c r="AB32" s="20"/>
      <c r="AD32" s="19"/>
      <c r="AE32" s="20"/>
    </row>
    <row r="33" spans="2:31">
      <c r="B33" s="28"/>
      <c r="C33" s="27"/>
      <c r="D33" s="28"/>
      <c r="E33" s="28"/>
      <c r="F33" s="28"/>
      <c r="P33" s="19">
        <v>-191.58949713000791</v>
      </c>
      <c r="Q33" s="20">
        <v>61.117744787525083</v>
      </c>
      <c r="R33" s="25">
        <v>7.085358777452265E-2</v>
      </c>
      <c r="S33" s="20">
        <v>-0.34549328377430155</v>
      </c>
      <c r="U33" s="5">
        <v>0.10703322937356294</v>
      </c>
      <c r="V33" s="6">
        <v>0.20894606190684423</v>
      </c>
      <c r="X33" s="19"/>
      <c r="Y33" s="20"/>
      <c r="AA33" s="19"/>
      <c r="AB33" s="20"/>
      <c r="AD33" s="19"/>
      <c r="AE33" s="20"/>
    </row>
    <row r="34" spans="2:31">
      <c r="B34" s="28"/>
      <c r="C34" s="27"/>
      <c r="D34" s="28"/>
      <c r="E34" s="28"/>
      <c r="F34" s="28"/>
      <c r="H34" s="23"/>
      <c r="P34" s="19">
        <v>-192.58949713000791</v>
      </c>
      <c r="Q34" s="20">
        <v>61.117744787525083</v>
      </c>
      <c r="R34" s="25">
        <v>7.6872485639698285E-2</v>
      </c>
      <c r="S34" s="20">
        <v>-0.34420409786236772</v>
      </c>
      <c r="U34" s="5">
        <v>0.11809887427121228</v>
      </c>
      <c r="V34" s="6">
        <v>0.21246368992214698</v>
      </c>
      <c r="X34" s="19"/>
      <c r="Y34" s="20"/>
      <c r="AA34" s="19"/>
      <c r="AB34" s="20"/>
      <c r="AD34" s="19"/>
      <c r="AE34" s="20"/>
    </row>
    <row r="35" spans="2:31">
      <c r="B35" s="28"/>
      <c r="C35" s="27"/>
      <c r="D35" s="28"/>
      <c r="E35" s="28"/>
      <c r="F35" s="28"/>
      <c r="P35" s="19">
        <v>-193.58949713000791</v>
      </c>
      <c r="Q35" s="20">
        <v>61.117744787525083</v>
      </c>
      <c r="R35" s="25">
        <v>8.2867967401067749E-2</v>
      </c>
      <c r="S35" s="20">
        <v>-0.34281006404784503</v>
      </c>
      <c r="U35" s="5">
        <v>0.12927660723441833</v>
      </c>
      <c r="V35" s="6">
        <v>0.21560513206252785</v>
      </c>
      <c r="X35" s="19"/>
      <c r="Y35" s="20"/>
      <c r="AA35" s="19"/>
      <c r="AB35" s="20"/>
      <c r="AD35" s="19"/>
      <c r="AE35" s="20"/>
    </row>
    <row r="36" spans="2:31">
      <c r="B36" s="28"/>
      <c r="C36" s="27"/>
      <c r="D36" s="28"/>
      <c r="E36" s="28"/>
      <c r="F36" s="28"/>
      <c r="P36" s="19">
        <v>-194.58949713000791</v>
      </c>
      <c r="Q36" s="20">
        <v>61.117744787525083</v>
      </c>
      <c r="R36" s="25">
        <v>8.883820677680665E-2</v>
      </c>
      <c r="S36" s="20">
        <v>-0.34131160696693774</v>
      </c>
      <c r="U36" s="5">
        <v>0.14055435486829942</v>
      </c>
      <c r="V36" s="6">
        <v>0.21836571758207976</v>
      </c>
      <c r="X36" s="19"/>
      <c r="Y36" s="20"/>
      <c r="AA36" s="19"/>
      <c r="AB36" s="20"/>
      <c r="AD36" s="19"/>
      <c r="AE36" s="20"/>
    </row>
    <row r="37" spans="2:31">
      <c r="B37" s="28"/>
      <c r="C37" s="27"/>
      <c r="D37" s="28"/>
      <c r="E37" s="28"/>
      <c r="F37" s="28"/>
      <c r="P37" s="19">
        <v>-195.58949713000794</v>
      </c>
      <c r="Q37" s="20">
        <v>61.117744787525083</v>
      </c>
      <c r="R37" s="25">
        <v>9.478138517416651E-2</v>
      </c>
      <c r="S37" s="20">
        <v>-0.33970918306418851</v>
      </c>
      <c r="U37" s="5">
        <v>0.15191986610899436</v>
      </c>
      <c r="V37" s="6">
        <v>0.22074113392930192</v>
      </c>
      <c r="X37" s="19"/>
      <c r="Y37" s="20"/>
      <c r="AA37" s="19"/>
      <c r="AB37" s="20"/>
      <c r="AD37" s="19"/>
      <c r="AE37" s="20"/>
    </row>
    <row r="38" spans="2:31">
      <c r="B38" s="28"/>
      <c r="C38" s="27"/>
      <c r="D38" s="28"/>
      <c r="E38" s="28"/>
      <c r="F38" s="28"/>
      <c r="P38" s="19">
        <v>-196.58949713000791</v>
      </c>
      <c r="Q38" s="20">
        <v>61.117744787525083</v>
      </c>
      <c r="R38" s="25">
        <v>0.10069569224343422</v>
      </c>
      <c r="S38" s="20">
        <v>-0.33800328045344119</v>
      </c>
      <c r="U38" s="5">
        <v>0.16336072017468506</v>
      </c>
      <c r="V38" s="6">
        <v>0.22272743529933325</v>
      </c>
      <c r="X38" s="19"/>
      <c r="Y38" s="20"/>
      <c r="AA38" s="19"/>
      <c r="AB38" s="20"/>
      <c r="AD38" s="19"/>
      <c r="AE38" s="20"/>
    </row>
    <row r="39" spans="2:31">
      <c r="B39" s="28"/>
      <c r="C39" s="27"/>
      <c r="D39" s="28"/>
      <c r="E39" s="28"/>
      <c r="F39" s="28"/>
      <c r="P39" s="19">
        <v>-197.58949713000794</v>
      </c>
      <c r="Q39" s="20">
        <v>61.117744787525083</v>
      </c>
      <c r="R39" s="25">
        <v>0.10657932642938368</v>
      </c>
      <c r="S39" s="20">
        <v>-0.33619441876915646</v>
      </c>
      <c r="U39" s="5">
        <v>0.17486433489719963</v>
      </c>
      <c r="V39" s="6">
        <v>0.22432105120870638</v>
      </c>
      <c r="X39" s="19"/>
      <c r="Y39" s="20"/>
      <c r="AA39" s="19"/>
      <c r="AB39" s="20"/>
      <c r="AD39" s="19"/>
      <c r="AE39" s="20"/>
    </row>
    <row r="40" spans="2:31">
      <c r="B40" s="28"/>
      <c r="C40" s="27"/>
      <c r="D40" s="28"/>
      <c r="E40" s="28"/>
      <c r="F40" s="28"/>
      <c r="P40" s="19">
        <v>-198.58949713000791</v>
      </c>
      <c r="Q40" s="20">
        <v>61.117744787525083</v>
      </c>
      <c r="R40" s="25">
        <v>0.11243049552004546</v>
      </c>
      <c r="S40" s="20">
        <v>-0.33428314900812617</v>
      </c>
      <c r="U40" s="5">
        <v>0.18641797545398045</v>
      </c>
      <c r="V40" s="6">
        <v>0.22551879507683817</v>
      </c>
      <c r="X40" s="19"/>
      <c r="Y40" s="20"/>
      <c r="AA40" s="19"/>
      <c r="AB40" s="20"/>
      <c r="AD40" s="19"/>
      <c r="AE40" s="20"/>
    </row>
    <row r="41" spans="2:31">
      <c r="B41" s="28"/>
      <c r="C41" s="27"/>
      <c r="D41" s="28"/>
      <c r="E41" s="28"/>
      <c r="F41" s="28"/>
      <c r="P41" s="19">
        <v>-199.58949713000791</v>
      </c>
      <c r="Q41" s="20">
        <v>61.117744787525083</v>
      </c>
      <c r="R41" s="25">
        <v>0.11824741719263319</v>
      </c>
      <c r="S41" s="20">
        <v>-0.33227005336163445</v>
      </c>
      <c r="U41" s="5">
        <v>0.19800876351996599</v>
      </c>
      <c r="V41" s="6">
        <v>0.22631787279660934</v>
      </c>
      <c r="X41" s="19"/>
      <c r="Y41" s="20"/>
      <c r="AA41" s="19"/>
      <c r="AB41" s="20"/>
      <c r="AD41" s="19"/>
      <c r="AE41" s="20"/>
    </row>
    <row r="42" spans="2:31">
      <c r="B42" s="28"/>
      <c r="C42" s="27"/>
      <c r="D42" s="28"/>
      <c r="E42" s="28"/>
      <c r="F42" s="28"/>
      <c r="P42" s="19">
        <v>-200.58949713000791</v>
      </c>
      <c r="Q42" s="20">
        <v>61.117744787525083</v>
      </c>
      <c r="R42" s="25">
        <v>0.12402831955645573</v>
      </c>
      <c r="S42" s="20">
        <v>-0.33015574503811645</v>
      </c>
      <c r="U42" s="5">
        <v>0.20962368685857044</v>
      </c>
      <c r="V42" s="6">
        <v>0.22671589127445405</v>
      </c>
      <c r="X42" s="19"/>
      <c r="Y42" s="20"/>
      <c r="AA42" s="19"/>
      <c r="AB42" s="20"/>
      <c r="AD42" s="19"/>
      <c r="AE42" s="20"/>
    </row>
    <row r="43" spans="2:31">
      <c r="P43" s="19">
        <v>-201.58949713000791</v>
      </c>
      <c r="Q43" s="20">
        <v>61.117744787525083</v>
      </c>
      <c r="R43" s="25">
        <v>0.12977144169265192</v>
      </c>
      <c r="S43" s="20">
        <v>-0.32794086807636935</v>
      </c>
      <c r="U43" s="5">
        <v>0.22124960937045302</v>
      </c>
      <c r="V43" s="6">
        <v>0.22671086691840459</v>
      </c>
      <c r="X43" s="19"/>
      <c r="Y43" s="20"/>
      <c r="AA43" s="19"/>
      <c r="AB43" s="20"/>
      <c r="AD43" s="19"/>
      <c r="AE43" s="20"/>
    </row>
    <row r="44" spans="2:31">
      <c r="P44" s="19">
        <v>-202.58949713000791</v>
      </c>
      <c r="Q44" s="20">
        <v>61.117744787525083</v>
      </c>
      <c r="R44" s="25">
        <v>0.13547503419058449</v>
      </c>
      <c r="S44" s="20">
        <v>-0.32562609714937163</v>
      </c>
      <c r="U44" s="5">
        <v>0.23287328161813439</v>
      </c>
      <c r="V44" s="6">
        <v>0.22630123405050509</v>
      </c>
      <c r="X44" s="19"/>
      <c r="Y44" s="20"/>
      <c r="AA44" s="19"/>
      <c r="AB44" s="20"/>
      <c r="AD44" s="19"/>
      <c r="AE44" s="20"/>
    </row>
    <row r="45" spans="2:31">
      <c r="M45" s="28"/>
      <c r="N45" s="28"/>
      <c r="P45" s="19">
        <v>-203.58949713000791</v>
      </c>
      <c r="Q45" s="20">
        <v>61.117744787525083</v>
      </c>
      <c r="R45" s="25">
        <v>0.14113735968072633</v>
      </c>
      <c r="S45" s="20">
        <v>-0.32321213735877141</v>
      </c>
      <c r="U45" s="5">
        <v>0.24448135184372816</v>
      </c>
      <c r="V45" s="6">
        <v>0.22548585321794823</v>
      </c>
      <c r="X45" s="19"/>
      <c r="Y45" s="20"/>
      <c r="AA45" s="19"/>
      <c r="AB45" s="20"/>
      <c r="AD45" s="19"/>
      <c r="AE45" s="20"/>
    </row>
    <row r="46" spans="2:31">
      <c r="C46" s="1"/>
      <c r="D46" s="11"/>
      <c r="M46" s="28"/>
      <c r="N46" s="28"/>
      <c r="P46" s="19">
        <v>-204.58949713000794</v>
      </c>
      <c r="Q46" s="20">
        <v>61.117744787525083</v>
      </c>
      <c r="R46" s="25">
        <v>0.14675669336388128</v>
      </c>
      <c r="S46" s="20">
        <v>-0.32069972402010538</v>
      </c>
      <c r="U46" s="5">
        <v>0.25606037749610705</v>
      </c>
      <c r="V46" s="6">
        <v>0.2242640193751913</v>
      </c>
      <c r="X46" s="19"/>
      <c r="Y46" s="20"/>
      <c r="AA46" s="19"/>
      <c r="AB46" s="20"/>
      <c r="AD46" s="19"/>
      <c r="AE46" s="20"/>
    </row>
    <row r="47" spans="2:31">
      <c r="C47" s="1"/>
      <c r="D47" s="11"/>
      <c r="M47" s="28"/>
      <c r="N47" s="28"/>
      <c r="P47" s="19">
        <v>-205.58949713000791</v>
      </c>
      <c r="Q47" s="20">
        <v>61.117744787525083</v>
      </c>
      <c r="R47" s="25">
        <v>0.15233132353657342</v>
      </c>
      <c r="S47" s="20">
        <v>-0.31808962243881495</v>
      </c>
      <c r="U47" s="5">
        <v>0.26759683728270073</v>
      </c>
      <c r="V47" s="6">
        <v>0.22263546990719577</v>
      </c>
      <c r="X47" s="19"/>
      <c r="Y47" s="20"/>
      <c r="AA47" s="19"/>
      <c r="AB47" s="20"/>
      <c r="AD47" s="19"/>
      <c r="AE47" s="20"/>
    </row>
    <row r="48" spans="2:31">
      <c r="C48" s="1"/>
      <c r="D48" s="11"/>
      <c r="P48" s="19">
        <v>-206.58949713000794</v>
      </c>
      <c r="Q48" s="20">
        <v>61.117744787525083</v>
      </c>
      <c r="R48" s="25">
        <v>0.15785955211244981</v>
      </c>
      <c r="S48" s="20">
        <v>-0.31538262767712616</v>
      </c>
      <c r="U48" s="5">
        <v>0.2790771437598164</v>
      </c>
      <c r="V48" s="6">
        <v>0.22060039246181212</v>
      </c>
      <c r="X48" s="19"/>
      <c r="Y48" s="20"/>
      <c r="AA48" s="19"/>
      <c r="AB48" s="20"/>
      <c r="AD48" s="19"/>
      <c r="AE48" s="20"/>
    </row>
    <row r="49" spans="3:31">
      <c r="C49" s="1"/>
      <c r="D49" s="11"/>
      <c r="P49" s="19">
        <v>-207.58949713000791</v>
      </c>
      <c r="Q49" s="20">
        <v>61.117744787525083</v>
      </c>
      <c r="R49" s="25">
        <v>0.16333969513953275</v>
      </c>
      <c r="S49" s="20">
        <v>-0.3125795643118669</v>
      </c>
      <c r="U49" s="5">
        <v>0.29048765647387947</v>
      </c>
      <c r="V49" s="6">
        <v>0.21815943255721768</v>
      </c>
      <c r="X49" s="19"/>
      <c r="Y49" s="20"/>
      <c r="AA49" s="19"/>
      <c r="AB49" s="20"/>
      <c r="AD49" s="19"/>
      <c r="AE49" s="20"/>
    </row>
    <row r="50" spans="3:31">
      <c r="C50" s="1"/>
      <c r="D50" s="11"/>
      <c r="P50" s="19">
        <v>-208.58949713000791</v>
      </c>
      <c r="Q50" s="20">
        <v>61.117744787525083</v>
      </c>
      <c r="R50" s="25">
        <v>0.16877008331316909</v>
      </c>
      <c r="S50" s="20">
        <v>-0.30968128618329205</v>
      </c>
      <c r="U50" s="5">
        <v>0.30181469566429364</v>
      </c>
      <c r="V50" s="6">
        <v>0.21531370092821825</v>
      </c>
      <c r="X50" s="19"/>
      <c r="Y50" s="20"/>
      <c r="AA50" s="19"/>
      <c r="AB50" s="20"/>
      <c r="AD50" s="19"/>
      <c r="AE50" s="20"/>
    </row>
    <row r="51" spans="3:31">
      <c r="C51" s="1"/>
      <c r="D51" s="11"/>
      <c r="P51" s="19">
        <v>-209.58949713000791</v>
      </c>
      <c r="Q51" s="20">
        <v>61.117744787525083</v>
      </c>
      <c r="R51" s="25">
        <v>0.17414906248451584</v>
      </c>
      <c r="S51" s="20">
        <v>-0.30668867613499562</v>
      </c>
      <c r="U51" s="5">
        <v>0.3130445565367182</v>
      </c>
      <c r="V51" s="6">
        <v>0.21206478057316716</v>
      </c>
      <c r="X51" s="19"/>
      <c r="Y51" s="20"/>
      <c r="AA51" s="19"/>
      <c r="AB51" s="20"/>
      <c r="AD51" s="19"/>
      <c r="AE51" s="20"/>
    </row>
    <row r="52" spans="3:31">
      <c r="P52" s="19">
        <v>-210.58949713000791</v>
      </c>
      <c r="Q52" s="20">
        <v>61.117744787525083</v>
      </c>
      <c r="R52" s="25">
        <v>0.17947499416440982</v>
      </c>
      <c r="S52" s="20">
        <v>-0.30360264574498869</v>
      </c>
      <c r="U52" s="5">
        <v>0.3241635241134404</v>
      </c>
      <c r="V52" s="6">
        <v>0.20841473346125117</v>
      </c>
      <c r="X52" s="19"/>
      <c r="Y52" s="20"/>
      <c r="AA52" s="19"/>
      <c r="AB52" s="20"/>
      <c r="AD52" s="19"/>
      <c r="AE52" s="20"/>
    </row>
    <row r="53" spans="3:31">
      <c r="P53" s="19">
        <v>-211.58949713000791</v>
      </c>
      <c r="Q53" s="20">
        <v>61.117744787525083</v>
      </c>
      <c r="R53" s="25">
        <v>0.18474625602246811</v>
      </c>
      <c r="S53" s="20">
        <v>-0.3004241350480229</v>
      </c>
      <c r="U53" s="5">
        <v>0.33515788866518509</v>
      </c>
      <c r="V53" s="6">
        <v>0.20436610685796372</v>
      </c>
      <c r="X53" s="19"/>
      <c r="Y53" s="20"/>
      <c r="AA53" s="19"/>
      <c r="AB53" s="20"/>
      <c r="AD53" s="19"/>
      <c r="AE53" s="20"/>
    </row>
    <row r="54" spans="3:31">
      <c r="P54" s="19">
        <v>-212.58949713000791</v>
      </c>
      <c r="Q54" s="20">
        <v>61.117744787525083</v>
      </c>
      <c r="R54" s="25">
        <v>0.18996124238126474</v>
      </c>
      <c r="S54" s="20">
        <v>-0.29715411224924759</v>
      </c>
      <c r="U54" s="5">
        <v>0.34601396172614185</v>
      </c>
      <c r="V54" s="6">
        <v>0.19992193922475165</v>
      </c>
      <c r="X54" s="19"/>
      <c r="Y54" s="20"/>
      <c r="AA54" s="19"/>
      <c r="AB54" s="20"/>
      <c r="AD54" s="19"/>
      <c r="AE54" s="20"/>
    </row>
    <row r="55" spans="3:31">
      <c r="P55" s="19">
        <v>-213.58949713000791</v>
      </c>
      <c r="Q55" s="20">
        <v>61.117744787525083</v>
      </c>
      <c r="R55" s="25">
        <v>0.19511836470543617</v>
      </c>
      <c r="S55" s="20">
        <v>-0.29379357342928458</v>
      </c>
      <c r="U55" s="5">
        <v>0.35671809269120025</v>
      </c>
      <c r="V55" s="6">
        <v>0.19508576564710325</v>
      </c>
      <c r="X55" s="19"/>
      <c r="Y55" s="20"/>
      <c r="AA55" s="19"/>
      <c r="AB55" s="20"/>
      <c r="AD55" s="19"/>
      <c r="AE55" s="20"/>
    </row>
    <row r="56" spans="3:31">
      <c r="P56" s="19">
        <v>-214.58949713000791</v>
      </c>
      <c r="Q56" s="20">
        <v>61.117744787525083</v>
      </c>
      <c r="R56" s="25">
        <v>0.20021605208556428</v>
      </c>
      <c r="S56" s="20">
        <v>-0.29034354224081282</v>
      </c>
      <c r="U56" s="5">
        <v>0.36725668599137534</v>
      </c>
      <c r="V56" s="6">
        <v>0.18986162274377144</v>
      </c>
      <c r="X56" s="19"/>
      <c r="Y56" s="20"/>
      <c r="AA56" s="19"/>
      <c r="AB56" s="20"/>
      <c r="AD56" s="19"/>
      <c r="AE56" s="20"/>
    </row>
    <row r="57" spans="3:31">
      <c r="P57" s="19">
        <v>-215.58949713000791</v>
      </c>
      <c r="Q57" s="20">
        <v>61.117744787525083</v>
      </c>
      <c r="R57" s="25">
        <v>0.20525275171669072</v>
      </c>
      <c r="S57" s="20">
        <v>-0.28680506959675339</v>
      </c>
      <c r="U57" s="5">
        <v>0.37761621884015967</v>
      </c>
      <c r="V57" s="6">
        <v>0.18425405300841596</v>
      </c>
      <c r="X57" s="19"/>
      <c r="Y57" s="20"/>
      <c r="AA57" s="19"/>
      <c r="AB57" s="20"/>
      <c r="AD57" s="19"/>
      <c r="AE57" s="20"/>
    </row>
    <row r="58" spans="3:31">
      <c r="P58" s="19">
        <v>-216.58949713000791</v>
      </c>
      <c r="Q58" s="20">
        <v>61.117744787525083</v>
      </c>
      <c r="R58" s="25">
        <v>0.21022692937131612</v>
      </c>
      <c r="S58" s="20">
        <v>-0.28317923335015177</v>
      </c>
      <c r="U58" s="5">
        <v>0.38778325954008586</v>
      </c>
      <c r="V58" s="6">
        <v>0.17826810853372757</v>
      </c>
      <c r="X58" s="19"/>
      <c r="Y58" s="20"/>
      <c r="AA58" s="19"/>
      <c r="AB58" s="20"/>
      <c r="AD58" s="19"/>
      <c r="AE58" s="20"/>
    </row>
    <row r="59" spans="3:31">
      <c r="P59" s="19">
        <v>-217.58949713000791</v>
      </c>
      <c r="Q59" s="20">
        <v>61.117744787525083</v>
      </c>
      <c r="R59" s="25">
        <v>0.21513706986674114</v>
      </c>
      <c r="S59" s="20">
        <v>-0.27946713796585282</v>
      </c>
      <c r="U59" s="5">
        <v>0.39774448633510717</v>
      </c>
      <c r="V59" s="6">
        <v>0.17190935406710195</v>
      </c>
      <c r="X59" s="19"/>
      <c r="Y59" s="20"/>
      <c r="AA59" s="19"/>
      <c r="AB59" s="20"/>
      <c r="AD59" s="19"/>
      <c r="AE59" s="20"/>
    </row>
    <row r="60" spans="3:31">
      <c r="P60" s="19">
        <v>-218.58949713000791</v>
      </c>
      <c r="Q60" s="20">
        <v>61.117744787525083</v>
      </c>
      <c r="R60" s="25">
        <v>0.21998167752660502</v>
      </c>
      <c r="S60" s="20">
        <v>-0.27566991418407044</v>
      </c>
      <c r="U60" s="5">
        <v>0.40748670679052651</v>
      </c>
      <c r="V60" s="6">
        <v>0.16518386934617382</v>
      </c>
      <c r="X60" s="19"/>
      <c r="Y60" s="20"/>
      <c r="AA60" s="19"/>
      <c r="AB60" s="20"/>
      <c r="AD60" s="19"/>
      <c r="AE60" s="20"/>
    </row>
    <row r="61" spans="3:31">
      <c r="P61" s="19">
        <v>-219.58949713000791</v>
      </c>
      <c r="Q61" s="20">
        <v>61.117744787525083</v>
      </c>
      <c r="R61" s="25">
        <v>0.22475927663648404</v>
      </c>
      <c r="S61" s="20">
        <v>-0.27178871867595328</v>
      </c>
      <c r="U61" s="5">
        <v>0.41699687767813942</v>
      </c>
      <c r="V61" s="6">
        <v>0.15809825066204386</v>
      </c>
      <c r="X61" s="19"/>
      <c r="Y61" s="20"/>
      <c r="AA61" s="19"/>
      <c r="AB61" s="20"/>
      <c r="AD61" s="19"/>
      <c r="AE61" s="20"/>
    </row>
    <row r="62" spans="3:31">
      <c r="P62" s="19">
        <v>-220.58949713000791</v>
      </c>
      <c r="Q62" s="20">
        <v>61.117744787525083</v>
      </c>
      <c r="R62" s="25">
        <v>0.22946841189340755</v>
      </c>
      <c r="S62" s="20">
        <v>-0.26782473369125098</v>
      </c>
      <c r="U62" s="5">
        <v>0.42626212534000701</v>
      </c>
      <c r="V62" s="6">
        <v>0.15065961159785154</v>
      </c>
      <c r="X62" s="19"/>
      <c r="Y62" s="20"/>
      <c r="AA62" s="19"/>
      <c r="AB62" s="20"/>
      <c r="AD62" s="19"/>
      <c r="AE62" s="20"/>
    </row>
    <row r="63" spans="3:31">
      <c r="P63" s="19">
        <v>-221.58949713000791</v>
      </c>
      <c r="Q63" s="20">
        <v>61.117744787525083</v>
      </c>
      <c r="R63" s="25">
        <v>0.23410764884915786</v>
      </c>
      <c r="S63" s="20">
        <v>-0.2637791666981899</v>
      </c>
      <c r="U63" s="5">
        <v>0.43526976649987886</v>
      </c>
      <c r="V63" s="6">
        <v>0.14287558289049543</v>
      </c>
      <c r="X63" s="19"/>
      <c r="Y63" s="20"/>
      <c r="AA63" s="19"/>
      <c r="AB63" s="20"/>
      <c r="AD63" s="19"/>
      <c r="AE63" s="20"/>
    </row>
    <row r="64" spans="3:31">
      <c r="P64" s="19">
        <v>-222.58949713000791</v>
      </c>
      <c r="Q64" s="20">
        <v>61.117744787525083</v>
      </c>
      <c r="R64" s="25">
        <v>0.23867557434721706</v>
      </c>
      <c r="S64" s="20">
        <v>-0.2596532500156663</v>
      </c>
      <c r="U64" s="5">
        <v>0.44400732948674876</v>
      </c>
      <c r="V64" s="6">
        <v>0.13475431136381022</v>
      </c>
      <c r="X64" s="19"/>
      <c r="Y64" s="20"/>
      <c r="AA64" s="19"/>
      <c r="AB64" s="20"/>
      <c r="AD64" s="19"/>
      <c r="AE64" s="20"/>
    </row>
    <row r="65" spans="2:31">
      <c r="P65" s="19">
        <v>-223.58949713000791</v>
      </c>
      <c r="Q65" s="20">
        <v>61.117744787525083</v>
      </c>
      <c r="R65" s="25">
        <v>0.24317079695322785</v>
      </c>
      <c r="S65" s="20">
        <v>-0.25544824043787046</v>
      </c>
      <c r="U65" s="5">
        <v>0.45246257583038296</v>
      </c>
      <c r="V65" s="6">
        <v>0.12630445788239086</v>
      </c>
      <c r="X65" s="19"/>
      <c r="Y65" s="20"/>
      <c r="AA65" s="19"/>
      <c r="AB65" s="20"/>
      <c r="AD65" s="19"/>
      <c r="AE65" s="20"/>
    </row>
    <row r="66" spans="2:31">
      <c r="P66" s="19">
        <v>-224.58949713000791</v>
      </c>
      <c r="Q66" s="20">
        <v>61.117744787525083</v>
      </c>
      <c r="R66" s="25">
        <v>0.24759194737883833</v>
      </c>
      <c r="S66" s="20">
        <v>-0.25116541885145455</v>
      </c>
      <c r="U66" s="5">
        <v>0.46062352218394192</v>
      </c>
      <c r="V66" s="6">
        <v>0.11753519427654956</v>
      </c>
      <c r="X66" s="19"/>
      <c r="Y66" s="20"/>
      <c r="AA66" s="19"/>
      <c r="AB66" s="20"/>
      <c r="AD66" s="19"/>
      <c r="AE66" s="20"/>
    </row>
    <row r="67" spans="2:31">
      <c r="P67" s="19">
        <v>-225.58949713000791</v>
      </c>
      <c r="Q67" s="20">
        <v>61.117744787525083</v>
      </c>
      <c r="R67" s="25">
        <v>0.25193767889880014</v>
      </c>
      <c r="S67" s="20">
        <v>-0.24680608984536243</v>
      </c>
      <c r="U67" s="5">
        <v>0.46847846252404957</v>
      </c>
      <c r="V67" s="6">
        <v>0.10845619919060202</v>
      </c>
      <c r="X67" s="19"/>
      <c r="Y67" s="20"/>
      <c r="AA67" s="19"/>
      <c r="AB67" s="20"/>
      <c r="AD67" s="19"/>
      <c r="AE67" s="20"/>
    </row>
    <row r="68" spans="2:31">
      <c r="P68" s="19">
        <v>-226.58949713000791</v>
      </c>
      <c r="Q68" s="20">
        <v>61.117744787525083</v>
      </c>
      <c r="R68" s="25">
        <v>0.25620666776119427</v>
      </c>
      <c r="S68" s="20">
        <v>-0.24237158131343914</v>
      </c>
      <c r="U68" s="5">
        <v>0.47601599057388938</v>
      </c>
      <c r="V68" s="6">
        <v>9.9077652808845937E-2</v>
      </c>
      <c r="X68" s="19"/>
      <c r="Y68" s="20"/>
      <c r="AA68" s="19"/>
      <c r="AB68" s="20"/>
      <c r="AD68" s="19"/>
      <c r="AE68" s="20"/>
    </row>
    <row r="69" spans="2:31">
      <c r="P69" s="19">
        <v>-227.58949713000794</v>
      </c>
      <c r="Q69" s="20">
        <v>61.117744787525083</v>
      </c>
      <c r="R69" s="25">
        <v>0.26039761359065872</v>
      </c>
      <c r="S69" s="20">
        <v>-0.23786324404994155</v>
      </c>
      <c r="U69" s="5">
        <v>0.48322502239016768</v>
      </c>
      <c r="V69" s="6">
        <v>8.941023041621747E-2</v>
      </c>
      <c r="X69" s="19"/>
      <c r="Y69" s="20"/>
      <c r="AA69" s="19"/>
      <c r="AB69" s="20"/>
      <c r="AD69" s="19"/>
      <c r="AE69" s="20"/>
    </row>
    <row r="70" spans="2:31">
      <c r="P70" s="19">
        <v>-228.58949713000791</v>
      </c>
      <c r="Q70" s="20">
        <v>61.117744787525083</v>
      </c>
      <c r="R70" s="25">
        <v>0.26450923978449503</v>
      </c>
      <c r="S70" s="20">
        <v>-0.2332824513380734</v>
      </c>
      <c r="U70" s="5">
        <v>0.49009481905011559</v>
      </c>
      <c r="V70" s="6">
        <v>7.9465094753709969E-2</v>
      </c>
      <c r="X70" s="19"/>
      <c r="Y70" s="20"/>
      <c r="AA70" s="19"/>
      <c r="AB70" s="20"/>
      <c r="AD70" s="19"/>
      <c r="AE70" s="20"/>
    </row>
    <row r="71" spans="2:31">
      <c r="P71" s="19">
        <v>-229.58949713000791</v>
      </c>
      <c r="Q71" s="20">
        <v>61.117744787525083</v>
      </c>
      <c r="R71" s="25">
        <v>0.26854029390153444</v>
      </c>
      <c r="S71" s="20">
        <v>-0.22863059853166975</v>
      </c>
      <c r="U71" s="5">
        <v>0.49661500937015668</v>
      </c>
      <c r="V71" s="6">
        <v>6.9253887132223871E-2</v>
      </c>
      <c r="X71" s="19"/>
      <c r="Y71" s="20"/>
      <c r="AA71" s="19"/>
      <c r="AB71" s="20"/>
      <c r="AD71" s="19"/>
      <c r="AE71" s="20"/>
    </row>
    <row r="72" spans="2:31">
      <c r="P72" s="19">
        <v>-230.58949713000791</v>
      </c>
      <c r="Q72" s="20">
        <v>61.117744787525083</v>
      </c>
      <c r="R72" s="25">
        <v>0.27248954804364311</v>
      </c>
      <c r="S72" s="20">
        <v>-0.22390910263015912</v>
      </c>
      <c r="U72" s="5">
        <v>0.50277561258349235</v>
      </c>
      <c r="V72" s="6">
        <v>5.87887172725855E-2</v>
      </c>
      <c r="X72" s="19"/>
      <c r="Y72" s="20"/>
      <c r="AA72" s="19"/>
      <c r="AB72" s="20"/>
      <c r="AD72" s="19"/>
      <c r="AE72" s="20"/>
    </row>
    <row r="73" spans="2:31">
      <c r="P73" s="19">
        <v>-231.58949713000791</v>
      </c>
      <c r="Q73" s="20">
        <v>61.117744787525083</v>
      </c>
      <c r="R73" s="25">
        <v>0.27635579922975229</v>
      </c>
      <c r="S73" s="20">
        <v>-0.21911940184693113</v>
      </c>
      <c r="U73" s="5">
        <v>0.50856706089970072</v>
      </c>
      <c r="V73" s="6">
        <v>4.8082151844033784E-2</v>
      </c>
      <c r="X73" s="19"/>
      <c r="Y73" s="20"/>
      <c r="AA73" s="19"/>
      <c r="AB73" s="20"/>
      <c r="AD73" s="19"/>
      <c r="AE73" s="20"/>
    </row>
    <row r="74" spans="2:31">
      <c r="P74" s="19">
        <v>-232.58949713000791</v>
      </c>
      <c r="Q74" s="20">
        <v>61.117744787525083</v>
      </c>
      <c r="R74" s="25">
        <v>0.28013786976229732</v>
      </c>
      <c r="S74" s="20">
        <v>-0.21426295517124319</v>
      </c>
      <c r="U74" s="5">
        <v>0.51398022186556702</v>
      </c>
      <c r="V74" s="6">
        <v>3.7147201678509018E-2</v>
      </c>
      <c r="X74" s="19"/>
      <c r="Y74" s="20"/>
      <c r="AA74" s="19"/>
      <c r="AB74" s="20"/>
      <c r="AD74" s="19"/>
      <c r="AE74" s="20"/>
    </row>
    <row r="75" spans="2:31">
      <c r="P75" s="19">
        <v>-233.58949713000794</v>
      </c>
      <c r="Q75" s="20">
        <v>61.117744787525083</v>
      </c>
      <c r="R75" s="25">
        <v>0.2838346075859563</v>
      </c>
      <c r="S75" s="20">
        <v>-0.20934124192379827</v>
      </c>
      <c r="U75" s="5">
        <v>0.5190064204427991</v>
      </c>
      <c r="V75" s="6">
        <v>2.5997307643589304E-2</v>
      </c>
      <c r="X75" s="19"/>
      <c r="Y75" s="20"/>
      <c r="AA75" s="19"/>
      <c r="AB75" s="20"/>
      <c r="AD75" s="19"/>
      <c r="AE75" s="20"/>
    </row>
    <row r="76" spans="2:31">
      <c r="P76" s="19">
        <v>-234.58949713000791</v>
      </c>
      <c r="Q76" s="20">
        <v>61.117744787525083</v>
      </c>
      <c r="R76" s="25">
        <v>0.28744488663857698</v>
      </c>
      <c r="S76" s="20">
        <v>-0.20435576130612923</v>
      </c>
      <c r="U76" s="5">
        <v>0.52363746071511574</v>
      </c>
      <c r="V76" s="6">
        <v>1.4646325162878652E-2</v>
      </c>
      <c r="X76" s="19"/>
      <c r="Y76" s="20"/>
      <c r="AA76" s="19"/>
      <c r="AB76" s="20"/>
      <c r="AD76" s="19"/>
      <c r="AE76" s="20"/>
    </row>
    <row r="77" spans="2:31">
      <c r="B77" s="23"/>
      <c r="P77" s="19">
        <v>-235.58949713000791</v>
      </c>
      <c r="Q77" s="20">
        <v>61.117744787525083</v>
      </c>
      <c r="R77" s="25">
        <v>0.29096760719418646</v>
      </c>
      <c r="S77" s="20">
        <v>-0.19930803194392763</v>
      </c>
      <c r="U77" s="5">
        <v>0.52786564713444284</v>
      </c>
      <c r="V77" s="6">
        <v>3.1085073790360481E-3</v>
      </c>
      <c r="X77" s="19"/>
      <c r="Y77" s="20"/>
      <c r="AA77" s="19"/>
      <c r="AB77" s="20"/>
      <c r="AD77" s="19"/>
      <c r="AE77" s="20"/>
    </row>
    <row r="78" spans="2:31">
      <c r="P78" s="19">
        <v>-236.58949713000794</v>
      </c>
      <c r="Q78" s="20">
        <v>61.117744787525083</v>
      </c>
      <c r="R78" s="25">
        <v>0.29440169619797801</v>
      </c>
      <c r="S78" s="20">
        <v>-0.19419959142445561</v>
      </c>
      <c r="U78" s="5">
        <v>0.5316838052136974</v>
      </c>
      <c r="V78" s="6">
        <v>-8.6015130385830706E-3</v>
      </c>
      <c r="X78" s="19"/>
      <c r="Y78" s="20"/>
      <c r="AA78" s="19"/>
      <c r="AB78" s="20"/>
      <c r="AD78" s="19"/>
      <c r="AE78" s="20"/>
    </row>
    <row r="79" spans="2:31">
      <c r="P79" s="19">
        <v>-237.58949713000794</v>
      </c>
      <c r="Q79" s="20">
        <v>61.117744787525083</v>
      </c>
      <c r="R79" s="25">
        <v>0.29774610759317449</v>
      </c>
      <c r="S79" s="20">
        <v>-0.18903199582818206</v>
      </c>
      <c r="U79" s="5">
        <v>0.53508530157191869</v>
      </c>
      <c r="V79" s="6">
        <v>-2.0468743432561182E-2</v>
      </c>
      <c r="X79" s="19"/>
      <c r="Y79" s="20"/>
      <c r="AA79" s="19"/>
      <c r="AB79" s="20"/>
      <c r="AD79" s="19"/>
      <c r="AE79" s="20"/>
    </row>
    <row r="80" spans="2:31">
      <c r="P80" s="19">
        <v>-238.41050286999209</v>
      </c>
      <c r="Q80" s="20">
        <v>61.117744787525083</v>
      </c>
      <c r="R80" s="25">
        <v>0.3004241350480229</v>
      </c>
      <c r="S80" s="20">
        <v>-0.18474625602246811</v>
      </c>
      <c r="U80" s="5">
        <v>0.53806406323635725</v>
      </c>
      <c r="V80" s="6">
        <v>-3.247785202576467E-2</v>
      </c>
      <c r="X80" s="19"/>
      <c r="Y80" s="20"/>
      <c r="AA80" s="19"/>
      <c r="AB80" s="20"/>
      <c r="AD80" s="19"/>
      <c r="AE80" s="20"/>
    </row>
    <row r="81" spans="16:31">
      <c r="P81" s="19">
        <v>-238.58949713000794</v>
      </c>
      <c r="Q81" s="20">
        <v>61.117744787525083</v>
      </c>
      <c r="R81" s="25">
        <v>0.30099982263966663</v>
      </c>
      <c r="S81" s="20">
        <v>-0.18380681925478515</v>
      </c>
      <c r="U81" s="5">
        <v>0.54061459610562634</v>
      </c>
      <c r="V81" s="6">
        <v>-4.4613190095119569E-2</v>
      </c>
      <c r="X81" s="19"/>
      <c r="Y81" s="20"/>
      <c r="AA81" s="19"/>
      <c r="AB81" s="20"/>
      <c r="AD81" s="19"/>
      <c r="AE81" s="20"/>
    </row>
    <row r="82" spans="16:31">
      <c r="P82" s="19">
        <v>-239.41050286999206</v>
      </c>
      <c r="Q82" s="20">
        <v>61.117744787525083</v>
      </c>
      <c r="R82" s="25">
        <v>0.30360264574498863</v>
      </c>
      <c r="S82" s="20">
        <v>-0.1794749941644099</v>
      </c>
      <c r="U82" s="5">
        <v>0.54273200247816633</v>
      </c>
      <c r="V82" s="6">
        <v>-5.6858815418608787E-2</v>
      </c>
      <c r="X82" s="19"/>
      <c r="Y82" s="20"/>
      <c r="AA82" s="19"/>
      <c r="AB82" s="20"/>
      <c r="AD82" s="19"/>
      <c r="AE82" s="20"/>
    </row>
    <row r="83" spans="16:31">
      <c r="P83" s="19">
        <v>-239.58949713000794</v>
      </c>
      <c r="Q83" s="20">
        <v>61.117744787525083</v>
      </c>
      <c r="R83" s="25">
        <v>0.30416185022433206</v>
      </c>
      <c r="S83" s="20">
        <v>-0.1785256533436666</v>
      </c>
      <c r="U83" s="5">
        <v>0.54441199755112457</v>
      </c>
      <c r="V83" s="6">
        <v>-6.9198516955219128E-2</v>
      </c>
      <c r="X83" s="19"/>
      <c r="Y83" s="20"/>
      <c r="AA83" s="19"/>
      <c r="AB83" s="20"/>
      <c r="AD83" s="19"/>
      <c r="AE83" s="20"/>
    </row>
    <row r="84" spans="16:31">
      <c r="P84" s="19">
        <v>-240.41050286999209</v>
      </c>
      <c r="Q84" s="20">
        <v>61.117744787525083</v>
      </c>
      <c r="R84" s="25">
        <v>0.30668867613499562</v>
      </c>
      <c r="S84" s="20">
        <v>-0.17414906248451581</v>
      </c>
      <c r="U84" s="5">
        <v>0.54565092479633426</v>
      </c>
      <c r="V84" s="6">
        <v>-8.1615840709416548E-2</v>
      </c>
      <c r="X84" s="19"/>
      <c r="Y84" s="20"/>
      <c r="AA84" s="19"/>
      <c r="AB84" s="20"/>
      <c r="AD84" s="19"/>
      <c r="AE84" s="20"/>
    </row>
    <row r="85" spans="16:31">
      <c r="P85" s="19">
        <v>-240.58949713000794</v>
      </c>
      <c r="Q85" s="20">
        <v>61.117744787525083</v>
      </c>
      <c r="R85" s="25">
        <v>0.30723122716293716</v>
      </c>
      <c r="S85" s="20">
        <v>-0.17319010678912281</v>
      </c>
      <c r="U85" s="5">
        <v>0.54644577012240036</v>
      </c>
      <c r="V85" s="6">
        <v>-9.4094116723580729E-2</v>
      </c>
      <c r="X85" s="19"/>
      <c r="Y85" s="20"/>
      <c r="AA85" s="19"/>
      <c r="AB85" s="20"/>
      <c r="AD85" s="19"/>
      <c r="AE85" s="20"/>
    </row>
    <row r="86" spans="16:31">
      <c r="P86" s="19">
        <v>-241.41050286999206</v>
      </c>
      <c r="Q86" s="20">
        <v>61.117744787525083</v>
      </c>
      <c r="R86" s="25">
        <v>0.30968128618329194</v>
      </c>
      <c r="S86" s="20">
        <v>-0.1687700833131692</v>
      </c>
      <c r="U86" s="5">
        <v>0.54679417473499092</v>
      </c>
      <c r="V86" s="6">
        <v>-0.10661648713375303</v>
      </c>
      <c r="X86" s="19"/>
      <c r="Y86" s="20"/>
      <c r="AA86" s="19"/>
      <c r="AB86" s="20"/>
      <c r="AD86" s="19"/>
      <c r="AE86" s="20"/>
    </row>
    <row r="87" spans="16:31">
      <c r="P87" s="19">
        <v>-241.58949713000791</v>
      </c>
      <c r="Q87" s="20">
        <v>61.117744787525083</v>
      </c>
      <c r="R87" s="25">
        <v>0.31020701849353266</v>
      </c>
      <c r="S87" s="20">
        <v>-0.16780180485032073</v>
      </c>
      <c r="U87" s="5">
        <v>0.54669444661128774</v>
      </c>
      <c r="V87" s="6">
        <v>-0.11916593521612431</v>
      </c>
      <c r="X87" s="19"/>
      <c r="Y87" s="20"/>
      <c r="AA87" s="19"/>
      <c r="AB87" s="20"/>
      <c r="AD87" s="19"/>
      <c r="AE87" s="20"/>
    </row>
    <row r="88" spans="16:31">
      <c r="P88" s="19">
        <v>-242.41050286999209</v>
      </c>
      <c r="Q88" s="20">
        <v>61.117744787525083</v>
      </c>
      <c r="R88" s="25">
        <v>0.3125795643118669</v>
      </c>
      <c r="S88" s="20">
        <v>-0.16333969513953273</v>
      </c>
      <c r="U88" s="5">
        <v>0.5461455705091689</v>
      </c>
      <c r="V88" s="6">
        <v>-0.13172531534399459</v>
      </c>
      <c r="X88" s="19"/>
      <c r="Y88" s="20"/>
      <c r="AA88" s="19"/>
      <c r="AB88" s="20"/>
      <c r="AD88" s="19"/>
      <c r="AE88" s="20"/>
    </row>
    <row r="89" spans="16:31">
      <c r="P89" s="19">
        <v>-243.41050286999209</v>
      </c>
      <c r="Q89" s="20">
        <v>61.117744787525083</v>
      </c>
      <c r="R89" s="25">
        <v>0.31538262767712616</v>
      </c>
      <c r="S89" s="20">
        <v>-0.15785955211244979</v>
      </c>
      <c r="U89" s="5">
        <v>0.5451472164370621</v>
      </c>
      <c r="V89" s="6">
        <v>-0.14427738376755717</v>
      </c>
      <c r="X89" s="19"/>
      <c r="Y89" s="20"/>
      <c r="AA89" s="19"/>
      <c r="AB89" s="20"/>
      <c r="AD89" s="19"/>
      <c r="AE89" s="20"/>
    </row>
    <row r="90" spans="16:31">
      <c r="P90" s="19">
        <v>-244.41050286999211</v>
      </c>
      <c r="Q90" s="20">
        <v>61.117744787525083</v>
      </c>
      <c r="R90" s="25">
        <v>0.31808962243881495</v>
      </c>
      <c r="S90" s="20">
        <v>-0.15233132353657339</v>
      </c>
      <c r="U90" s="5">
        <v>0.5436997465165071</v>
      </c>
      <c r="V90" s="6">
        <v>-0.15680483012187535</v>
      </c>
      <c r="X90" s="19"/>
      <c r="Y90" s="20"/>
      <c r="AA90" s="19"/>
      <c r="AB90" s="20"/>
      <c r="AD90" s="19"/>
      <c r="AE90" s="20"/>
    </row>
    <row r="91" spans="16:31">
      <c r="P91" s="19">
        <v>-245.41050286999209</v>
      </c>
      <c r="Q91" s="20">
        <v>61.117744787525083</v>
      </c>
      <c r="R91" s="25">
        <v>0.32069972402010538</v>
      </c>
      <c r="S91" s="20">
        <v>-0.14675669336388125</v>
      </c>
      <c r="U91" s="5">
        <v>0.54180422017625063</v>
      </c>
      <c r="V91" s="6">
        <v>-0.16929030956191082</v>
      </c>
      <c r="X91" s="19"/>
      <c r="Y91" s="20"/>
      <c r="AA91" s="19"/>
      <c r="AB91" s="20"/>
      <c r="AD91" s="19"/>
      <c r="AE91" s="20"/>
    </row>
    <row r="92" spans="16:31">
      <c r="P92" s="19">
        <v>-246.41050286999209</v>
      </c>
      <c r="Q92" s="20">
        <v>61.117744787525083</v>
      </c>
      <c r="R92" s="25">
        <v>0.32321213735877141</v>
      </c>
      <c r="S92" s="20">
        <v>-0.14113735968072633</v>
      </c>
      <c r="U92" s="5">
        <v>0.53946239762414583</v>
      </c>
      <c r="V92" s="6">
        <v>-0.18171647541751257</v>
      </c>
      <c r="X92" s="19"/>
      <c r="Y92" s="20"/>
      <c r="AA92" s="19"/>
      <c r="AB92" s="20"/>
      <c r="AD92" s="19"/>
      <c r="AE92" s="20"/>
    </row>
    <row r="93" spans="16:31">
      <c r="P93" s="19">
        <v>-247.41050286999209</v>
      </c>
      <c r="Q93" s="20">
        <v>61.117744787525083</v>
      </c>
      <c r="R93" s="25">
        <v>0.32562609714937163</v>
      </c>
      <c r="S93" s="20">
        <v>-0.13547503419058449</v>
      </c>
      <c r="U93" s="5">
        <v>0.53667674155117373</v>
      </c>
      <c r="V93" s="6">
        <v>-0.19406601225594855</v>
      </c>
      <c r="X93" s="19"/>
      <c r="Y93" s="20"/>
      <c r="AA93" s="19"/>
      <c r="AB93" s="20"/>
      <c r="AD93" s="19"/>
      <c r="AE93" s="20"/>
    </row>
    <row r="94" spans="16:31">
      <c r="P94" s="19">
        <v>-248.41050286999206</v>
      </c>
      <c r="Q94" s="20">
        <v>61.117744787525083</v>
      </c>
      <c r="R94" s="25">
        <v>0.3279408680763693</v>
      </c>
      <c r="S94" s="20">
        <v>-0.12977144169265203</v>
      </c>
      <c r="U94" s="5">
        <v>0.53345041703048968</v>
      </c>
      <c r="V94" s="6">
        <v>-0.20632166923493414</v>
      </c>
      <c r="X94" s="19"/>
      <c r="Y94" s="20"/>
      <c r="AA94" s="19"/>
      <c r="AB94" s="20"/>
      <c r="AD94" s="19"/>
      <c r="AE94" s="20"/>
    </row>
    <row r="95" spans="16:31">
      <c r="P95" s="19">
        <v>-249.41050286999209</v>
      </c>
      <c r="Q95" s="20">
        <v>61.117744787525083</v>
      </c>
      <c r="R95" s="25">
        <v>0.33015574503811645</v>
      </c>
      <c r="S95" s="20">
        <v>-0.12402831955645573</v>
      </c>
      <c r="U95" s="5">
        <v>0.52978728958347121</v>
      </c>
      <c r="V95" s="6">
        <v>-0.21846629362524703</v>
      </c>
      <c r="X95" s="19"/>
      <c r="Y95" s="20"/>
      <c r="AA95" s="19"/>
      <c r="AB95" s="20"/>
      <c r="AD95" s="19"/>
      <c r="AE95" s="20"/>
    </row>
    <row r="96" spans="16:31">
      <c r="P96" s="19">
        <v>-250.41050286999206</v>
      </c>
      <c r="Q96" s="20">
        <v>61.117744787525083</v>
      </c>
      <c r="R96" s="25">
        <v>0.3322700533616344</v>
      </c>
      <c r="S96" s="20">
        <v>-0.11824741719263332</v>
      </c>
      <c r="U96" s="5">
        <v>0.5256919213941954</v>
      </c>
      <c r="V96" s="6">
        <v>-0.23048286437896226</v>
      </c>
      <c r="X96" s="19"/>
      <c r="Y96" s="20"/>
      <c r="AA96" s="19"/>
      <c r="AB96" s="20"/>
      <c r="AD96" s="19"/>
      <c r="AE96" s="20"/>
    </row>
    <row r="97" spans="16:31">
      <c r="P97" s="19">
        <v>-251.41050286999209</v>
      </c>
      <c r="Q97" s="20">
        <v>61.117744787525083</v>
      </c>
      <c r="R97" s="25">
        <v>0.33428314900812617</v>
      </c>
      <c r="S97" s="20">
        <v>-0.11243049552004546</v>
      </c>
      <c r="U97" s="5">
        <v>0.52116956566356565</v>
      </c>
      <c r="V97" s="6">
        <v>-0.24235452561715515</v>
      </c>
      <c r="X97" s="19"/>
      <c r="Y97" s="20"/>
      <c r="AA97" s="19"/>
      <c r="AB97" s="20"/>
      <c r="AD97" s="19"/>
      <c r="AE97" s="20"/>
    </row>
    <row r="98" spans="16:31">
      <c r="P98" s="19">
        <v>-252.41050286999209</v>
      </c>
      <c r="Q98" s="20">
        <v>61.117744787525083</v>
      </c>
      <c r="R98" s="25">
        <v>0.33619441876915646</v>
      </c>
      <c r="S98" s="20">
        <v>-0.10657932642938364</v>
      </c>
      <c r="U98" s="5">
        <v>0.5162261591043068</v>
      </c>
      <c r="V98" s="6">
        <v>-0.25406461990962415</v>
      </c>
      <c r="X98" s="19"/>
      <c r="Y98" s="20"/>
      <c r="AA98" s="19"/>
      <c r="AB98" s="20"/>
      <c r="AD98" s="19"/>
      <c r="AE98" s="20"/>
    </row>
    <row r="99" spans="16:31">
      <c r="P99" s="19">
        <v>-253.41050286999211</v>
      </c>
      <c r="Q99" s="20">
        <v>61.117744787525083</v>
      </c>
      <c r="R99" s="25">
        <v>0.33800328045344119</v>
      </c>
      <c r="S99" s="20">
        <v>-0.10069569224343418</v>
      </c>
      <c r="U99" s="5">
        <v>0.51086831258819909</v>
      </c>
      <c r="V99" s="6">
        <v>-0.26559672121882838</v>
      </c>
      <c r="X99" s="19"/>
      <c r="Y99" s="20"/>
      <c r="AA99" s="19"/>
      <c r="AB99" s="20"/>
      <c r="AD99" s="19"/>
      <c r="AE99" s="20"/>
    </row>
    <row r="100" spans="16:31">
      <c r="P100" s="19">
        <v>-254.41050286999211</v>
      </c>
      <c r="Q100" s="20">
        <v>61.117744787525083</v>
      </c>
      <c r="R100" s="25">
        <v>0.33970918306418851</v>
      </c>
      <c r="S100" s="20">
        <v>-9.4781385174166455E-2</v>
      </c>
      <c r="U100" s="5">
        <v>0.50510329996710479</v>
      </c>
      <c r="V100" s="6">
        <v>-0.27693466738080796</v>
      </c>
      <c r="X100" s="19"/>
      <c r="Y100" s="20"/>
      <c r="AA100" s="19"/>
      <c r="AB100" s="20"/>
      <c r="AD100" s="19"/>
      <c r="AE100" s="20"/>
    </row>
    <row r="101" spans="16:31">
      <c r="P101" s="19">
        <v>-255.41050286999209</v>
      </c>
      <c r="Q101" s="20">
        <v>61.117744787525083</v>
      </c>
      <c r="R101" s="25">
        <v>0.34131160696693774</v>
      </c>
      <c r="S101" s="20">
        <v>-8.883820677680665E-2</v>
      </c>
      <c r="U101" s="5">
        <v>0.49893904509946529</v>
      </c>
      <c r="V101" s="6">
        <v>-0.28806259199739082</v>
      </c>
      <c r="X101" s="19"/>
      <c r="Y101" s="20"/>
      <c r="AA101" s="19"/>
      <c r="AB101" s="20"/>
      <c r="AD101" s="19"/>
      <c r="AE101" s="20"/>
    </row>
    <row r="102" spans="16:31">
      <c r="P102" s="19">
        <v>-256.41050286999206</v>
      </c>
      <c r="Q102" s="20">
        <v>61.117744787525083</v>
      </c>
      <c r="R102" s="25">
        <v>0.34281006404784503</v>
      </c>
      <c r="S102" s="20">
        <v>-8.2867967401067721E-2</v>
      </c>
      <c r="U102" s="5">
        <v>0.49238410712392605</v>
      </c>
      <c r="V102" s="6">
        <v>-0.29896495561645992</v>
      </c>
      <c r="X102" s="19"/>
      <c r="Y102" s="20"/>
      <c r="AA102" s="19"/>
      <c r="AB102" s="20"/>
      <c r="AD102" s="19"/>
      <c r="AE102" s="20"/>
    </row>
    <row r="103" spans="16:31">
      <c r="P103" s="19">
        <v>-257.41050286999206</v>
      </c>
      <c r="Q103" s="20">
        <v>61.117744787525083</v>
      </c>
      <c r="R103" s="25">
        <v>0.34420409786236772</v>
      </c>
      <c r="S103" s="20">
        <v>-7.6872485639698424E-2</v>
      </c>
      <c r="U103" s="5">
        <v>0.48544766403145861</v>
      </c>
      <c r="V103" s="6">
        <v>-0.30962657608045524</v>
      </c>
      <c r="X103" s="19"/>
      <c r="Y103" s="20"/>
      <c r="AA103" s="19"/>
      <c r="AB103" s="20"/>
      <c r="AD103" s="19"/>
      <c r="AE103" s="20"/>
    </row>
    <row r="104" spans="16:31">
      <c r="P104" s="19">
        <v>-258.41050286999211</v>
      </c>
      <c r="Q104" s="20">
        <v>61.117744787525083</v>
      </c>
      <c r="R104" s="25">
        <v>0.34549328377430155</v>
      </c>
      <c r="S104" s="20">
        <v>-7.0853587774522594E-2</v>
      </c>
      <c r="U104" s="5">
        <v>0.47813949459672578</v>
      </c>
      <c r="V104" s="6">
        <v>-0.32003265792758462</v>
      </c>
      <c r="X104" s="19"/>
      <c r="Y104" s="20"/>
      <c r="AA104" s="19"/>
      <c r="AB104" s="20"/>
      <c r="AD104" s="19"/>
      <c r="AE104" s="20"/>
    </row>
    <row r="105" spans="16:31">
      <c r="P105" s="19">
        <v>-259.41050286999206</v>
      </c>
      <c r="Q105" s="20">
        <v>61.117744787525083</v>
      </c>
      <c r="R105" s="25">
        <v>0.3466772290851291</v>
      </c>
      <c r="S105" s="20">
        <v>-6.4813107220136723E-2</v>
      </c>
      <c r="U105" s="5">
        <v>0.47046995873836583</v>
      </c>
      <c r="V105" s="6">
        <v>-0.33016882073537207</v>
      </c>
      <c r="X105" s="19"/>
      <c r="Y105" s="20"/>
      <c r="AA105" s="19"/>
      <c r="AB105" s="20"/>
      <c r="AD105" s="19"/>
      <c r="AE105" s="20"/>
    </row>
    <row r="106" spans="16:31">
      <c r="P106" s="19">
        <v>-260.41050286999211</v>
      </c>
      <c r="Q106" s="20">
        <v>61.117744787525083</v>
      </c>
      <c r="R106" s="25">
        <v>0.3477555731536397</v>
      </c>
      <c r="S106" s="20">
        <v>-5.875288396543276E-2</v>
      </c>
      <c r="U106" s="5">
        <v>0.46244997638628277</v>
      </c>
      <c r="V106" s="6">
        <v>-0.34002112630214404</v>
      </c>
      <c r="X106" s="19"/>
      <c r="Y106" s="20"/>
      <c r="AA106" s="19"/>
      <c r="AB106" s="20"/>
      <c r="AD106" s="19"/>
      <c r="AE106" s="20"/>
    </row>
    <row r="107" spans="16:31">
      <c r="P107" s="19">
        <v>-261.41050286999211</v>
      </c>
      <c r="Q107" s="20">
        <v>61.117744787525083</v>
      </c>
      <c r="R107" s="25">
        <v>0.34872798750578371</v>
      </c>
      <c r="S107" s="20">
        <v>-5.2674764013121128E-2</v>
      </c>
      <c r="U107" s="5">
        <v>0.45409100494183008</v>
      </c>
      <c r="V107" s="6">
        <v>-0.3495761045687652</v>
      </c>
      <c r="X107" s="19"/>
      <c r="Y107" s="20"/>
      <c r="AA107" s="19"/>
      <c r="AB107" s="20"/>
      <c r="AD107" s="19"/>
      <c r="AE107" s="20"/>
    </row>
    <row r="108" spans="16:31">
      <c r="P108" s="19">
        <v>-262.41050286999206</v>
      </c>
      <c r="Q108" s="20">
        <v>61.117744787525083</v>
      </c>
      <c r="R108" s="25">
        <v>0.34959417593472963</v>
      </c>
      <c r="S108" s="20">
        <v>-4.6580598817418994E-2</v>
      </c>
      <c r="U108" s="5">
        <v>0.44540501542390837</v>
      </c>
      <c r="V108" s="6">
        <v>-0.35882077819033953</v>
      </c>
      <c r="X108" s="19"/>
      <c r="Y108" s="20"/>
      <c r="AA108" s="19"/>
      <c r="AB108" s="20"/>
      <c r="AD108" s="19"/>
      <c r="AE108" s="20"/>
    </row>
    <row r="109" spans="16:31">
      <c r="P109" s="19">
        <v>-263.41050286999211</v>
      </c>
      <c r="Q109" s="20">
        <v>61.117744787525083</v>
      </c>
      <c r="R109" s="25">
        <v>0.35035387459109102</v>
      </c>
      <c r="S109" s="20">
        <v>-4.0472244720080881E-2</v>
      </c>
      <c r="U109" s="5">
        <v>0.43640446740038086</v>
      </c>
      <c r="V109" s="6">
        <v>-0.36774268567559731</v>
      </c>
      <c r="X109" s="19"/>
      <c r="Y109" s="20"/>
      <c r="AA109" s="19"/>
      <c r="AB109" s="20"/>
      <c r="AD109" s="19"/>
      <c r="AE109" s="20"/>
    </row>
    <row r="110" spans="16:31">
      <c r="P110" s="19">
        <v>-264.41050286999211</v>
      </c>
      <c r="Q110" s="20">
        <v>61.117744787525083</v>
      </c>
      <c r="R110" s="25">
        <v>0.35100685206329774</v>
      </c>
      <c r="S110" s="20">
        <v>-3.4351562384937424E-2</v>
      </c>
      <c r="U110" s="5">
        <v>0.42710228280980966</v>
      </c>
      <c r="V110" s="6">
        <v>-0.37632990302021568</v>
      </c>
      <c r="X110" s="19"/>
      <c r="Y110" s="20"/>
      <c r="AA110" s="19"/>
      <c r="AB110" s="20"/>
      <c r="AD110" s="19"/>
      <c r="AE110" s="20"/>
    </row>
    <row r="111" spans="16:31">
      <c r="P111" s="19">
        <v>-265.41050286999211</v>
      </c>
      <c r="Q111" s="20">
        <v>61.117744787525083</v>
      </c>
      <c r="R111" s="25">
        <v>0.35155290944808626</v>
      </c>
      <c r="S111" s="20">
        <v>-2.8220416231120642E-2</v>
      </c>
      <c r="U111" s="5">
        <v>0.41751181878327215</v>
      </c>
      <c r="V111" s="6">
        <v>-0.38457106376929462</v>
      </c>
      <c r="X111" s="19"/>
      <c r="Y111" s="20"/>
      <c r="AA111" s="19"/>
      <c r="AB111" s="20"/>
      <c r="AD111" s="19"/>
      <c r="AE111" s="20"/>
    </row>
    <row r="112" spans="16:31">
      <c r="P112" s="19">
        <v>-266.41050286999206</v>
      </c>
      <c r="Q112" s="20">
        <v>61.117744787525083</v>
      </c>
      <c r="R112" s="25">
        <v>0.35199188041108742</v>
      </c>
      <c r="S112" s="20">
        <v>-2.2080673865142529E-2</v>
      </c>
      <c r="U112" s="5">
        <v>0.40764683957990133</v>
      </c>
      <c r="V112" s="6">
        <v>-0.39245537745351694</v>
      </c>
      <c r="X112" s="19"/>
      <c r="Y112" s="20"/>
      <c r="AA112" s="19"/>
      <c r="AB112" s="20"/>
      <c r="AD112" s="19"/>
      <c r="AE112" s="20"/>
    </row>
    <row r="113" spans="16:31">
      <c r="P113" s="19">
        <v>-267.41050286999211</v>
      </c>
      <c r="Q113" s="20">
        <v>61.117744787525083</v>
      </c>
      <c r="R113" s="25">
        <v>0.35232363123749344</v>
      </c>
      <c r="S113" s="20">
        <v>-1.5934205512004643E-2</v>
      </c>
      <c r="U113" s="5">
        <v>0.39752148775279256</v>
      </c>
      <c r="V113" s="6">
        <v>-0.3999726463530906</v>
      </c>
      <c r="X113" s="19"/>
      <c r="Y113" s="20"/>
      <c r="AA113" s="19"/>
      <c r="AB113" s="20"/>
      <c r="AD113" s="19"/>
      <c r="AE113" s="20"/>
    </row>
    <row r="114" spans="16:31">
      <c r="P114" s="19">
        <v>-268.41050286999211</v>
      </c>
      <c r="Q114" s="20">
        <v>61.117744787525083</v>
      </c>
      <c r="R114" s="25">
        <v>0.35254806087278884</v>
      </c>
      <c r="S114" s="20">
        <v>-9.7828834455098469E-3</v>
      </c>
      <c r="U114" s="5">
        <v>0.3871502546640001</v>
      </c>
      <c r="V114" s="6">
        <v>-0.40711328055328794</v>
      </c>
      <c r="X114" s="19"/>
      <c r="Y114" s="20"/>
      <c r="AA114" s="19"/>
      <c r="AB114" s="20"/>
      <c r="AD114" s="19"/>
      <c r="AE114" s="20"/>
    </row>
    <row r="115" spans="16:31">
      <c r="P115" s="19">
        <v>-269.41050286999155</v>
      </c>
      <c r="Q115" s="20">
        <v>61.117744787525083</v>
      </c>
      <c r="R115" s="25">
        <v>0.35266510095353265</v>
      </c>
      <c r="S115" s="20">
        <v>-3.6285814179484671E-3</v>
      </c>
      <c r="U115" s="5">
        <v>0.37654795046853845</v>
      </c>
      <c r="V115" s="6">
        <v>-0.4138683112651883</v>
      </c>
      <c r="X115" s="19"/>
      <c r="Y115" s="20"/>
      <c r="AA115" s="19"/>
      <c r="AB115" s="20"/>
      <c r="AD115" s="19"/>
      <c r="AE115" s="20"/>
    </row>
    <row r="116" spans="16:31">
      <c r="P116" s="19">
        <v>89.589497130008169</v>
      </c>
      <c r="Q116" s="20">
        <v>61.117744787525083</v>
      </c>
      <c r="R116" s="25">
        <v>0.35267471582818244</v>
      </c>
      <c r="S116" s="20">
        <v>2.526825910663518E-3</v>
      </c>
      <c r="U116" s="5">
        <v>0.36572967368758258</v>
      </c>
      <c r="V116" s="6">
        <v>-0.42022940239497258</v>
      </c>
      <c r="X116" s="19"/>
      <c r="Y116" s="20"/>
      <c r="AA116" s="19"/>
      <c r="AB116" s="20"/>
      <c r="AD116" s="19"/>
      <c r="AE116" s="20"/>
    </row>
    <row r="117" spans="16:31">
      <c r="P117" s="19">
        <v>88.589497130008056</v>
      </c>
      <c r="Q117" s="20">
        <v>61.117744787525083</v>
      </c>
      <c r="R117" s="25">
        <v>0.35257690256795432</v>
      </c>
      <c r="S117" s="20">
        <v>8.6814635436253586E-3</v>
      </c>
      <c r="U117" s="5">
        <v>0.35471078049047966</v>
      </c>
      <c r="V117" s="6">
        <v>-0.42618886035475967</v>
      </c>
      <c r="X117" s="19"/>
      <c r="Y117" s="20"/>
      <c r="AA117" s="19"/>
      <c r="AB117" s="20"/>
      <c r="AD117" s="19"/>
      <c r="AE117" s="20"/>
    </row>
    <row r="118" spans="16:31">
      <c r="P118" s="19">
        <v>87.589497130007885</v>
      </c>
      <c r="Q118" s="20">
        <v>61.117744787525083</v>
      </c>
      <c r="R118" s="25">
        <v>0.35237169096771481</v>
      </c>
      <c r="S118" s="20">
        <v>1.4833456718692434E-2</v>
      </c>
      <c r="U118" s="5">
        <v>0.34350685380374646</v>
      </c>
      <c r="V118" s="6">
        <v>-0.43173964211738924</v>
      </c>
      <c r="X118" s="19"/>
      <c r="Y118" s="20"/>
      <c r="AA118" s="19"/>
      <c r="AB118" s="20"/>
      <c r="AD118" s="19"/>
      <c r="AE118" s="20"/>
    </row>
    <row r="119" spans="16:31">
      <c r="P119" s="19">
        <v>86.589497130007899</v>
      </c>
      <c r="Q119" s="20">
        <v>61.117744787525083</v>
      </c>
      <c r="R119" s="25">
        <v>0.35205914353690537</v>
      </c>
      <c r="S119" s="20">
        <v>2.0980931479148229E-2</v>
      </c>
      <c r="U119" s="5">
        <v>0.33213367236299068</v>
      </c>
      <c r="V119" s="6">
        <v>-0.43687536152669559</v>
      </c>
      <c r="X119" s="19"/>
      <c r="Y119" s="20"/>
      <c r="AA119" s="19"/>
      <c r="AB119" s="20"/>
      <c r="AD119" s="19"/>
      <c r="AE119" s="20"/>
    </row>
    <row r="120" spans="16:31">
      <c r="P120" s="19">
        <v>85.589497130007928</v>
      </c>
      <c r="Q120" s="20">
        <v>61.117744787525083</v>
      </c>
      <c r="R120" s="25">
        <v>0.35163935548050107</v>
      </c>
      <c r="S120" s="20">
        <v>2.7122015244628456E-2</v>
      </c>
      <c r="U120" s="5">
        <v>0.32060717982068915</v>
      </c>
      <c r="V120" s="6">
        <v>-0.44159029388358628</v>
      </c>
      <c r="X120" s="19"/>
      <c r="Y120" s="20"/>
      <c r="AA120" s="19"/>
      <c r="AB120" s="20"/>
      <c r="AD120" s="19"/>
      <c r="AE120" s="20"/>
    </row>
    <row r="121" spans="16:31">
      <c r="P121" s="19">
        <v>84.589497130007928</v>
      </c>
      <c r="Q121" s="20">
        <v>61.117744787525083</v>
      </c>
      <c r="R121" s="25">
        <v>0.35111245467001045</v>
      </c>
      <c r="S121" s="20">
        <v>3.3254837381528346E-2</v>
      </c>
      <c r="U121" s="5">
        <v>0.30894345401905149</v>
      </c>
      <c r="V121" s="6">
        <v>-0.44587937883657636</v>
      </c>
      <c r="X121" s="19"/>
      <c r="Y121" s="20"/>
      <c r="AA121" s="19"/>
      <c r="AB121" s="20"/>
      <c r="AD121" s="19"/>
      <c r="AE121" s="20"/>
    </row>
    <row r="122" spans="16:31">
      <c r="P122" s="19">
        <v>83.589497130007928</v>
      </c>
      <c r="Q122" s="20">
        <v>61.117744787525083</v>
      </c>
      <c r="R122" s="25">
        <v>0.35047860160452465</v>
      </c>
      <c r="S122" s="20">
        <v>3.9377529772815112E-2</v>
      </c>
      <c r="U122" s="5">
        <v>0.29715867653284311</v>
      </c>
      <c r="V122" s="6">
        <v>-0.44973822161327948</v>
      </c>
      <c r="X122" s="19"/>
      <c r="Y122" s="20"/>
      <c r="AA122" s="19"/>
      <c r="AB122" s="20"/>
      <c r="AD122" s="19"/>
      <c r="AE122" s="20"/>
    </row>
    <row r="123" spans="16:31">
      <c r="P123" s="19">
        <v>82.589497130007956</v>
      </c>
      <c r="Q123" s="20">
        <v>61.117744787525083</v>
      </c>
      <c r="R123" s="25">
        <v>0.34973798936182765</v>
      </c>
      <c r="S123" s="20">
        <v>4.5488227387074212E-2</v>
      </c>
      <c r="U123" s="5">
        <v>0.28526910258210353</v>
      </c>
      <c r="V123" s="6">
        <v>-0.45316309263665833</v>
      </c>
      <c r="X123" s="19"/>
      <c r="Y123" s="20"/>
      <c r="AA123" s="19"/>
      <c r="AB123" s="20"/>
      <c r="AD123" s="19"/>
      <c r="AE123" s="20"/>
    </row>
    <row r="124" spans="16:31">
      <c r="P124" s="19">
        <v>81.589497130007928</v>
      </c>
      <c r="Q124" s="20">
        <v>61.117744787525083</v>
      </c>
      <c r="R124" s="25">
        <v>0.34889084353958305</v>
      </c>
      <c r="S124" s="20">
        <v>5.1585068846617003E-2</v>
      </c>
      <c r="U124" s="5">
        <v>0.27329103140924499</v>
      </c>
      <c r="V124" s="6">
        <v>-0.45615092557654741</v>
      </c>
      <c r="X124" s="19"/>
      <c r="Y124" s="20"/>
      <c r="AA124" s="19"/>
      <c r="AB124" s="20"/>
      <c r="AD124" s="19"/>
      <c r="AE124" s="20"/>
    </row>
    <row r="125" spans="16:31">
      <c r="P125" s="19">
        <v>80.589497130007956</v>
      </c>
      <c r="Q125" s="20">
        <v>61.117744787525083</v>
      </c>
      <c r="R125" s="25">
        <v>0.34793742218661483</v>
      </c>
      <c r="S125" s="20">
        <v>5.7666196994473229E-2</v>
      </c>
      <c r="U125" s="5">
        <v>0.26124077720912509</v>
      </c>
      <c r="V125" s="6">
        <v>-0.45869931389305768</v>
      </c>
      <c r="X125" s="19"/>
      <c r="Y125" s="20"/>
      <c r="AA125" s="19"/>
      <c r="AB125" s="20"/>
      <c r="AD125" s="19"/>
      <c r="AE125" s="20"/>
    </row>
    <row r="126" spans="16:31">
      <c r="P126" s="19">
        <v>79.589497130007928</v>
      </c>
      <c r="Q126" s="20">
        <v>61.117744787525083</v>
      </c>
      <c r="R126" s="25">
        <v>0.34687801572430305</v>
      </c>
      <c r="S126" s="20">
        <v>6.3729759460099983E-2</v>
      </c>
      <c r="U126" s="5">
        <v>0.24913464069441812</v>
      </c>
      <c r="V126" s="6">
        <v>-0.46080650593390537</v>
      </c>
      <c r="X126" s="19"/>
      <c r="Y126" s="20"/>
      <c r="AA126" s="19"/>
      <c r="AB126" s="20"/>
      <c r="AD126" s="19"/>
      <c r="AE126" s="20"/>
    </row>
    <row r="127" spans="16:31">
      <c r="P127" s="19">
        <v>78.589497130007942</v>
      </c>
      <c r="Q127" s="20">
        <v>61.117744787525083</v>
      </c>
      <c r="R127" s="25">
        <v>0.34571294685811887</v>
      </c>
      <c r="S127" s="20">
        <v>6.977390922363115E-2</v>
      </c>
      <c r="U127" s="5">
        <v>0.2369888813720521</v>
      </c>
      <c r="V127" s="6">
        <v>-0.46247139865248565</v>
      </c>
      <c r="X127" s="19"/>
      <c r="Y127" s="20"/>
      <c r="AA127" s="19"/>
      <c r="AB127" s="20"/>
      <c r="AD127" s="19"/>
      <c r="AE127" s="20"/>
    </row>
    <row r="128" spans="16:31">
      <c r="P128" s="19">
        <v>77.589497130007928</v>
      </c>
      <c r="Q128" s="20">
        <v>61.117744787525083</v>
      </c>
      <c r="R128" s="25">
        <v>0.34444257047932519</v>
      </c>
      <c r="S128" s="20">
        <v>7.5796805178497781E-2</v>
      </c>
      <c r="U128" s="5">
        <v>0.22481969059969117</v>
      </c>
      <c r="V128" s="6">
        <v>-0.46369353001759744</v>
      </c>
      <c r="X128" s="19"/>
      <c r="Y128" s="20"/>
      <c r="AA128" s="19"/>
      <c r="AB128" s="20"/>
      <c r="AD128" s="19"/>
      <c r="AE128" s="20"/>
    </row>
    <row r="129" spans="16:31">
      <c r="P129" s="19">
        <v>76.589497130007956</v>
      </c>
      <c r="Q129" s="20">
        <v>61.117744787525083</v>
      </c>
      <c r="R129" s="25">
        <v>0.34306727355687339</v>
      </c>
      <c r="S129" s="20">
        <v>8.1796612692246862E-2</v>
      </c>
      <c r="U129" s="5">
        <v>0.2126431654842966</v>
      </c>
      <c r="V129" s="6">
        <v>-0.46447307018914524</v>
      </c>
      <c r="X129" s="19"/>
      <c r="Y129" s="20"/>
      <c r="AA129" s="19"/>
      <c r="AB129" s="20"/>
      <c r="AD129" s="19"/>
      <c r="AE129" s="20"/>
    </row>
    <row r="130" spans="16:31">
      <c r="P130" s="19">
        <v>75.589497130007899</v>
      </c>
      <c r="Q130" s="20">
        <v>61.117744787525083</v>
      </c>
      <c r="R130" s="25">
        <v>0.34158747501952891</v>
      </c>
      <c r="S130" s="20">
        <v>8.7771504165388356E-2</v>
      </c>
      <c r="U130" s="5">
        <v>0.20047528367778655</v>
      </c>
      <c r="V130" s="6">
        <v>-0.46481081153688003</v>
      </c>
      <c r="X130" s="19"/>
      <c r="Y130" s="20"/>
      <c r="AA130" s="19"/>
      <c r="AB130" s="20"/>
      <c r="AD130" s="19"/>
      <c r="AE130" s="20"/>
    </row>
    <row r="131" spans="16:31">
      <c r="P131" s="19">
        <v>74.589497130007928</v>
      </c>
      <c r="Q131" s="20">
        <v>61.117744787525083</v>
      </c>
      <c r="R131" s="25">
        <v>0.34000362562826125</v>
      </c>
      <c r="S131" s="20">
        <v>9.3719659588099385E-2</v>
      </c>
      <c r="U131" s="5">
        <v>0.18833187911775284</v>
      </c>
      <c r="V131" s="6">
        <v>-0.46470815758131456</v>
      </c>
      <c r="X131" s="19"/>
      <c r="Y131" s="20"/>
      <c r="AA131" s="19"/>
      <c r="AB131" s="20"/>
      <c r="AD131" s="19"/>
      <c r="AE131" s="20"/>
    </row>
    <row r="132" spans="16:31">
      <c r="P132" s="19">
        <v>73.589497130007928</v>
      </c>
      <c r="Q132" s="20">
        <v>61.117744787525083</v>
      </c>
      <c r="R132" s="25">
        <v>0.33831620783893818</v>
      </c>
      <c r="S132" s="20">
        <v>9.9639267094617151E-2</v>
      </c>
      <c r="U132" s="5">
        <v>0.17622861875420773</v>
      </c>
      <c r="V132" s="6">
        <v>-0.4641671109373926</v>
      </c>
      <c r="X132" s="19"/>
      <c r="Y132" s="20"/>
      <c r="AA132" s="19"/>
      <c r="AB132" s="20"/>
      <c r="AD132" s="19"/>
      <c r="AE132" s="20"/>
    </row>
    <row r="133" spans="16:31">
      <c r="P133" s="19">
        <v>72.589497130007913</v>
      </c>
      <c r="Q133" s="20">
        <v>61.117744787525083</v>
      </c>
      <c r="R133" s="25">
        <v>0.33652573565536459</v>
      </c>
      <c r="S133" s="20">
        <v>0.10552852351515067</v>
      </c>
      <c r="U133" s="5">
        <v>0.16418098029641984</v>
      </c>
      <c r="V133" s="6">
        <v>-0.46319026034229804</v>
      </c>
      <c r="X133" s="19"/>
      <c r="Y133" s="20"/>
      <c r="AA133" s="19"/>
      <c r="AB133" s="20"/>
      <c r="AD133" s="19"/>
      <c r="AE133" s="20"/>
    </row>
    <row r="134" spans="16:31">
      <c r="P134" s="19">
        <v>71.589497130007913</v>
      </c>
      <c r="Q134" s="20">
        <v>61.117744787525083</v>
      </c>
      <c r="R134" s="25">
        <v>0.33463275447271246</v>
      </c>
      <c r="S134" s="20">
        <v>0.11138563492514361</v>
      </c>
      <c r="U134" s="5">
        <v>0.15220423100714972</v>
      </c>
      <c r="V134" s="6">
        <v>-0.46178076684902497</v>
      </c>
      <c r="X134" s="19"/>
      <c r="Y134" s="20"/>
      <c r="AA134" s="19"/>
      <c r="AB134" s="20"/>
      <c r="AD134" s="19"/>
      <c r="AE134" s="20"/>
    </row>
    <row r="135" spans="16:31">
      <c r="P135" s="19">
        <v>70.589497130007913</v>
      </c>
      <c r="Q135" s="20">
        <v>61.117744787525083</v>
      </c>
      <c r="R135" s="25">
        <v>0.33263784091138765</v>
      </c>
      <c r="S135" s="20">
        <v>0.11720881719172156</v>
      </c>
      <c r="U135" s="5">
        <v>0.14031340756505861</v>
      </c>
      <c r="V135" s="6">
        <v>-0.45994234926700395</v>
      </c>
      <c r="X135" s="19"/>
      <c r="Y135" s="20"/>
      <c r="AA135" s="19"/>
      <c r="AB135" s="20"/>
      <c r="AD135" s="19"/>
      <c r="AE135" s="20"/>
    </row>
    <row r="136" spans="16:31">
      <c r="P136" s="19">
        <v>69.589497130007928</v>
      </c>
      <c r="Q136" s="20">
        <v>61.117744787525083</v>
      </c>
      <c r="R136" s="25">
        <v>0.3305416026413861</v>
      </c>
      <c r="S136" s="20">
        <v>0.12299629651715561</v>
      </c>
      <c r="U136" s="5">
        <v>0.12852329700973997</v>
      </c>
      <c r="V136" s="6">
        <v>-0.45767926893023325</v>
      </c>
      <c r="X136" s="19"/>
      <c r="Y136" s="20"/>
      <c r="AA136" s="19"/>
      <c r="AB136" s="20"/>
      <c r="AD136" s="19"/>
      <c r="AE136" s="20"/>
    </row>
    <row r="137" spans="16:31">
      <c r="P137" s="19">
        <v>68.589497130007942</v>
      </c>
      <c r="Q137" s="20">
        <v>61.117744787525083</v>
      </c>
      <c r="R137" s="25">
        <v>0.3283446781971916</v>
      </c>
      <c r="S137" s="20">
        <v>0.12874630997917863</v>
      </c>
      <c r="U137" s="5">
        <v>0.11684841877781971</v>
      </c>
      <c r="V137" s="6">
        <v>-0.45499631387204992</v>
      </c>
      <c r="X137" s="19"/>
      <c r="Y137" s="20"/>
      <c r="AA137" s="19"/>
      <c r="AB137" s="20"/>
      <c r="AD137" s="19"/>
      <c r="AE137" s="20"/>
    </row>
    <row r="138" spans="16:31">
      <c r="P138" s="19">
        <v>67.589497130007942</v>
      </c>
      <c r="Q138" s="20">
        <v>61.117744787525083</v>
      </c>
      <c r="R138" s="25">
        <v>0.32604773678327187</v>
      </c>
      <c r="S138" s="20">
        <v>0.13445710606798852</v>
      </c>
      <c r="U138" s="5">
        <v>0.10530300783283694</v>
      </c>
      <c r="V138" s="6">
        <v>-0.45189878248391691</v>
      </c>
      <c r="X138" s="19"/>
      <c r="Y138" s="20"/>
      <c r="AA138" s="19"/>
      <c r="AB138" s="20"/>
      <c r="AD138" s="19"/>
      <c r="AE138" s="20"/>
    </row>
    <row r="139" spans="16:31">
      <c r="P139" s="19">
        <v>66.589497130007928</v>
      </c>
      <c r="Q139" s="20">
        <v>61.117744787525083</v>
      </c>
      <c r="R139" s="25">
        <v>0.32365147807023259</v>
      </c>
      <c r="S139" s="20">
        <v>0.14012694521977487</v>
      </c>
      <c r="U139" s="5">
        <v>9.3900998886261425E-2</v>
      </c>
      <c r="V139" s="6">
        <v>-0.4483924667334635</v>
      </c>
      <c r="X139" s="19"/>
      <c r="Y139" s="20"/>
      <c r="AA139" s="19"/>
      <c r="AB139" s="20"/>
      <c r="AD139" s="19"/>
      <c r="AE139" s="20"/>
    </row>
    <row r="140" spans="16:31">
      <c r="P140" s="19">
        <v>65.589497130007928</v>
      </c>
      <c r="Q140" s="20">
        <v>61.117744787525083</v>
      </c>
      <c r="R140" s="25">
        <v>0.32115663198169092</v>
      </c>
      <c r="S140" s="20">
        <v>0.14575410034660705</v>
      </c>
      <c r="U140" s="5">
        <v>8.2656011701967916E-2</v>
      </c>
      <c r="V140" s="6">
        <v>-0.44448363501451832</v>
      </c>
      <c r="X140" s="19"/>
      <c r="Y140" s="20"/>
      <c r="AA140" s="19"/>
      <c r="AB140" s="20"/>
      <c r="AD140" s="19"/>
      <c r="AE140" s="20"/>
    </row>
    <row r="141" spans="16:31">
      <c r="P141" s="19">
        <v>64.589497130007913</v>
      </c>
      <c r="Q141" s="20">
        <v>61.117744787525083</v>
      </c>
      <c r="R141" s="25">
        <v>0.31856395847193342</v>
      </c>
      <c r="S141" s="20">
        <v>0.15133685736252198</v>
      </c>
      <c r="U141" s="5">
        <v>7.1581337471860101E-2</v>
      </c>
      <c r="V141" s="6">
        <v>-0.44017901469908277</v>
      </c>
      <c r="X141" s="19"/>
      <c r="Y141" s="20"/>
      <c r="AA141" s="19"/>
      <c r="AB141" s="20"/>
      <c r="AD141" s="19"/>
      <c r="AE141" s="20"/>
    </row>
    <row r="142" spans="16:31">
      <c r="P142" s="19">
        <v>63.589497130007921</v>
      </c>
      <c r="Q142" s="20">
        <v>61.117744787525083</v>
      </c>
      <c r="R142" s="25">
        <v>0.31587424729442704</v>
      </c>
      <c r="S142" s="20">
        <v>0.15687351570565125</v>
      </c>
      <c r="U142" s="5">
        <v>6.0689926246067574E-2</v>
      </c>
      <c r="V142" s="6">
        <v>-0.43548577445814374</v>
      </c>
      <c r="X142" s="19"/>
      <c r="Y142" s="20"/>
      <c r="AA142" s="19"/>
      <c r="AB142" s="20"/>
      <c r="AD142" s="19"/>
      <c r="AE142" s="20"/>
    </row>
    <row r="143" spans="16:31">
      <c r="P143" s="19">
        <v>62.589497130007928</v>
      </c>
      <c r="Q143" s="20">
        <v>61.117744787525083</v>
      </c>
      <c r="R143" s="25">
        <v>0.31308831776125223</v>
      </c>
      <c r="S143" s="20">
        <v>0.16236238885622861</v>
      </c>
      <c r="U143" s="5">
        <v>4.9994375397269836E-2</v>
      </c>
      <c r="V143" s="6">
        <v>-0.43041150641494624</v>
      </c>
      <c r="X143" s="19"/>
      <c r="Y143" s="20"/>
      <c r="AA143" s="19"/>
      <c r="AB143" s="20"/>
      <c r="AD143" s="19"/>
      <c r="AE143" s="20"/>
    </row>
    <row r="144" spans="16:31">
      <c r="P144" s="19">
        <v>61.589497130007928</v>
      </c>
      <c r="Q144" s="20">
        <v>61.117744787525083</v>
      </c>
      <c r="R144" s="25">
        <v>0.31020701849353272</v>
      </c>
      <c r="S144" s="20">
        <v>0.16780180485032067</v>
      </c>
      <c r="U144" s="5">
        <v>3.9506919095233788E-2</v>
      </c>
      <c r="V144" s="6">
        <v>-0.42496420819091246</v>
      </c>
      <c r="X144" s="19"/>
      <c r="Y144" s="20"/>
      <c r="AA144" s="19"/>
      <c r="AB144" s="20"/>
      <c r="AD144" s="19"/>
      <c r="AE144" s="20"/>
    </row>
    <row r="145" spans="16:31">
      <c r="P145" s="19">
        <v>60.589497130007942</v>
      </c>
      <c r="Q145" s="20">
        <v>61.117744787525083</v>
      </c>
      <c r="R145" s="25">
        <v>0.30723122716293716</v>
      </c>
      <c r="S145" s="20">
        <v>0.17319010678912272</v>
      </c>
      <c r="U145" s="5">
        <v>2.9239418764547293E-2</v>
      </c>
      <c r="V145" s="6">
        <v>-0.4191522649008102</v>
      </c>
      <c r="X145" s="19"/>
      <c r="Y145" s="20"/>
      <c r="AA145" s="19"/>
      <c r="AB145" s="20"/>
      <c r="AD145" s="19"/>
      <c r="AE145" s="20"/>
    </row>
    <row r="146" spans="16:31">
      <c r="P146" s="19">
        <v>59.589497130007928</v>
      </c>
      <c r="Q146" s="20">
        <v>61.117744787525083</v>
      </c>
      <c r="R146" s="25">
        <v>0.30416185022433206</v>
      </c>
      <c r="S146" s="20">
        <v>0.1785256533436666</v>
      </c>
      <c r="U146" s="5">
        <v>1.9203354495844621E-2</v>
      </c>
      <c r="V146" s="6">
        <v>-0.41298443115010136</v>
      </c>
      <c r="X146" s="19"/>
      <c r="Y146" s="20"/>
      <c r="AA146" s="19"/>
      <c r="AB146" s="20"/>
      <c r="AD146" s="19"/>
      <c r="AE146" s="20"/>
    </row>
    <row r="147" spans="16:31">
      <c r="P147" s="19">
        <v>58.589497130007928</v>
      </c>
      <c r="Q147" s="20">
        <v>61.117744787525083</v>
      </c>
      <c r="R147" s="25">
        <v>0.30099982263966663</v>
      </c>
      <c r="S147" s="20">
        <v>0.18380681925478515</v>
      </c>
      <c r="U147" s="5">
        <v>9.4098173784714183E-3</v>
      </c>
      <c r="V147" s="6">
        <v>-0.40646981308366315</v>
      </c>
      <c r="X147" s="19"/>
      <c r="Y147" s="20"/>
      <c r="AA147" s="19"/>
      <c r="AB147" s="20"/>
      <c r="AD147" s="19"/>
      <c r="AE147" s="20"/>
    </row>
    <row r="148" spans="16:31">
      <c r="P148" s="19">
        <v>57.589497130007935</v>
      </c>
      <c r="Q148" s="20">
        <v>61.117744787525083</v>
      </c>
      <c r="R148" s="25">
        <v>0.29774610759317449</v>
      </c>
      <c r="S148" s="20">
        <v>0.18903199582818206</v>
      </c>
      <c r="U148" s="5">
        <v>-1.3049727941236513E-4</v>
      </c>
      <c r="V148" s="6">
        <v>-0.39961785053131116</v>
      </c>
      <c r="X148" s="19"/>
      <c r="Y148" s="20"/>
      <c r="AA148" s="19"/>
      <c r="AB148" s="20"/>
      <c r="AD148" s="19"/>
      <c r="AE148" s="20"/>
    </row>
    <row r="149" spans="16:31">
      <c r="P149" s="19">
        <v>56.589497130007928</v>
      </c>
      <c r="Q149" s="20">
        <v>61.117744787525083</v>
      </c>
      <c r="R149" s="25">
        <v>0.29440169619797801</v>
      </c>
      <c r="S149" s="20">
        <v>0.19419959142445561</v>
      </c>
      <c r="U149" s="5">
        <v>-9.4072958789287852E-3</v>
      </c>
      <c r="V149" s="6">
        <v>-0.39243829929178886</v>
      </c>
      <c r="X149" s="19"/>
      <c r="Y149" s="20"/>
      <c r="AA149" s="19"/>
      <c r="AB149" s="20"/>
      <c r="AD149" s="19"/>
      <c r="AE149" s="20"/>
    </row>
    <row r="150" spans="16:31">
      <c r="P150" s="19">
        <v>55.589497130007921</v>
      </c>
      <c r="Q150" s="20">
        <v>61.117744787525083</v>
      </c>
      <c r="R150" s="25">
        <v>0.29096760719418646</v>
      </c>
      <c r="S150" s="20">
        <v>0.19930803194392763</v>
      </c>
      <c r="U150" s="5">
        <v>-1.8410691643685695E-2</v>
      </c>
      <c r="V150" s="6">
        <v>-0.38494121359315447</v>
      </c>
      <c r="X150" s="19"/>
      <c r="Y150" s="20"/>
      <c r="AA150" s="19"/>
      <c r="AB150" s="20"/>
      <c r="AD150" s="19"/>
      <c r="AE150" s="20"/>
    </row>
    <row r="151" spans="16:31">
      <c r="P151" s="19">
        <v>54.589497130007921</v>
      </c>
      <c r="Q151" s="20">
        <v>61.117744787525083</v>
      </c>
      <c r="R151" s="25">
        <v>0.28744488663857698</v>
      </c>
      <c r="S151" s="20">
        <v>0.20435576130612923</v>
      </c>
      <c r="U151" s="5">
        <v>-2.7131208955975976E-2</v>
      </c>
      <c r="V151" s="6">
        <v>-0.3771369287638156</v>
      </c>
      <c r="X151" s="19"/>
      <c r="Y151" s="20"/>
      <c r="AA151" s="19"/>
      <c r="AB151" s="20"/>
      <c r="AD151" s="19"/>
      <c r="AE151" s="20"/>
    </row>
    <row r="152" spans="16:31">
      <c r="P152" s="19">
        <v>53.589497130007921</v>
      </c>
      <c r="Q152" s="20">
        <v>61.117744787525083</v>
      </c>
      <c r="R152" s="25">
        <v>0.2838346075859563</v>
      </c>
      <c r="S152" s="20">
        <v>0.20934124192379827</v>
      </c>
      <c r="U152" s="5">
        <v>-3.5559786954534982E-2</v>
      </c>
      <c r="V152" s="6">
        <v>-0.36903604414485652</v>
      </c>
      <c r="X152" s="19"/>
      <c r="Y152" s="20"/>
      <c r="AA152" s="19"/>
      <c r="AB152" s="20"/>
      <c r="AD152" s="19"/>
      <c r="AE152" s="20"/>
    </row>
    <row r="153" spans="16:31">
      <c r="P153" s="19">
        <v>52.589497130007935</v>
      </c>
      <c r="Q153" s="20">
        <v>61.117744787525083</v>
      </c>
      <c r="R153" s="25">
        <v>0.28013786976229743</v>
      </c>
      <c r="S153" s="20">
        <v>0.21426295517124314</v>
      </c>
      <c r="U153" s="5">
        <v>-4.3687782432808381E-2</v>
      </c>
      <c r="V153" s="6">
        <v>-0.36064940627079567</v>
      </c>
      <c r="X153" s="19"/>
      <c r="Y153" s="20"/>
      <c r="AA153" s="19"/>
      <c r="AB153" s="20"/>
      <c r="AD153" s="19"/>
      <c r="AE153" s="20"/>
    </row>
    <row r="154" spans="16:31">
      <c r="P154" s="19">
        <v>51.589497130007935</v>
      </c>
      <c r="Q154" s="20">
        <v>61.117744787525083</v>
      </c>
      <c r="R154" s="25">
        <v>0.27635579922975234</v>
      </c>
      <c r="S154" s="20">
        <v>0.21911940184693104</v>
      </c>
      <c r="U154" s="5">
        <v>-5.1506972076838034E-2</v>
      </c>
      <c r="V154" s="6">
        <v>-0.35198809234250888</v>
      </c>
      <c r="X154" s="19"/>
      <c r="Y154" s="20"/>
      <c r="AA154" s="19"/>
      <c r="AB154" s="20"/>
      <c r="AD154" s="19"/>
      <c r="AE154" s="20"/>
    </row>
    <row r="155" spans="16:31">
      <c r="P155" s="19">
        <v>49.972462223463545</v>
      </c>
      <c r="Q155" s="20">
        <v>61.75198792696856</v>
      </c>
      <c r="R155" s="25">
        <v>0.26425399374480651</v>
      </c>
      <c r="S155" s="20">
        <v>0.22195194722435882</v>
      </c>
      <c r="U155" s="5">
        <v>-5.9009554081766794E-2</v>
      </c>
      <c r="V155" s="6">
        <v>-0.34306339401278757</v>
      </c>
      <c r="X155" s="19"/>
      <c r="Y155" s="20"/>
      <c r="AA155" s="19"/>
      <c r="AB155" s="20"/>
      <c r="AD155" s="19"/>
      <c r="AE155" s="20"/>
    </row>
    <row r="156" spans="16:31">
      <c r="P156" s="19">
        <v>48.288484845226847</v>
      </c>
      <c r="Q156" s="20">
        <v>62.366411257061166</v>
      </c>
      <c r="R156" s="25">
        <v>0.25212427126418485</v>
      </c>
      <c r="S156" s="20">
        <v>0.22472544322753077</v>
      </c>
      <c r="U156" s="5">
        <v>-6.6188149185667525E-2</v>
      </c>
      <c r="V156" s="6">
        <v>-0.33388680150185757</v>
      </c>
      <c r="X156" s="19"/>
      <c r="Y156" s="20"/>
      <c r="AA156" s="19"/>
      <c r="AB156" s="20"/>
      <c r="AD156" s="19"/>
      <c r="AE156" s="20"/>
    </row>
    <row r="157" spans="16:31">
      <c r="P157" s="19">
        <v>47.111114369121196</v>
      </c>
      <c r="Q157" s="20">
        <v>63.161932021762446</v>
      </c>
      <c r="R157" s="25">
        <v>0.24046246946488056</v>
      </c>
      <c r="S157" s="20">
        <v>0.22336460679242123</v>
      </c>
      <c r="U157" s="5">
        <v>-7.3035801158887928E-2</v>
      </c>
      <c r="V157" s="6">
        <v>-0.32446998805720428</v>
      </c>
      <c r="X157" s="19"/>
      <c r="Y157" s="20"/>
      <c r="AA157" s="19"/>
      <c r="AB157" s="20"/>
      <c r="AD157" s="19"/>
      <c r="AE157" s="20"/>
    </row>
    <row r="158" spans="16:31">
      <c r="P158" s="19">
        <v>45.859170838110714</v>
      </c>
      <c r="Q158" s="20">
        <v>63.944433128206903</v>
      </c>
      <c r="R158" s="25">
        <v>0.22877834807974473</v>
      </c>
      <c r="S158" s="20">
        <v>0.22201798802920697</v>
      </c>
      <c r="U158" s="5">
        <v>-7.9545976786437878E-2</v>
      </c>
      <c r="V158" s="6">
        <v>-0.31482479476920483</v>
      </c>
      <c r="X158" s="19"/>
      <c r="Y158" s="20"/>
      <c r="AA158" s="19"/>
      <c r="AB158" s="20"/>
      <c r="AD158" s="19"/>
      <c r="AE158" s="20"/>
    </row>
    <row r="159" spans="16:31">
      <c r="P159" s="19">
        <v>47.196299641899138</v>
      </c>
      <c r="Q159" s="20">
        <v>64.752577573732879</v>
      </c>
      <c r="R159" s="25">
        <v>0.22676198877903708</v>
      </c>
      <c r="S159" s="20">
        <v>0.21001110874110487</v>
      </c>
      <c r="U159" s="5">
        <v>-8.5712565380104716E-2</v>
      </c>
      <c r="V159" s="6">
        <v>-0.30496321575139829</v>
      </c>
      <c r="X159" s="19"/>
      <c r="Y159" s="20"/>
      <c r="AA159" s="19"/>
      <c r="AB159" s="20"/>
      <c r="AD159" s="19"/>
      <c r="AE159" s="20"/>
    </row>
    <row r="160" spans="16:31">
      <c r="P160" s="19">
        <v>48.652915375915455</v>
      </c>
      <c r="Q160" s="20">
        <v>65.535706459518863</v>
      </c>
      <c r="R160" s="25">
        <v>0.22494160780081793</v>
      </c>
      <c r="S160" s="20">
        <v>0.19794379012593208</v>
      </c>
      <c r="U160" s="5">
        <v>-9.1529877856022429E-2</v>
      </c>
      <c r="V160" s="6">
        <v>-0.29489738369170337</v>
      </c>
      <c r="X160" s="19"/>
      <c r="Y160" s="20"/>
      <c r="AA160" s="19"/>
      <c r="AB160" s="20"/>
      <c r="AD160" s="19"/>
      <c r="AE160" s="20"/>
    </row>
    <row r="161" spans="16:31">
      <c r="P161" s="19">
        <v>50.236298346850724</v>
      </c>
      <c r="Q161" s="20">
        <v>66.291085772735514</v>
      </c>
      <c r="R161" s="25">
        <v>0.22331696231759485</v>
      </c>
      <c r="S161" s="20">
        <v>0.18582111874131105</v>
      </c>
      <c r="U161" s="5">
        <v>-9.6992645412335599E-2</v>
      </c>
      <c r="V161" s="6">
        <v>-0.28463955577854072</v>
      </c>
      <c r="X161" s="19"/>
      <c r="Y161" s="20"/>
      <c r="AA161" s="19"/>
      <c r="AB161" s="20"/>
      <c r="AD161" s="19"/>
      <c r="AE161" s="20"/>
    </row>
    <row r="162" spans="16:31">
      <c r="P162" s="19">
        <v>51.95346318498256</v>
      </c>
      <c r="Q162" s="20">
        <v>67.015734910780751</v>
      </c>
      <c r="R162" s="25">
        <v>0.2218877940828545</v>
      </c>
      <c r="S162" s="20">
        <v>0.17364815913448123</v>
      </c>
      <c r="U162" s="5">
        <v>-0.10209601784040839</v>
      </c>
      <c r="V162" s="6">
        <v>-0.27420210000363027</v>
      </c>
      <c r="X162" s="19"/>
      <c r="Y162" s="20"/>
      <c r="AA162" s="19"/>
      <c r="AB162" s="20"/>
      <c r="AD162" s="19"/>
      <c r="AE162" s="20"/>
    </row>
    <row r="163" spans="16:31">
      <c r="P163" s="19">
        <v>53.810863020272926</v>
      </c>
      <c r="Q163" s="20">
        <v>67.706423935285969</v>
      </c>
      <c r="R163" s="25">
        <v>0.22065383013496623</v>
      </c>
      <c r="S163" s="20">
        <v>0.16142995539498656</v>
      </c>
      <c r="U163" s="5">
        <v>-0.1068355615017697</v>
      </c>
      <c r="V163" s="6">
        <v>-0.2635974818411978</v>
      </c>
      <c r="X163" s="19"/>
      <c r="Y163" s="20"/>
      <c r="AA163" s="19"/>
      <c r="AB163" s="20"/>
      <c r="AD163" s="19"/>
      <c r="AE163" s="20"/>
    </row>
    <row r="164" spans="16:31">
      <c r="P164" s="19">
        <v>55.814015520398812</v>
      </c>
      <c r="Q164" s="20">
        <v>68.35968007172076</v>
      </c>
      <c r="R164" s="25">
        <v>0.21961478342833213</v>
      </c>
      <c r="S164" s="20">
        <v>0.14917153268830863</v>
      </c>
      <c r="U164" s="5">
        <v>-0.11120725700163472</v>
      </c>
      <c r="V164" s="6">
        <v>-0.25283825130146509</v>
      </c>
      <c r="X164" s="19"/>
      <c r="Y164" s="20"/>
      <c r="AA164" s="19"/>
      <c r="AB164" s="20"/>
      <c r="AD164" s="19"/>
      <c r="AE164" s="20"/>
    </row>
    <row r="165" spans="16:31">
      <c r="P165" s="19">
        <v>57.96704802731724</v>
      </c>
      <c r="Q165" s="20">
        <v>68.971806775752896</v>
      </c>
      <c r="R165" s="25">
        <v>0.21877035339501374</v>
      </c>
      <c r="S165" s="20">
        <v>0.13687789877109535</v>
      </c>
      <c r="U165" s="5">
        <v>-0.11520749658846118</v>
      </c>
      <c r="V165" s="6">
        <v>-0.24193703035457056</v>
      </c>
      <c r="X165" s="19"/>
      <c r="Y165" s="20"/>
      <c r="AA165" s="19"/>
      <c r="AB165" s="20"/>
      <c r="AD165" s="19"/>
      <c r="AE165" s="20"/>
    </row>
    <row r="166" spans="16:31">
      <c r="P166" s="19">
        <v>60.272167950140314</v>
      </c>
      <c r="Q166" s="20">
        <v>69.538918987188012</v>
      </c>
      <c r="R166" s="25">
        <v>0.21812022643977336</v>
      </c>
      <c r="S166" s="20">
        <v>0.12455404548875217</v>
      </c>
      <c r="U166" s="5">
        <v>-0.11883308130754944</v>
      </c>
      <c r="V166" s="6">
        <v>-0.23090650071952032</v>
      </c>
      <c r="X166" s="19"/>
      <c r="Y166" s="20"/>
      <c r="AA166" s="19"/>
      <c r="AB166" s="20"/>
      <c r="AD166" s="19"/>
      <c r="AE166" s="20"/>
    </row>
    <row r="167" spans="16:31">
      <c r="P167" s="19">
        <v>62.729077897406462</v>
      </c>
      <c r="Q167" s="20">
        <v>70.056998110174248</v>
      </c>
      <c r="R167" s="25">
        <v>0.21766407637118235</v>
      </c>
      <c r="S167" s="20">
        <v>0.11220495025626592</v>
      </c>
      <c r="U167" s="5">
        <v>-0.12208121793523848</v>
      </c>
      <c r="V167" s="6">
        <v>-0.2197593920113336</v>
      </c>
      <c r="X167" s="19"/>
      <c r="Y167" s="20"/>
      <c r="AA167" s="19"/>
      <c r="AB167" s="20"/>
      <c r="AD167" s="19"/>
      <c r="AE167" s="20"/>
    </row>
    <row r="168" spans="16:31">
      <c r="P168" s="19">
        <v>65.334372592773818</v>
      </c>
      <c r="Q168" s="20">
        <v>70.521969562603289</v>
      </c>
      <c r="R168" s="25">
        <v>0.21740156477117156</v>
      </c>
      <c r="S168" s="20">
        <v>9.9835577523218394E-2</v>
      </c>
      <c r="U168" s="5">
        <v>-0.12494951571875283</v>
      </c>
      <c r="V168" s="6">
        <v>-0.20850847023828786</v>
      </c>
      <c r="X168" s="19"/>
      <c r="Y168" s="20"/>
      <c r="AA168" s="19"/>
      <c r="AB168" s="20"/>
      <c r="AD168" s="19"/>
      <c r="AE168" s="20"/>
    </row>
    <row r="169" spans="16:31">
      <c r="P169" s="19">
        <v>68.080974764456244</v>
      </c>
      <c r="Q169" s="20">
        <v>70.929804199233274</v>
      </c>
      <c r="R169" s="25">
        <v>0.21733234130513096</v>
      </c>
      <c r="S169" s="20">
        <v>8.7450880224022975E-2</v>
      </c>
      <c r="U169" s="5">
        <v>-0.12743598294526143</v>
      </c>
      <c r="V169" s="6">
        <v>-0.19716652664001463</v>
      </c>
      <c r="X169" s="19"/>
      <c r="Y169" s="20"/>
      <c r="AA169" s="19"/>
      <c r="AB169" s="20"/>
      <c r="AD169" s="19"/>
      <c r="AE169" s="20"/>
    </row>
    <row r="170" spans="16:31">
      <c r="P170" s="19">
        <v>70.957686209376092</v>
      </c>
      <c r="Q170" s="20">
        <v>71.276642390566323</v>
      </c>
      <c r="R170" s="25">
        <v>0.2174560439743991</v>
      </c>
      <c r="S170" s="20">
        <v>7.5055801214480175E-2</v>
      </c>
      <c r="U170" s="5">
        <v>-0.12953902336220657</v>
      </c>
      <c r="V170" s="6">
        <v>-0.18574636685618184</v>
      </c>
      <c r="X170" s="19"/>
      <c r="Y170" s="20"/>
      <c r="AA170" s="19"/>
      <c r="AB170" s="20"/>
      <c r="AD170" s="19"/>
      <c r="AE170" s="20"/>
    </row>
    <row r="171" spans="16:31">
      <c r="P171" s="19">
        <v>73.948942231553204</v>
      </c>
      <c r="Q171" s="20">
        <v>71.558936097624382</v>
      </c>
      <c r="R171" s="25">
        <v>0.21777229931272815</v>
      </c>
      <c r="S171" s="20">
        <v>6.2655274695799526E-2</v>
      </c>
      <c r="U171" s="5">
        <v>-0.13125743246946336</v>
      </c>
      <c r="V171" s="6">
        <v>-0.17426080041461753</v>
      </c>
      <c r="X171" s="19"/>
      <c r="Y171" s="20"/>
      <c r="AA171" s="19"/>
      <c r="AB171" s="20"/>
      <c r="AD171" s="19"/>
      <c r="AE171" s="20"/>
    </row>
    <row r="172" spans="16:31">
      <c r="P172" s="19">
        <v>77.034855565056603</v>
      </c>
      <c r="Q172" s="20">
        <v>71.773600309608838</v>
      </c>
      <c r="R172" s="25">
        <v>0.21828072252805639</v>
      </c>
      <c r="S172" s="20">
        <v>5.0254227627275556E-2</v>
      </c>
      <c r="U172" s="5">
        <v>-0.1325903937024078</v>
      </c>
      <c r="V172" s="6">
        <v>-0.16272263052693187</v>
      </c>
      <c r="X172" s="19"/>
      <c r="Y172" s="20"/>
      <c r="AA172" s="19"/>
      <c r="AB172" s="20"/>
      <c r="AD172" s="19"/>
      <c r="AE172" s="20"/>
    </row>
    <row r="173" spans="16:31">
      <c r="P173" s="19">
        <v>80.191613756781919</v>
      </c>
      <c r="Q173" s="20">
        <v>71.918161467324069</v>
      </c>
      <c r="R173" s="25">
        <v>0.21898091759067262</v>
      </c>
      <c r="S173" s="20">
        <v>3.7857581128836706E-2</v>
      </c>
      <c r="U173" s="5">
        <v>-0.13353747452350179</v>
      </c>
      <c r="V173" s="6">
        <v>-0.15114464417904264</v>
      </c>
      <c r="X173" s="19"/>
      <c r="Y173" s="20"/>
      <c r="AA173" s="19"/>
      <c r="AB173" s="20"/>
      <c r="AD173" s="19"/>
      <c r="AE173" s="20"/>
    </row>
    <row r="174" spans="16:31">
      <c r="P174" s="19">
        <v>83.392250248519744</v>
      </c>
      <c r="Q174" s="20">
        <v>71.990888013641566</v>
      </c>
      <c r="R174" s="25">
        <v>0.219872477268613</v>
      </c>
      <c r="S174" s="20">
        <v>2.5470251874706019E-2</v>
      </c>
      <c r="U174" s="5">
        <v>-0.13409862243856041</v>
      </c>
      <c r="V174" s="6">
        <v>-0.13953960250341993</v>
      </c>
      <c r="X174" s="19"/>
      <c r="Y174" s="20"/>
      <c r="AA174" s="19"/>
      <c r="AB174" s="20"/>
      <c r="AD174" s="19"/>
      <c r="AE174" s="20"/>
    </row>
    <row r="175" spans="16:31">
      <c r="P175" s="19">
        <v>87.607749751480128</v>
      </c>
      <c r="Q175" s="20">
        <v>71.990888013641566</v>
      </c>
      <c r="R175" s="25">
        <v>0.22114990744243812</v>
      </c>
      <c r="S175" s="20">
        <v>9.2389625499171655E-3</v>
      </c>
      <c r="U175" s="5">
        <v>-0.13427416095244474</v>
      </c>
      <c r="V175" s="6">
        <v>-0.12792023141940723</v>
      </c>
      <c r="X175" s="19"/>
      <c r="Y175" s="20"/>
      <c r="AA175" s="19"/>
      <c r="AB175" s="20"/>
      <c r="AD175" s="19"/>
      <c r="AE175" s="20"/>
    </row>
    <row r="176" spans="16:31">
      <c r="P176" s="19">
        <v>-268.39225024851987</v>
      </c>
      <c r="Q176" s="20">
        <v>71.990888013641566</v>
      </c>
      <c r="R176" s="25">
        <v>0.22125567483140005</v>
      </c>
      <c r="S176" s="20">
        <v>-6.2101808105299444E-3</v>
      </c>
      <c r="U176" s="5">
        <v>-0.13406478547753461</v>
      </c>
      <c r="V176" s="6">
        <v>-0.11629921252757033</v>
      </c>
      <c r="X176" s="19"/>
      <c r="Y176" s="20"/>
      <c r="AA176" s="19"/>
      <c r="AB176" s="20"/>
      <c r="AD176" s="19"/>
      <c r="AE176" s="20"/>
    </row>
    <row r="177" spans="16:31">
      <c r="P177" s="19">
        <v>-264.39225024851976</v>
      </c>
      <c r="Q177" s="20">
        <v>71.990888013641566</v>
      </c>
      <c r="R177" s="25">
        <v>0.22028350681312608</v>
      </c>
      <c r="S177" s="20">
        <v>-2.1629068794313394E-2</v>
      </c>
      <c r="U177" s="5">
        <v>-0.13347155920697654</v>
      </c>
      <c r="V177" s="6">
        <v>-0.10468917424373275</v>
      </c>
      <c r="X177" s="19"/>
      <c r="Y177" s="20"/>
      <c r="AA177" s="19"/>
      <c r="AB177" s="20"/>
      <c r="AD177" s="19"/>
      <c r="AE177" s="20"/>
    </row>
    <row r="178" spans="16:31">
      <c r="P178" s="19">
        <v>-260.39225024851976</v>
      </c>
      <c r="Q178" s="20">
        <v>71.990888013641566</v>
      </c>
      <c r="R178" s="25">
        <v>0.21823813969247927</v>
      </c>
      <c r="S178" s="20">
        <v>-3.6942582129077292E-2</v>
      </c>
      <c r="U178" s="5">
        <v>-0.13249590896337524</v>
      </c>
      <c r="V178" s="6">
        <v>-9.3102683158115387E-2</v>
      </c>
      <c r="X178" s="19"/>
      <c r="Y178" s="20"/>
      <c r="AA178" s="19"/>
      <c r="AB178" s="20"/>
      <c r="AD178" s="19"/>
      <c r="AE178" s="20"/>
    </row>
    <row r="179" spans="16:31">
      <c r="P179" s="19">
        <v>-256.39225024851976</v>
      </c>
      <c r="Q179" s="20">
        <v>71.990888013641566</v>
      </c>
      <c r="R179" s="25">
        <v>0.21512953829247172</v>
      </c>
      <c r="S179" s="20">
        <v>-5.2076114917163741E-2</v>
      </c>
      <c r="U179" s="5">
        <v>-0.13113962103230714</v>
      </c>
      <c r="V179" s="6">
        <v>-8.1552235604835238E-2</v>
      </c>
      <c r="X179" s="19"/>
      <c r="Y179" s="20"/>
      <c r="AA179" s="19"/>
      <c r="AB179" s="20"/>
      <c r="AD179" s="19"/>
      <c r="AE179" s="20"/>
    </row>
    <row r="180" spans="16:31">
      <c r="P180" s="19">
        <v>-252.39225024851976</v>
      </c>
      <c r="Q180" s="20">
        <v>71.990888013641566</v>
      </c>
      <c r="R180" s="25">
        <v>0.2109728474066489</v>
      </c>
      <c r="S180" s="20">
        <v>-6.6955938108046495E-2</v>
      </c>
      <c r="U180" s="5">
        <v>-0.12940483698877867</v>
      </c>
      <c r="V180" s="6">
        <v>-7.0050249426929709E-2</v>
      </c>
      <c r="X180" s="19"/>
      <c r="Y180" s="20"/>
      <c r="AA180" s="19"/>
      <c r="AB180" s="20"/>
      <c r="AD180" s="19"/>
      <c r="AE180" s="20"/>
    </row>
    <row r="181" spans="16:31">
      <c r="P181" s="19">
        <v>-248.39225024851976</v>
      </c>
      <c r="Q181" s="20">
        <v>71.990888013641566</v>
      </c>
      <c r="R181" s="25">
        <v>0.20578831801517727</v>
      </c>
      <c r="S181" s="20">
        <v>-8.1509558698854248E-2</v>
      </c>
      <c r="U181" s="5">
        <v>-0.12729404952352955</v>
      </c>
      <c r="V181" s="6">
        <v>-5.8609055922018642E-2</v>
      </c>
      <c r="X181" s="19"/>
      <c r="Y181" s="20"/>
      <c r="AA181" s="19"/>
      <c r="AB181" s="20"/>
      <c r="AD181" s="19"/>
      <c r="AE181" s="20"/>
    </row>
    <row r="182" spans="16:31">
      <c r="P182" s="19">
        <v>-244.39225024851976</v>
      </c>
      <c r="Q182" s="20">
        <v>71.990888013641566</v>
      </c>
      <c r="R182" s="25">
        <v>0.19960120862410513</v>
      </c>
      <c r="S182" s="20">
        <v>-9.566607291299338E-2</v>
      </c>
      <c r="U182" s="5">
        <v>-0.12481009827490062</v>
      </c>
      <c r="V182" s="6">
        <v>-4.7240891953749378E-2</v>
      </c>
      <c r="X182" s="19"/>
      <c r="Y182" s="20"/>
      <c r="AA182" s="19"/>
      <c r="AB182" s="20"/>
      <c r="AD182" s="19"/>
      <c r="AE182" s="20"/>
    </row>
    <row r="183" spans="16:31">
      <c r="P183" s="19">
        <v>-240.39225024851976</v>
      </c>
      <c r="Q183" s="20">
        <v>71.990888013641566</v>
      </c>
      <c r="R183" s="25">
        <v>0.19244166220845971</v>
      </c>
      <c r="S183" s="20">
        <v>-0.10935651163622043</v>
      </c>
      <c r="U183" s="5">
        <v>-0.1219561656708308</v>
      </c>
      <c r="V183" s="6">
        <v>-3.5957892214218128E-2</v>
      </c>
      <c r="X183" s="19"/>
      <c r="Y183" s="20"/>
      <c r="AA183" s="19"/>
      <c r="AB183" s="20"/>
      <c r="AD183" s="19"/>
      <c r="AE183" s="20"/>
    </row>
    <row r="184" spans="16:31">
      <c r="P184" s="19">
        <v>-236.39225024851976</v>
      </c>
      <c r="Q184" s="20">
        <v>71.990888013641566</v>
      </c>
      <c r="R184" s="25">
        <v>0.18434455935870289</v>
      </c>
      <c r="S184" s="20">
        <v>-0.12251417642723383</v>
      </c>
      <c r="U184" s="5">
        <v>-0.11873577278443721</v>
      </c>
      <c r="V184" s="6">
        <v>-2.4772081622690959E-2</v>
      </c>
      <c r="X184" s="19"/>
      <c r="Y184" s="20"/>
      <c r="AA184" s="19"/>
      <c r="AB184" s="20"/>
      <c r="AD184" s="19"/>
      <c r="AE184" s="20"/>
    </row>
    <row r="185" spans="16:31">
      <c r="P185" s="19">
        <v>-232.39225024851976</v>
      </c>
      <c r="Q185" s="20">
        <v>71.990888013641566</v>
      </c>
      <c r="R185" s="25">
        <v>0.17534934834600077</v>
      </c>
      <c r="S185" s="20">
        <v>-0.1350749644657758</v>
      </c>
      <c r="U185" s="5">
        <v>-0.11515277520554493</v>
      </c>
      <c r="V185" s="6">
        <v>-1.3695367846085924E-2</v>
      </c>
      <c r="X185" s="19"/>
      <c r="Y185" s="20"/>
      <c r="AA185" s="19"/>
      <c r="AB185" s="20"/>
      <c r="AD185" s="19"/>
      <c r="AE185" s="20"/>
    </row>
    <row r="186" spans="16:31">
      <c r="P186" s="19">
        <v>-228.39225024851976</v>
      </c>
      <c r="Q186" s="20">
        <v>71.990888013641566</v>
      </c>
      <c r="R186" s="25">
        <v>0.16549985293421177</v>
      </c>
      <c r="S186" s="20">
        <v>-0.14697768085512844</v>
      </c>
      <c r="U186" s="5">
        <v>-0.11121135892948657</v>
      </c>
      <c r="V186" s="6">
        <v>-2.7395339268878926E-3</v>
      </c>
      <c r="X186" s="19"/>
      <c r="Y186" s="20"/>
      <c r="AA186" s="19"/>
      <c r="AB186" s="20"/>
      <c r="AD186" s="19"/>
      <c r="AE186" s="20"/>
    </row>
    <row r="187" spans="16:31">
      <c r="P187" s="19">
        <v>-224.39225024851976</v>
      </c>
      <c r="Q187" s="20">
        <v>71.990888013641566</v>
      </c>
      <c r="R187" s="25">
        <v>0.15484405887491434</v>
      </c>
      <c r="S187" s="20">
        <v>-0.15816433675749969</v>
      </c>
      <c r="U187" s="5">
        <v>-0.10691603626346889</v>
      </c>
      <c r="V187" s="6">
        <v>8.083768995609265E-3</v>
      </c>
      <c r="X187" s="19"/>
      <c r="Y187" s="20"/>
      <c r="AA187" s="19"/>
      <c r="AB187" s="20"/>
      <c r="AD187" s="19"/>
      <c r="AE187" s="20"/>
    </row>
    <row r="188" spans="16:31">
      <c r="P188" s="19">
        <v>-220.39225024851976</v>
      </c>
      <c r="Q188" s="20">
        <v>71.990888013641566</v>
      </c>
      <c r="R188" s="25">
        <v>0.14343388012564878</v>
      </c>
      <c r="S188" s="20">
        <v>-0.16858043190981192</v>
      </c>
      <c r="U188" s="5">
        <v>-0.10227164174981106</v>
      </c>
      <c r="V188" s="6">
        <v>1.8763028884571278E-2</v>
      </c>
      <c r="X188" s="19"/>
      <c r="Y188" s="20"/>
      <c r="AA188" s="19"/>
      <c r="AB188" s="20"/>
      <c r="AD188" s="19"/>
      <c r="AE188" s="20"/>
    </row>
    <row r="189" spans="16:31">
      <c r="P189" s="19">
        <v>-216.39225024851976</v>
      </c>
      <c r="Q189" s="20">
        <v>71.990888013641566</v>
      </c>
      <c r="R189" s="25">
        <v>0.13132490593033416</v>
      </c>
      <c r="S189" s="20">
        <v>-0.17817522014350531</v>
      </c>
      <c r="U189" s="5">
        <v>-9.7283328104400366E-2</v>
      </c>
      <c r="V189" s="6">
        <v>2.9286879938931257E-2</v>
      </c>
      <c r="X189" s="19"/>
      <c r="Y189" s="20"/>
      <c r="AA189" s="19"/>
      <c r="AB189" s="20"/>
      <c r="AD189" s="19"/>
      <c r="AE189" s="20"/>
    </row>
    <row r="190" spans="16:31">
      <c r="P190" s="19">
        <v>-212.39225024851976</v>
      </c>
      <c r="Q190" s="20">
        <v>71.990888013641566</v>
      </c>
      <c r="R190" s="25">
        <v>0.11857612999406039</v>
      </c>
      <c r="S190" s="20">
        <v>-0.1869019566147701</v>
      </c>
      <c r="U190" s="5">
        <v>-9.1956562167764863E-2</v>
      </c>
      <c r="V190" s="6">
        <v>3.964410967394779E-2</v>
      </c>
      <c r="X190" s="19"/>
      <c r="Y190" s="20"/>
      <c r="AA190" s="19"/>
      <c r="AB190" s="20"/>
      <c r="AD190" s="19"/>
      <c r="AE190" s="20"/>
    </row>
    <row r="191" spans="16:31">
      <c r="P191" s="19">
        <v>-208.39225024851976</v>
      </c>
      <c r="Q191" s="20">
        <v>71.990888013641566</v>
      </c>
      <c r="R191" s="25">
        <v>0.10524966307168644</v>
      </c>
      <c r="S191" s="20">
        <v>-0.19471812554072668</v>
      </c>
      <c r="U191" s="5">
        <v>-8.629712086525658E-2</v>
      </c>
      <c r="V191" s="6">
        <v>4.9823665961845412E-2</v>
      </c>
      <c r="X191" s="19"/>
      <c r="Y191" s="20"/>
      <c r="AA191" s="19"/>
      <c r="AB191" s="20"/>
      <c r="AD191" s="19"/>
      <c r="AE191" s="20"/>
    </row>
    <row r="192" spans="16:31">
      <c r="P192" s="19">
        <v>-204.39225024851976</v>
      </c>
      <c r="Q192" s="20">
        <v>71.990888013641566</v>
      </c>
      <c r="R192" s="25">
        <v>9.1410430370486365E-2</v>
      </c>
      <c r="S192" s="20">
        <v>-0.20158564733204637</v>
      </c>
      <c r="U192" s="5"/>
      <c r="V192" s="6"/>
      <c r="X192" s="19"/>
      <c r="Y192" s="20"/>
      <c r="AA192" s="19"/>
      <c r="AB192" s="20"/>
      <c r="AD192" s="19"/>
      <c r="AE192" s="20"/>
    </row>
    <row r="193" spans="16:31">
      <c r="P193" s="19">
        <v>-203.39225024851976</v>
      </c>
      <c r="Q193" s="20">
        <v>71.990888013641566</v>
      </c>
      <c r="R193" s="25">
        <v>8.7878353470022846E-2</v>
      </c>
      <c r="S193" s="20">
        <v>-0.2031502768449884</v>
      </c>
      <c r="U193" s="5"/>
      <c r="V193" s="6"/>
      <c r="X193" s="19"/>
      <c r="Y193" s="20"/>
      <c r="AA193" s="19"/>
      <c r="AB193" s="20"/>
      <c r="AD193" s="19"/>
      <c r="AE193" s="20"/>
    </row>
    <row r="194" spans="16:31">
      <c r="P194" s="19">
        <v>-200.19161375678189</v>
      </c>
      <c r="Q194" s="20">
        <v>71.918161467324069</v>
      </c>
      <c r="R194" s="25">
        <v>7.6704831811933341E-2</v>
      </c>
      <c r="S194" s="20">
        <v>-0.20857182814196751</v>
      </c>
      <c r="U194" s="5"/>
      <c r="V194" s="6"/>
      <c r="X194" s="19"/>
      <c r="Y194" s="20"/>
      <c r="AA194" s="19"/>
      <c r="AB194" s="20"/>
      <c r="AD194" s="19"/>
      <c r="AE194" s="20"/>
    </row>
    <row r="195" spans="16:31">
      <c r="P195" s="19">
        <v>-197.03485556505657</v>
      </c>
      <c r="Q195" s="20">
        <v>71.773600309608838</v>
      </c>
      <c r="R195" s="25">
        <v>6.5618923491241765E-2</v>
      </c>
      <c r="S195" s="20">
        <v>-0.21416376467935683</v>
      </c>
      <c r="U195" s="5"/>
      <c r="V195" s="6"/>
      <c r="X195" s="19"/>
      <c r="Y195" s="20"/>
      <c r="AA195" s="19"/>
      <c r="AB195" s="20"/>
      <c r="AD195" s="19"/>
      <c r="AE195" s="20"/>
    </row>
    <row r="196" spans="16:31">
      <c r="P196" s="19">
        <v>-193.94894223155322</v>
      </c>
      <c r="Q196" s="20">
        <v>71.558936097624382</v>
      </c>
      <c r="R196" s="25">
        <v>5.4625090088709354E-2</v>
      </c>
      <c r="S196" s="20">
        <v>-0.2199239807932708</v>
      </c>
      <c r="U196" s="5"/>
      <c r="V196" s="6"/>
      <c r="X196" s="19"/>
      <c r="Y196" s="20"/>
      <c r="AA196" s="19"/>
      <c r="AB196" s="20"/>
      <c r="AD196" s="19"/>
      <c r="AE196" s="20"/>
    </row>
    <row r="197" spans="16:31">
      <c r="P197" s="19">
        <v>-190.95768620937608</v>
      </c>
      <c r="Q197" s="20">
        <v>71.276642390566323</v>
      </c>
      <c r="R197" s="25">
        <v>4.3727791434064772E-2</v>
      </c>
      <c r="S197" s="20">
        <v>-0.22585035889553573</v>
      </c>
      <c r="U197" s="7"/>
      <c r="V197" s="8"/>
      <c r="X197" s="19"/>
      <c r="Y197" s="20"/>
      <c r="AA197" s="19"/>
      <c r="AB197" s="20"/>
      <c r="AD197" s="19"/>
      <c r="AE197" s="20"/>
    </row>
    <row r="198" spans="16:31">
      <c r="P198" s="19">
        <v>-188.08097476445624</v>
      </c>
      <c r="Q198" s="20">
        <v>70.929804199233274</v>
      </c>
      <c r="R198" s="25">
        <v>3.2931486795251388E-2</v>
      </c>
      <c r="S198" s="20">
        <v>-0.23194076874620495</v>
      </c>
      <c r="X198" s="19"/>
      <c r="Y198" s="20"/>
      <c r="AA198" s="19"/>
      <c r="AB198" s="20"/>
      <c r="AD198" s="19"/>
      <c r="AE198" s="20"/>
    </row>
    <row r="199" spans="16:31">
      <c r="P199" s="19">
        <v>-185.33437259277383</v>
      </c>
      <c r="Q199" s="20">
        <v>70.521969562603289</v>
      </c>
      <c r="R199" s="25">
        <v>2.2240636048987926E-2</v>
      </c>
      <c r="S199" s="20">
        <v>-0.23819306667593185</v>
      </c>
      <c r="X199" s="19"/>
      <c r="Y199" s="20"/>
      <c r="AA199" s="19"/>
      <c r="AB199" s="20"/>
      <c r="AD199" s="19"/>
      <c r="AE199" s="20"/>
    </row>
    <row r="200" spans="16:31">
      <c r="P200" s="19">
        <v>-182.72907789740646</v>
      </c>
      <c r="Q200" s="20">
        <v>70.056998110174248</v>
      </c>
      <c r="R200" s="25">
        <v>1.1659700833295596E-2</v>
      </c>
      <c r="S200" s="20">
        <v>-0.24460509475685299</v>
      </c>
      <c r="X200" s="19"/>
      <c r="Y200" s="20"/>
      <c r="AA200" s="19"/>
      <c r="AB200" s="20"/>
      <c r="AD200" s="19"/>
      <c r="AE200" s="20"/>
    </row>
    <row r="201" spans="16:31">
      <c r="P201" s="19">
        <v>-180.2721679501403</v>
      </c>
      <c r="Q201" s="20">
        <v>69.538918987188012</v>
      </c>
      <c r="R201" s="25">
        <v>1.1931456825047247E-3</v>
      </c>
      <c r="S201" s="20">
        <v>-0.25117467992043402</v>
      </c>
      <c r="X201" s="19"/>
      <c r="Y201" s="20"/>
      <c r="AA201" s="19"/>
      <c r="AB201" s="20"/>
      <c r="AD201" s="19"/>
      <c r="AE201" s="20"/>
    </row>
    <row r="202" spans="16:31">
      <c r="P202" s="19">
        <v>-177.96704802731722</v>
      </c>
      <c r="Q202" s="20">
        <v>68.971806775752896</v>
      </c>
      <c r="R202" s="25">
        <v>-9.1545608548965329E-3</v>
      </c>
      <c r="S202" s="20">
        <v>-0.25789963302052876</v>
      </c>
      <c r="X202" s="19"/>
      <c r="Y202" s="20"/>
      <c r="AA202" s="19"/>
      <c r="AB202" s="20"/>
      <c r="AD202" s="19"/>
      <c r="AE202" s="20"/>
    </row>
    <row r="203" spans="16:31">
      <c r="P203" s="19">
        <v>-175.81401552039881</v>
      </c>
      <c r="Q203" s="20">
        <v>68.35968007172076</v>
      </c>
      <c r="R203" s="25">
        <v>-1.9378945115370035E-2</v>
      </c>
      <c r="S203" s="20">
        <v>-0.2647777478397077</v>
      </c>
      <c r="X203" s="19"/>
      <c r="Y203" s="20"/>
      <c r="AA203" s="19"/>
      <c r="AB203" s="20"/>
      <c r="AD203" s="19"/>
      <c r="AE203" s="20"/>
    </row>
    <row r="204" spans="16:31">
      <c r="P204" s="19">
        <v>-173.8108630202729</v>
      </c>
      <c r="Q204" s="20">
        <v>67.706423935285969</v>
      </c>
      <c r="R204" s="25">
        <v>-2.9475527236364062E-2</v>
      </c>
      <c r="S204" s="20">
        <v>-0.27180680003671032</v>
      </c>
      <c r="X204" s="19"/>
      <c r="Y204" s="20"/>
      <c r="AA204" s="19"/>
      <c r="AB204" s="20"/>
      <c r="AD204" s="19"/>
      <c r="AE204" s="20"/>
    </row>
    <row r="205" spans="16:31">
      <c r="P205" s="19">
        <v>-171.95346318498255</v>
      </c>
      <c r="Q205" s="20">
        <v>67.015734910780751</v>
      </c>
      <c r="R205" s="25">
        <v>-3.9439820089436334E-2</v>
      </c>
      <c r="S205" s="20">
        <v>-0.27898454603268308</v>
      </c>
      <c r="X205" s="19"/>
      <c r="Y205" s="20"/>
      <c r="AA205" s="19"/>
      <c r="AB205" s="20"/>
      <c r="AD205" s="19"/>
      <c r="AE205" s="20"/>
    </row>
    <row r="206" spans="16:31">
      <c r="P206" s="19">
        <v>-170.2362983468507</v>
      </c>
      <c r="Q206" s="20">
        <v>66.291085772735514</v>
      </c>
      <c r="R206" s="25">
        <v>-4.9267328230822624E-2</v>
      </c>
      <c r="S206" s="20">
        <v>-0.28630872183366485</v>
      </c>
      <c r="X206" s="19"/>
      <c r="Y206" s="20"/>
      <c r="AA206" s="19"/>
      <c r="AB206" s="20"/>
      <c r="AD206" s="19"/>
      <c r="AE206" s="20"/>
    </row>
    <row r="207" spans="16:31">
      <c r="P207" s="19">
        <v>-168.65291537591546</v>
      </c>
      <c r="Q207" s="20">
        <v>65.535706459518863</v>
      </c>
      <c r="R207" s="25">
        <v>-5.8953546870023577E-2</v>
      </c>
      <c r="S207" s="20">
        <v>-0.29377704178659025</v>
      </c>
      <c r="X207" s="19"/>
      <c r="Y207" s="20"/>
      <c r="AA207" s="19"/>
      <c r="AB207" s="20"/>
      <c r="AD207" s="19"/>
      <c r="AE207" s="20"/>
    </row>
    <row r="208" spans="16:31">
      <c r="P208" s="19">
        <v>-167.19629964189912</v>
      </c>
      <c r="Q208" s="20">
        <v>64.752577573732879</v>
      </c>
      <c r="R208" s="25">
        <v>-6.8493960857214486E-2</v>
      </c>
      <c r="S208" s="20">
        <v>-0.30138719726588031</v>
      </c>
      <c r="X208" s="19"/>
      <c r="Y208" s="20"/>
      <c r="AA208" s="19"/>
      <c r="AB208" s="20"/>
      <c r="AD208" s="19"/>
      <c r="AE208" s="20"/>
    </row>
    <row r="209" spans="16:31">
      <c r="P209" s="19">
        <v>-165.85917083811071</v>
      </c>
      <c r="Q209" s="20">
        <v>63.944433128206903</v>
      </c>
      <c r="R209" s="25">
        <v>-7.78840436905303E-2</v>
      </c>
      <c r="S209" s="20">
        <v>-0.30913685528750129</v>
      </c>
      <c r="X209" s="19"/>
      <c r="Y209" s="20"/>
      <c r="AA209" s="19"/>
      <c r="AB209" s="20"/>
      <c r="AD209" s="19"/>
      <c r="AE209" s="20"/>
    </row>
    <row r="210" spans="16:31">
      <c r="P210" s="19">
        <v>-167.1111143691212</v>
      </c>
      <c r="Q210" s="20">
        <v>63.161932021762446</v>
      </c>
      <c r="R210" s="25">
        <v>-7.3208189056118714E-2</v>
      </c>
      <c r="S210" s="20">
        <v>-0.31992891060953704</v>
      </c>
      <c r="X210" s="19"/>
      <c r="Y210" s="20"/>
      <c r="AA210" s="19"/>
      <c r="AB210" s="20"/>
      <c r="AD210" s="19"/>
      <c r="AE210" s="20"/>
    </row>
    <row r="211" spans="16:31">
      <c r="P211" s="19">
        <v>-168.28848484522686</v>
      </c>
      <c r="Q211" s="20">
        <v>62.366411257061166</v>
      </c>
      <c r="R211" s="25">
        <v>-6.8555807079666853E-2</v>
      </c>
      <c r="S211" s="20">
        <v>-0.33070874543918843</v>
      </c>
      <c r="X211" s="19"/>
      <c r="Y211" s="20"/>
      <c r="AA211" s="19"/>
      <c r="AB211" s="20"/>
      <c r="AD211" s="19"/>
      <c r="AE211" s="20"/>
    </row>
    <row r="212" spans="16:31">
      <c r="P212" s="19"/>
      <c r="Q212" s="20"/>
      <c r="R212" s="25"/>
      <c r="S212" s="20"/>
      <c r="X212" s="19"/>
      <c r="Y212" s="20"/>
      <c r="AA212" s="19"/>
      <c r="AB212" s="20"/>
      <c r="AD212" s="19"/>
      <c r="AE212" s="20"/>
    </row>
    <row r="213" spans="16:31">
      <c r="P213" s="19"/>
      <c r="Q213" s="20"/>
      <c r="R213" s="25"/>
      <c r="S213" s="20"/>
      <c r="X213" s="19"/>
      <c r="Y213" s="20"/>
      <c r="AA213" s="19"/>
      <c r="AB213" s="20"/>
      <c r="AD213" s="19"/>
      <c r="AE213" s="20"/>
    </row>
    <row r="214" spans="16:31">
      <c r="P214" s="19"/>
      <c r="Q214" s="20"/>
      <c r="R214" s="25"/>
      <c r="S214" s="20"/>
      <c r="X214" s="19"/>
      <c r="Y214" s="20"/>
      <c r="AA214" s="19"/>
      <c r="AB214" s="20"/>
      <c r="AD214" s="19"/>
      <c r="AE214" s="20"/>
    </row>
    <row r="215" spans="16:31">
      <c r="P215" s="19"/>
      <c r="Q215" s="20"/>
      <c r="R215" s="25"/>
      <c r="S215" s="20"/>
      <c r="X215" s="19"/>
      <c r="Y215" s="20"/>
      <c r="AA215" s="19"/>
      <c r="AB215" s="20"/>
      <c r="AD215" s="19"/>
      <c r="AE215" s="20"/>
    </row>
    <row r="216" spans="16:31">
      <c r="P216" s="19"/>
      <c r="Q216" s="20"/>
      <c r="R216" s="25"/>
      <c r="S216" s="20"/>
      <c r="X216" s="19"/>
      <c r="Y216" s="20"/>
      <c r="AA216" s="19"/>
      <c r="AB216" s="20"/>
      <c r="AD216" s="19"/>
      <c r="AE216" s="20"/>
    </row>
    <row r="217" spans="16:31">
      <c r="P217" s="19"/>
      <c r="Q217" s="20"/>
      <c r="R217" s="25"/>
      <c r="S217" s="20"/>
      <c r="X217" s="19"/>
      <c r="Y217" s="20"/>
      <c r="AA217" s="19"/>
      <c r="AB217" s="20"/>
      <c r="AD217" s="19"/>
      <c r="AE217" s="20"/>
    </row>
    <row r="218" spans="16:31">
      <c r="P218" s="19"/>
      <c r="Q218" s="20"/>
      <c r="R218" s="25"/>
      <c r="S218" s="20"/>
      <c r="X218" s="19"/>
      <c r="Y218" s="20"/>
      <c r="AA218" s="19"/>
      <c r="AB218" s="20"/>
      <c r="AD218" s="19"/>
      <c r="AE218" s="20"/>
    </row>
    <row r="219" spans="16:31">
      <c r="P219" s="19"/>
      <c r="Q219" s="20"/>
      <c r="R219" s="25"/>
      <c r="S219" s="20"/>
      <c r="X219" s="19"/>
      <c r="Y219" s="20"/>
      <c r="AA219" s="19"/>
      <c r="AB219" s="20"/>
      <c r="AD219" s="19"/>
      <c r="AE219" s="20"/>
    </row>
    <row r="220" spans="16:31">
      <c r="P220" s="19"/>
      <c r="Q220" s="20"/>
      <c r="R220" s="25"/>
      <c r="S220" s="20"/>
      <c r="X220" s="19"/>
      <c r="Y220" s="20"/>
      <c r="AA220" s="19"/>
      <c r="AB220" s="20"/>
      <c r="AD220" s="19"/>
      <c r="AE220" s="20"/>
    </row>
    <row r="221" spans="16:31">
      <c r="P221" s="19"/>
      <c r="Q221" s="20"/>
      <c r="R221" s="25"/>
      <c r="S221" s="20"/>
      <c r="X221" s="19"/>
      <c r="Y221" s="20"/>
      <c r="AA221" s="19"/>
      <c r="AB221" s="20"/>
      <c r="AD221" s="19"/>
      <c r="AE221" s="20"/>
    </row>
    <row r="222" spans="16:31">
      <c r="P222" s="19"/>
      <c r="Q222" s="20"/>
      <c r="R222" s="25"/>
      <c r="S222" s="20"/>
      <c r="X222" s="19"/>
      <c r="Y222" s="20"/>
      <c r="AA222" s="19"/>
      <c r="AB222" s="20"/>
      <c r="AD222" s="19"/>
      <c r="AE222" s="20"/>
    </row>
    <row r="223" spans="16:31">
      <c r="P223" s="19"/>
      <c r="Q223" s="20"/>
      <c r="R223" s="25"/>
      <c r="S223" s="20"/>
      <c r="X223" s="19"/>
      <c r="Y223" s="20"/>
      <c r="AA223" s="19"/>
      <c r="AB223" s="20"/>
      <c r="AD223" s="19"/>
      <c r="AE223" s="20"/>
    </row>
    <row r="224" spans="16:31">
      <c r="P224" s="19"/>
      <c r="Q224" s="20"/>
      <c r="R224" s="25"/>
      <c r="S224" s="20"/>
      <c r="X224" s="19"/>
      <c r="Y224" s="20"/>
      <c r="AA224" s="19"/>
      <c r="AB224" s="20"/>
      <c r="AD224" s="19"/>
      <c r="AE224" s="20"/>
    </row>
    <row r="225" spans="16:31">
      <c r="P225" s="19"/>
      <c r="Q225" s="20"/>
      <c r="R225" s="25"/>
      <c r="S225" s="20"/>
      <c r="X225" s="19"/>
      <c r="Y225" s="20"/>
      <c r="AA225" s="19"/>
      <c r="AB225" s="20"/>
      <c r="AD225" s="19"/>
      <c r="AE225" s="20"/>
    </row>
    <row r="226" spans="16:31">
      <c r="P226" s="19"/>
      <c r="Q226" s="20"/>
      <c r="R226" s="25"/>
      <c r="S226" s="20"/>
      <c r="X226" s="19"/>
      <c r="Y226" s="20"/>
      <c r="AA226" s="19"/>
      <c r="AB226" s="20"/>
      <c r="AD226" s="19"/>
      <c r="AE226" s="20"/>
    </row>
    <row r="227" spans="16:31">
      <c r="P227" s="19"/>
      <c r="Q227" s="20"/>
      <c r="R227" s="25"/>
      <c r="S227" s="20"/>
      <c r="X227" s="19"/>
      <c r="Y227" s="20"/>
      <c r="AA227" s="19"/>
      <c r="AB227" s="20"/>
      <c r="AD227" s="19"/>
      <c r="AE227" s="20"/>
    </row>
    <row r="228" spans="16:31">
      <c r="P228" s="19"/>
      <c r="Q228" s="20"/>
      <c r="R228" s="25"/>
      <c r="S228" s="20"/>
      <c r="X228" s="19"/>
      <c r="Y228" s="20"/>
      <c r="AA228" s="19"/>
      <c r="AB228" s="20"/>
      <c r="AD228" s="19"/>
      <c r="AE228" s="20"/>
    </row>
    <row r="229" spans="16:31">
      <c r="P229" s="19"/>
      <c r="Q229" s="20"/>
      <c r="R229" s="25"/>
      <c r="S229" s="20"/>
      <c r="X229" s="19"/>
      <c r="Y229" s="20"/>
      <c r="AA229" s="19"/>
      <c r="AB229" s="20"/>
      <c r="AD229" s="19"/>
      <c r="AE229" s="20"/>
    </row>
    <row r="230" spans="16:31">
      <c r="P230" s="19"/>
      <c r="Q230" s="20"/>
      <c r="R230" s="25"/>
      <c r="S230" s="20"/>
      <c r="X230" s="19"/>
      <c r="Y230" s="20"/>
      <c r="AA230" s="19"/>
      <c r="AB230" s="20"/>
      <c r="AD230" s="19"/>
      <c r="AE230" s="20"/>
    </row>
    <row r="231" spans="16:31">
      <c r="P231" s="19"/>
      <c r="Q231" s="20"/>
      <c r="R231" s="25"/>
      <c r="S231" s="20"/>
      <c r="X231" s="19"/>
      <c r="Y231" s="20"/>
      <c r="AA231" s="19"/>
      <c r="AB231" s="20"/>
      <c r="AD231" s="19"/>
      <c r="AE231" s="20"/>
    </row>
    <row r="232" spans="16:31">
      <c r="P232" s="19"/>
      <c r="Q232" s="20"/>
      <c r="R232" s="25"/>
      <c r="S232" s="20"/>
      <c r="X232" s="19"/>
      <c r="Y232" s="20"/>
      <c r="AA232" s="19"/>
      <c r="AB232" s="20"/>
      <c r="AD232" s="19"/>
      <c r="AE232" s="20"/>
    </row>
    <row r="233" spans="16:31">
      <c r="P233" s="19"/>
      <c r="Q233" s="20"/>
      <c r="R233" s="25"/>
      <c r="S233" s="20"/>
      <c r="X233" s="19"/>
      <c r="Y233" s="20"/>
      <c r="AA233" s="19"/>
      <c r="AB233" s="20"/>
      <c r="AD233" s="19"/>
      <c r="AE233" s="20"/>
    </row>
    <row r="234" spans="16:31">
      <c r="P234" s="19"/>
      <c r="Q234" s="20"/>
      <c r="R234" s="25"/>
      <c r="S234" s="20"/>
      <c r="X234" s="19"/>
      <c r="Y234" s="20"/>
      <c r="AA234" s="19"/>
      <c r="AB234" s="20"/>
      <c r="AD234" s="19"/>
      <c r="AE234" s="20"/>
    </row>
    <row r="235" spans="16:31">
      <c r="P235" s="19"/>
      <c r="Q235" s="20"/>
      <c r="R235" s="25"/>
      <c r="S235" s="20"/>
      <c r="X235" s="19"/>
      <c r="Y235" s="20"/>
      <c r="AA235" s="19"/>
      <c r="AB235" s="20"/>
      <c r="AD235" s="19"/>
      <c r="AE235" s="20"/>
    </row>
    <row r="236" spans="16:31">
      <c r="P236" s="19"/>
      <c r="Q236" s="20"/>
      <c r="R236" s="25"/>
      <c r="S236" s="20"/>
      <c r="X236" s="19"/>
      <c r="Y236" s="20"/>
      <c r="AA236" s="19"/>
      <c r="AB236" s="20"/>
      <c r="AD236" s="19"/>
      <c r="AE236" s="20"/>
    </row>
    <row r="237" spans="16:31">
      <c r="P237" s="19"/>
      <c r="Q237" s="20"/>
      <c r="R237" s="25"/>
      <c r="S237" s="20"/>
      <c r="X237" s="19"/>
      <c r="Y237" s="20"/>
      <c r="AA237" s="19"/>
      <c r="AB237" s="20"/>
      <c r="AD237" s="19"/>
      <c r="AE237" s="20"/>
    </row>
    <row r="238" spans="16:31">
      <c r="P238" s="19"/>
      <c r="Q238" s="20"/>
      <c r="R238" s="25"/>
      <c r="S238" s="20"/>
      <c r="X238" s="19"/>
      <c r="Y238" s="20"/>
      <c r="AA238" s="19"/>
      <c r="AB238" s="20"/>
      <c r="AD238" s="19"/>
      <c r="AE238" s="20"/>
    </row>
    <row r="239" spans="16:31">
      <c r="P239" s="19"/>
      <c r="Q239" s="20"/>
      <c r="R239" s="25"/>
      <c r="S239" s="20"/>
      <c r="X239" s="19"/>
      <c r="Y239" s="20"/>
      <c r="AA239" s="19"/>
      <c r="AB239" s="20"/>
      <c r="AD239" s="19"/>
      <c r="AE239" s="20"/>
    </row>
    <row r="240" spans="16:31">
      <c r="P240" s="19"/>
      <c r="Q240" s="20"/>
      <c r="R240" s="25"/>
      <c r="S240" s="20"/>
      <c r="X240" s="19"/>
      <c r="Y240" s="20"/>
      <c r="AA240" s="19"/>
      <c r="AB240" s="20"/>
      <c r="AD240" s="19"/>
      <c r="AE240" s="20"/>
    </row>
    <row r="241" spans="16:31">
      <c r="P241" s="19"/>
      <c r="Q241" s="20"/>
      <c r="R241" s="25"/>
      <c r="S241" s="20"/>
      <c r="X241" s="19"/>
      <c r="Y241" s="20"/>
      <c r="AA241" s="19"/>
      <c r="AB241" s="20"/>
      <c r="AD241" s="19"/>
      <c r="AE241" s="20"/>
    </row>
    <row r="242" spans="16:31">
      <c r="P242" s="19"/>
      <c r="Q242" s="20"/>
      <c r="R242" s="25"/>
      <c r="S242" s="20"/>
      <c r="X242" s="19"/>
      <c r="Y242" s="20"/>
      <c r="AA242" s="19"/>
      <c r="AB242" s="20"/>
      <c r="AD242" s="19"/>
      <c r="AE242" s="20"/>
    </row>
    <row r="243" spans="16:31">
      <c r="P243" s="19"/>
      <c r="Q243" s="20"/>
      <c r="R243" s="25"/>
      <c r="S243" s="20"/>
      <c r="X243" s="19"/>
      <c r="Y243" s="20"/>
      <c r="AA243" s="19"/>
      <c r="AB243" s="20"/>
      <c r="AD243" s="19"/>
      <c r="AE243" s="20"/>
    </row>
    <row r="244" spans="16:31">
      <c r="P244" s="19"/>
      <c r="Q244" s="20"/>
      <c r="R244" s="25"/>
      <c r="S244" s="20"/>
      <c r="X244" s="19"/>
      <c r="Y244" s="20"/>
      <c r="AA244" s="19"/>
      <c r="AB244" s="20"/>
      <c r="AD244" s="19"/>
      <c r="AE244" s="20"/>
    </row>
    <row r="245" spans="16:31">
      <c r="P245" s="19"/>
      <c r="Q245" s="20"/>
      <c r="R245" s="25"/>
      <c r="S245" s="20"/>
      <c r="X245" s="19"/>
      <c r="Y245" s="20"/>
      <c r="AA245" s="19"/>
      <c r="AB245" s="20"/>
      <c r="AD245" s="19"/>
      <c r="AE245" s="20"/>
    </row>
    <row r="246" spans="16:31">
      <c r="P246" s="19"/>
      <c r="Q246" s="20"/>
      <c r="R246" s="25"/>
      <c r="S246" s="20"/>
      <c r="X246" s="19"/>
      <c r="Y246" s="20"/>
      <c r="AA246" s="19"/>
      <c r="AB246" s="20"/>
      <c r="AD246" s="19"/>
      <c r="AE246" s="20"/>
    </row>
    <row r="247" spans="16:31">
      <c r="P247" s="19"/>
      <c r="Q247" s="20"/>
      <c r="R247" s="25"/>
      <c r="S247" s="20"/>
      <c r="X247" s="19"/>
      <c r="Y247" s="20"/>
      <c r="AA247" s="19"/>
      <c r="AB247" s="20"/>
      <c r="AD247" s="19"/>
      <c r="AE247" s="20"/>
    </row>
    <row r="248" spans="16:31">
      <c r="P248" s="19"/>
      <c r="Q248" s="20"/>
      <c r="R248" s="25"/>
      <c r="S248" s="20"/>
      <c r="X248" s="19"/>
      <c r="Y248" s="20"/>
      <c r="AA248" s="19"/>
      <c r="AB248" s="20"/>
      <c r="AD248" s="19"/>
      <c r="AE248" s="20"/>
    </row>
    <row r="249" spans="16:31">
      <c r="P249" s="19"/>
      <c r="Q249" s="20"/>
      <c r="R249" s="25"/>
      <c r="S249" s="20"/>
      <c r="X249" s="19"/>
      <c r="Y249" s="20"/>
      <c r="AA249" s="19"/>
      <c r="AB249" s="20"/>
      <c r="AD249" s="19"/>
      <c r="AE249" s="20"/>
    </row>
    <row r="250" spans="16:31">
      <c r="P250" s="19"/>
      <c r="Q250" s="20"/>
      <c r="R250" s="25"/>
      <c r="S250" s="20"/>
      <c r="X250" s="19"/>
      <c r="Y250" s="20"/>
      <c r="AA250" s="19"/>
      <c r="AB250" s="20"/>
      <c r="AD250" s="19"/>
      <c r="AE250" s="20"/>
    </row>
    <row r="251" spans="16:31">
      <c r="P251" s="19"/>
      <c r="Q251" s="20"/>
      <c r="R251" s="25"/>
      <c r="S251" s="20"/>
      <c r="X251" s="19"/>
      <c r="Y251" s="20"/>
      <c r="AA251" s="19"/>
      <c r="AB251" s="20"/>
      <c r="AD251" s="19"/>
      <c r="AE251" s="20"/>
    </row>
    <row r="252" spans="16:31">
      <c r="P252" s="19"/>
      <c r="Q252" s="20"/>
      <c r="R252" s="25"/>
      <c r="S252" s="20"/>
      <c r="X252" s="19"/>
      <c r="Y252" s="20"/>
      <c r="AA252" s="19"/>
      <c r="AB252" s="20"/>
      <c r="AD252" s="19"/>
      <c r="AE252" s="20"/>
    </row>
    <row r="253" spans="16:31">
      <c r="P253" s="19"/>
      <c r="Q253" s="20"/>
      <c r="R253" s="25"/>
      <c r="S253" s="20"/>
      <c r="X253" s="19"/>
      <c r="Y253" s="20"/>
      <c r="AA253" s="19"/>
      <c r="AB253" s="20"/>
      <c r="AD253" s="19"/>
      <c r="AE253" s="20"/>
    </row>
    <row r="254" spans="16:31">
      <c r="P254" s="19"/>
      <c r="Q254" s="20"/>
      <c r="R254" s="25"/>
      <c r="S254" s="20"/>
      <c r="X254" s="19"/>
      <c r="Y254" s="20"/>
      <c r="AA254" s="19"/>
      <c r="AB254" s="20"/>
      <c r="AD254" s="19"/>
      <c r="AE254" s="20"/>
    </row>
    <row r="255" spans="16:31">
      <c r="P255" s="19"/>
      <c r="Q255" s="20"/>
      <c r="R255" s="25"/>
      <c r="S255" s="20"/>
      <c r="X255" s="19"/>
      <c r="Y255" s="20"/>
      <c r="AA255" s="19"/>
      <c r="AB255" s="20"/>
      <c r="AD255" s="19"/>
      <c r="AE255" s="20"/>
    </row>
    <row r="256" spans="16:31">
      <c r="P256" s="19"/>
      <c r="Q256" s="20"/>
      <c r="R256" s="25"/>
      <c r="S256" s="20"/>
      <c r="X256" s="19"/>
      <c r="Y256" s="20"/>
      <c r="AA256" s="19"/>
      <c r="AB256" s="20"/>
      <c r="AD256" s="19"/>
      <c r="AE256" s="20"/>
    </row>
    <row r="257" spans="16:31">
      <c r="P257" s="19"/>
      <c r="Q257" s="20"/>
      <c r="R257" s="25"/>
      <c r="S257" s="20"/>
      <c r="X257" s="19"/>
      <c r="Y257" s="20"/>
      <c r="AA257" s="19"/>
      <c r="AB257" s="20"/>
      <c r="AD257" s="19"/>
      <c r="AE257" s="20"/>
    </row>
    <row r="258" spans="16:31">
      <c r="P258" s="19"/>
      <c r="Q258" s="20"/>
      <c r="R258" s="25"/>
      <c r="S258" s="20"/>
      <c r="X258" s="19"/>
      <c r="Y258" s="20"/>
      <c r="AA258" s="21"/>
      <c r="AB258" s="22"/>
      <c r="AD258" s="19"/>
      <c r="AE258" s="20"/>
    </row>
    <row r="259" spans="16:31">
      <c r="P259" s="19"/>
      <c r="Q259" s="20"/>
      <c r="R259" s="25"/>
      <c r="S259" s="20"/>
      <c r="X259" s="19"/>
      <c r="Y259" s="20"/>
      <c r="AD259" s="19"/>
      <c r="AE259" s="20"/>
    </row>
    <row r="260" spans="16:31">
      <c r="P260" s="19"/>
      <c r="Q260" s="20"/>
      <c r="R260" s="25"/>
      <c r="S260" s="20"/>
      <c r="X260" s="19"/>
      <c r="Y260" s="20"/>
      <c r="AD260" s="19"/>
      <c r="AE260" s="20"/>
    </row>
    <row r="261" spans="16:31">
      <c r="P261" s="19"/>
      <c r="Q261" s="20"/>
      <c r="R261" s="25"/>
      <c r="S261" s="20"/>
      <c r="X261" s="19"/>
      <c r="Y261" s="20"/>
      <c r="AD261" s="19"/>
      <c r="AE261" s="20"/>
    </row>
    <row r="262" spans="16:31">
      <c r="P262" s="19"/>
      <c r="Q262" s="20"/>
      <c r="R262" s="25"/>
      <c r="S262" s="20"/>
      <c r="X262" s="19"/>
      <c r="Y262" s="20"/>
      <c r="AD262" s="19"/>
      <c r="AE262" s="20"/>
    </row>
    <row r="263" spans="16:31">
      <c r="P263" s="19"/>
      <c r="Q263" s="20"/>
      <c r="R263" s="25"/>
      <c r="S263" s="20"/>
      <c r="X263" s="19"/>
      <c r="Y263" s="20"/>
      <c r="AD263" s="19"/>
      <c r="AE263" s="20"/>
    </row>
    <row r="264" spans="16:31">
      <c r="P264" s="19"/>
      <c r="Q264" s="20"/>
      <c r="R264" s="25"/>
      <c r="S264" s="20"/>
      <c r="X264" s="19"/>
      <c r="Y264" s="20"/>
      <c r="AD264" s="19"/>
      <c r="AE264" s="20"/>
    </row>
    <row r="265" spans="16:31">
      <c r="P265" s="19"/>
      <c r="Q265" s="20"/>
      <c r="R265" s="25"/>
      <c r="S265" s="20"/>
      <c r="X265" s="19"/>
      <c r="Y265" s="20"/>
      <c r="AD265" s="19"/>
      <c r="AE265" s="20"/>
    </row>
    <row r="266" spans="16:31">
      <c r="P266" s="19"/>
      <c r="Q266" s="20"/>
      <c r="R266" s="25"/>
      <c r="S266" s="20"/>
      <c r="X266" s="19"/>
      <c r="Y266" s="20"/>
      <c r="AD266" s="19"/>
      <c r="AE266" s="20"/>
    </row>
    <row r="267" spans="16:31">
      <c r="P267" s="19"/>
      <c r="Q267" s="20"/>
      <c r="R267" s="25"/>
      <c r="S267" s="20"/>
      <c r="X267" s="19"/>
      <c r="Y267" s="20"/>
      <c r="AD267" s="19"/>
      <c r="AE267" s="20"/>
    </row>
    <row r="268" spans="16:31">
      <c r="P268" s="19"/>
      <c r="Q268" s="20"/>
      <c r="R268" s="25"/>
      <c r="S268" s="20"/>
      <c r="X268" s="19"/>
      <c r="Y268" s="20"/>
      <c r="AD268" s="19"/>
      <c r="AE268" s="20"/>
    </row>
    <row r="269" spans="16:31">
      <c r="P269" s="19"/>
      <c r="Q269" s="20"/>
      <c r="R269" s="25"/>
      <c r="S269" s="20"/>
      <c r="X269" s="19"/>
      <c r="Y269" s="20"/>
      <c r="AD269" s="19"/>
      <c r="AE269" s="20"/>
    </row>
    <row r="270" spans="16:31">
      <c r="P270" s="19"/>
      <c r="Q270" s="20"/>
      <c r="R270" s="25"/>
      <c r="S270" s="20"/>
      <c r="X270" s="19"/>
      <c r="Y270" s="20"/>
      <c r="AD270" s="19"/>
      <c r="AE270" s="20"/>
    </row>
    <row r="271" spans="16:31">
      <c r="P271" s="19"/>
      <c r="Q271" s="20"/>
      <c r="R271" s="25"/>
      <c r="S271" s="20"/>
      <c r="X271" s="19"/>
      <c r="Y271" s="20"/>
      <c r="AD271" s="19"/>
      <c r="AE271" s="20"/>
    </row>
    <row r="272" spans="16:31">
      <c r="P272" s="19"/>
      <c r="Q272" s="20"/>
      <c r="R272" s="25"/>
      <c r="S272" s="20"/>
      <c r="X272" s="19"/>
      <c r="Y272" s="20"/>
      <c r="AD272" s="19"/>
      <c r="AE272" s="20"/>
    </row>
    <row r="273" spans="16:31">
      <c r="P273" s="19"/>
      <c r="Q273" s="20"/>
      <c r="R273" s="25"/>
      <c r="S273" s="20"/>
      <c r="X273" s="19"/>
      <c r="Y273" s="20"/>
      <c r="AD273" s="19"/>
      <c r="AE273" s="20"/>
    </row>
    <row r="274" spans="16:31">
      <c r="P274" s="19"/>
      <c r="Q274" s="20"/>
      <c r="R274" s="25"/>
      <c r="S274" s="20"/>
      <c r="X274" s="19"/>
      <c r="Y274" s="20"/>
      <c r="AD274" s="19"/>
      <c r="AE274" s="20"/>
    </row>
    <row r="275" spans="16:31">
      <c r="P275" s="19"/>
      <c r="Q275" s="20"/>
      <c r="R275" s="25"/>
      <c r="S275" s="20"/>
      <c r="X275" s="19"/>
      <c r="Y275" s="20"/>
      <c r="AD275" s="19"/>
      <c r="AE275" s="20"/>
    </row>
    <row r="276" spans="16:31">
      <c r="P276" s="19"/>
      <c r="Q276" s="20"/>
      <c r="R276" s="25"/>
      <c r="S276" s="20"/>
      <c r="X276" s="19"/>
      <c r="Y276" s="20"/>
      <c r="AD276" s="19"/>
      <c r="AE276" s="20"/>
    </row>
    <row r="277" spans="16:31">
      <c r="P277" s="19"/>
      <c r="Q277" s="20"/>
      <c r="R277" s="25"/>
      <c r="S277" s="20"/>
      <c r="X277" s="19"/>
      <c r="Y277" s="20"/>
      <c r="AD277" s="19"/>
      <c r="AE277" s="20"/>
    </row>
    <row r="278" spans="16:31">
      <c r="P278" s="19"/>
      <c r="Q278" s="20"/>
      <c r="R278" s="25"/>
      <c r="S278" s="20"/>
      <c r="X278" s="19"/>
      <c r="Y278" s="20"/>
      <c r="AD278" s="19"/>
      <c r="AE278" s="20"/>
    </row>
    <row r="279" spans="16:31">
      <c r="P279" s="19"/>
      <c r="Q279" s="20"/>
      <c r="R279" s="25"/>
      <c r="S279" s="20"/>
      <c r="X279" s="19"/>
      <c r="Y279" s="20"/>
      <c r="AD279" s="19"/>
      <c r="AE279" s="20"/>
    </row>
    <row r="280" spans="16:31">
      <c r="P280" s="19"/>
      <c r="Q280" s="20"/>
      <c r="R280" s="25"/>
      <c r="S280" s="20"/>
      <c r="X280" s="19"/>
      <c r="Y280" s="20"/>
      <c r="AD280" s="19"/>
      <c r="AE280" s="20"/>
    </row>
    <row r="281" spans="16:31">
      <c r="P281" s="19"/>
      <c r="Q281" s="20"/>
      <c r="R281" s="25"/>
      <c r="S281" s="20"/>
      <c r="X281" s="19"/>
      <c r="Y281" s="20"/>
      <c r="AD281" s="19"/>
      <c r="AE281" s="20"/>
    </row>
    <row r="282" spans="16:31">
      <c r="P282" s="19"/>
      <c r="Q282" s="20"/>
      <c r="R282" s="25"/>
      <c r="S282" s="20"/>
      <c r="X282" s="19"/>
      <c r="Y282" s="20"/>
      <c r="AD282" s="19"/>
      <c r="AE282" s="20"/>
    </row>
    <row r="283" spans="16:31">
      <c r="P283" s="19"/>
      <c r="Q283" s="20"/>
      <c r="R283" s="25"/>
      <c r="S283" s="20"/>
      <c r="X283" s="19"/>
      <c r="Y283" s="20"/>
      <c r="AD283" s="19"/>
      <c r="AE283" s="20"/>
    </row>
    <row r="284" spans="16:31">
      <c r="P284" s="19"/>
      <c r="Q284" s="20"/>
      <c r="R284" s="25"/>
      <c r="S284" s="20"/>
      <c r="X284" s="19"/>
      <c r="Y284" s="20"/>
      <c r="AD284" s="19"/>
      <c r="AE284" s="20"/>
    </row>
    <row r="285" spans="16:31">
      <c r="P285" s="19"/>
      <c r="Q285" s="20"/>
      <c r="R285" s="25"/>
      <c r="S285" s="20"/>
      <c r="X285" s="19"/>
      <c r="Y285" s="20"/>
      <c r="AD285" s="19"/>
      <c r="AE285" s="20"/>
    </row>
    <row r="286" spans="16:31">
      <c r="P286" s="19"/>
      <c r="Q286" s="20"/>
      <c r="R286" s="25"/>
      <c r="S286" s="20"/>
      <c r="X286" s="19"/>
      <c r="Y286" s="20"/>
      <c r="AD286" s="19"/>
      <c r="AE286" s="20"/>
    </row>
    <row r="287" spans="16:31">
      <c r="P287" s="19"/>
      <c r="Q287" s="20"/>
      <c r="R287" s="25"/>
      <c r="S287" s="20"/>
      <c r="X287" s="19"/>
      <c r="Y287" s="20"/>
      <c r="AD287" s="19"/>
      <c r="AE287" s="20"/>
    </row>
    <row r="288" spans="16:31">
      <c r="P288" s="19"/>
      <c r="Q288" s="20"/>
      <c r="R288" s="25"/>
      <c r="S288" s="20"/>
      <c r="X288" s="19"/>
      <c r="Y288" s="20"/>
      <c r="AD288" s="19"/>
      <c r="AE288" s="20"/>
    </row>
    <row r="289" spans="16:31">
      <c r="P289" s="19"/>
      <c r="Q289" s="20"/>
      <c r="R289" s="25"/>
      <c r="S289" s="20"/>
      <c r="X289" s="19"/>
      <c r="Y289" s="20"/>
      <c r="AD289" s="19"/>
      <c r="AE289" s="20"/>
    </row>
    <row r="290" spans="16:31">
      <c r="P290" s="19"/>
      <c r="Q290" s="20"/>
      <c r="R290" s="25"/>
      <c r="S290" s="20"/>
      <c r="X290" s="19"/>
      <c r="Y290" s="20"/>
      <c r="AD290" s="19"/>
      <c r="AE290" s="20"/>
    </row>
    <row r="291" spans="16:31">
      <c r="P291" s="19"/>
      <c r="Q291" s="20"/>
      <c r="R291" s="25"/>
      <c r="S291" s="20"/>
      <c r="X291" s="19"/>
      <c r="Y291" s="20"/>
      <c r="AD291" s="19"/>
      <c r="AE291" s="20"/>
    </row>
    <row r="292" spans="16:31">
      <c r="P292" s="19"/>
      <c r="Q292" s="20"/>
      <c r="R292" s="25"/>
      <c r="S292" s="20"/>
      <c r="X292" s="19"/>
      <c r="Y292" s="20"/>
      <c r="AD292" s="19"/>
      <c r="AE292" s="20"/>
    </row>
    <row r="293" spans="16:31">
      <c r="P293" s="19"/>
      <c r="Q293" s="20"/>
      <c r="R293" s="25"/>
      <c r="S293" s="20"/>
      <c r="X293" s="19"/>
      <c r="Y293" s="20"/>
      <c r="AD293" s="19"/>
      <c r="AE293" s="20"/>
    </row>
    <row r="294" spans="16:31">
      <c r="P294" s="19"/>
      <c r="Q294" s="20"/>
      <c r="R294" s="25"/>
      <c r="S294" s="20"/>
      <c r="X294" s="19"/>
      <c r="Y294" s="20"/>
      <c r="AD294" s="19"/>
      <c r="AE294" s="20"/>
    </row>
    <row r="295" spans="16:31">
      <c r="P295" s="19"/>
      <c r="Q295" s="20"/>
      <c r="R295" s="25"/>
      <c r="S295" s="20"/>
      <c r="X295" s="19"/>
      <c r="Y295" s="20"/>
      <c r="AD295" s="19"/>
      <c r="AE295" s="20"/>
    </row>
    <row r="296" spans="16:31">
      <c r="P296" s="19"/>
      <c r="Q296" s="20"/>
      <c r="R296" s="25"/>
      <c r="S296" s="20"/>
      <c r="X296" s="19"/>
      <c r="Y296" s="20"/>
      <c r="AD296" s="19"/>
      <c r="AE296" s="20"/>
    </row>
    <row r="297" spans="16:31">
      <c r="P297" s="19"/>
      <c r="Q297" s="20"/>
      <c r="R297" s="25"/>
      <c r="S297" s="20"/>
      <c r="X297" s="19"/>
      <c r="Y297" s="20"/>
      <c r="AD297" s="19"/>
      <c r="AE297" s="20"/>
    </row>
    <row r="298" spans="16:31">
      <c r="P298" s="19"/>
      <c r="Q298" s="20"/>
      <c r="R298" s="25"/>
      <c r="S298" s="20"/>
      <c r="X298" s="19"/>
      <c r="Y298" s="20"/>
      <c r="AD298" s="19"/>
      <c r="AE298" s="20"/>
    </row>
    <row r="299" spans="16:31">
      <c r="P299" s="19"/>
      <c r="Q299" s="20"/>
      <c r="R299" s="25"/>
      <c r="S299" s="20"/>
      <c r="X299" s="19"/>
      <c r="Y299" s="20"/>
      <c r="AD299" s="19"/>
      <c r="AE299" s="20"/>
    </row>
    <row r="300" spans="16:31">
      <c r="P300" s="19"/>
      <c r="Q300" s="20"/>
      <c r="R300" s="25"/>
      <c r="S300" s="20"/>
      <c r="X300" s="19"/>
      <c r="Y300" s="20"/>
      <c r="AD300" s="19"/>
      <c r="AE300" s="20"/>
    </row>
    <row r="301" spans="16:31">
      <c r="P301" s="19"/>
      <c r="Q301" s="20"/>
      <c r="R301" s="25"/>
      <c r="S301" s="20"/>
      <c r="X301" s="19"/>
      <c r="Y301" s="20"/>
      <c r="AD301" s="19"/>
      <c r="AE301" s="20"/>
    </row>
    <row r="302" spans="16:31">
      <c r="P302" s="19"/>
      <c r="Q302" s="20"/>
      <c r="R302" s="25"/>
      <c r="S302" s="20"/>
      <c r="X302" s="19"/>
      <c r="Y302" s="20"/>
      <c r="AD302" s="19"/>
      <c r="AE302" s="20"/>
    </row>
    <row r="303" spans="16:31">
      <c r="P303" s="19"/>
      <c r="Q303" s="20"/>
      <c r="R303" s="25"/>
      <c r="S303" s="20"/>
      <c r="X303" s="19"/>
      <c r="Y303" s="20"/>
      <c r="AD303" s="19"/>
      <c r="AE303" s="20"/>
    </row>
    <row r="304" spans="16:31">
      <c r="P304" s="19"/>
      <c r="Q304" s="20"/>
      <c r="R304" s="25"/>
      <c r="S304" s="20"/>
      <c r="X304" s="19"/>
      <c r="Y304" s="20"/>
      <c r="AD304" s="19"/>
      <c r="AE304" s="20"/>
    </row>
    <row r="305" spans="16:31">
      <c r="P305" s="19"/>
      <c r="Q305" s="20"/>
      <c r="R305" s="25"/>
      <c r="S305" s="20"/>
      <c r="X305" s="19"/>
      <c r="Y305" s="20"/>
      <c r="AD305" s="19"/>
      <c r="AE305" s="20"/>
    </row>
    <row r="306" spans="16:31">
      <c r="P306" s="19"/>
      <c r="Q306" s="20"/>
      <c r="R306" s="25"/>
      <c r="S306" s="20"/>
      <c r="X306" s="19"/>
      <c r="Y306" s="20"/>
      <c r="AD306" s="19"/>
      <c r="AE306" s="20"/>
    </row>
    <row r="307" spans="16:31">
      <c r="P307" s="19"/>
      <c r="Q307" s="20"/>
      <c r="R307" s="25"/>
      <c r="S307" s="20"/>
      <c r="X307" s="19"/>
      <c r="Y307" s="20"/>
      <c r="AD307" s="19"/>
      <c r="AE307" s="20"/>
    </row>
    <row r="308" spans="16:31">
      <c r="P308" s="19"/>
      <c r="Q308" s="20"/>
      <c r="R308" s="25"/>
      <c r="S308" s="20"/>
      <c r="X308" s="19"/>
      <c r="Y308" s="20"/>
      <c r="AD308" s="19"/>
      <c r="AE308" s="20"/>
    </row>
    <row r="309" spans="16:31">
      <c r="P309" s="19"/>
      <c r="Q309" s="20"/>
      <c r="R309" s="25"/>
      <c r="S309" s="20"/>
      <c r="X309" s="19"/>
      <c r="Y309" s="20"/>
      <c r="AD309" s="19"/>
      <c r="AE309" s="20"/>
    </row>
    <row r="310" spans="16:31">
      <c r="P310" s="19"/>
      <c r="Q310" s="20"/>
      <c r="R310" s="25"/>
      <c r="S310" s="20"/>
      <c r="X310" s="19"/>
      <c r="Y310" s="20"/>
      <c r="AD310" s="19"/>
      <c r="AE310" s="20"/>
    </row>
    <row r="311" spans="16:31">
      <c r="P311" s="19"/>
      <c r="Q311" s="20"/>
      <c r="R311" s="25"/>
      <c r="S311" s="20"/>
      <c r="X311" s="19"/>
      <c r="Y311" s="20"/>
      <c r="AD311" s="19"/>
      <c r="AE311" s="20"/>
    </row>
    <row r="312" spans="16:31">
      <c r="P312" s="19"/>
      <c r="Q312" s="20"/>
      <c r="R312" s="25"/>
      <c r="S312" s="20"/>
      <c r="X312" s="19"/>
      <c r="Y312" s="20"/>
      <c r="AD312" s="19"/>
      <c r="AE312" s="20"/>
    </row>
    <row r="313" spans="16:31">
      <c r="P313" s="19"/>
      <c r="Q313" s="20"/>
      <c r="R313" s="25"/>
      <c r="S313" s="20"/>
      <c r="X313" s="19"/>
      <c r="Y313" s="20"/>
      <c r="AD313" s="19"/>
      <c r="AE313" s="20"/>
    </row>
    <row r="314" spans="16:31">
      <c r="P314" s="19"/>
      <c r="Q314" s="20"/>
      <c r="R314" s="25"/>
      <c r="S314" s="20"/>
      <c r="X314" s="19"/>
      <c r="Y314" s="20"/>
      <c r="AD314" s="19"/>
      <c r="AE314" s="20"/>
    </row>
    <row r="315" spans="16:31">
      <c r="P315" s="19"/>
      <c r="Q315" s="20"/>
      <c r="R315" s="25"/>
      <c r="S315" s="20"/>
      <c r="X315" s="19"/>
      <c r="Y315" s="20"/>
      <c r="AD315" s="19"/>
      <c r="AE315" s="20"/>
    </row>
    <row r="316" spans="16:31">
      <c r="P316" s="19"/>
      <c r="Q316" s="20"/>
      <c r="R316" s="25"/>
      <c r="S316" s="20"/>
      <c r="X316" s="19"/>
      <c r="Y316" s="20"/>
      <c r="AD316" s="19"/>
      <c r="AE316" s="20"/>
    </row>
    <row r="317" spans="16:31">
      <c r="P317" s="19"/>
      <c r="Q317" s="20"/>
      <c r="R317" s="25"/>
      <c r="S317" s="20"/>
      <c r="X317" s="19"/>
      <c r="Y317" s="20"/>
      <c r="AD317" s="19"/>
      <c r="AE317" s="20"/>
    </row>
    <row r="318" spans="16:31">
      <c r="P318" s="19"/>
      <c r="Q318" s="20"/>
      <c r="R318" s="25"/>
      <c r="S318" s="20"/>
      <c r="X318" s="19"/>
      <c r="Y318" s="20"/>
      <c r="AD318" s="19"/>
      <c r="AE318" s="20"/>
    </row>
    <row r="319" spans="16:31">
      <c r="P319" s="19"/>
      <c r="Q319" s="20"/>
      <c r="R319" s="25"/>
      <c r="S319" s="20"/>
      <c r="X319" s="19"/>
      <c r="Y319" s="20"/>
      <c r="AD319" s="19"/>
      <c r="AE319" s="20"/>
    </row>
    <row r="320" spans="16:31">
      <c r="P320" s="19"/>
      <c r="Q320" s="20"/>
      <c r="R320" s="25"/>
      <c r="S320" s="20"/>
      <c r="X320" s="19"/>
      <c r="Y320" s="20"/>
      <c r="AD320" s="19"/>
      <c r="AE320" s="20"/>
    </row>
    <row r="321" spans="13:31">
      <c r="P321" s="19"/>
      <c r="Q321" s="20"/>
      <c r="R321" s="25"/>
      <c r="S321" s="20"/>
      <c r="X321" s="19"/>
      <c r="Y321" s="20"/>
      <c r="AD321" s="19"/>
      <c r="AE321" s="20"/>
    </row>
    <row r="322" spans="13:31">
      <c r="P322" s="19"/>
      <c r="Q322" s="20"/>
      <c r="R322" s="25"/>
      <c r="S322" s="20"/>
      <c r="X322" s="19"/>
      <c r="Y322" s="20"/>
      <c r="AD322" s="19"/>
      <c r="AE322" s="20"/>
    </row>
    <row r="323" spans="13:31">
      <c r="P323" s="19"/>
      <c r="Q323" s="20"/>
      <c r="R323" s="25"/>
      <c r="S323" s="20"/>
      <c r="X323" s="19"/>
      <c r="Y323" s="20"/>
      <c r="AD323" s="19"/>
      <c r="AE323" s="20"/>
    </row>
    <row r="324" spans="13:31">
      <c r="P324" s="19"/>
      <c r="Q324" s="20"/>
      <c r="R324" s="25"/>
      <c r="S324" s="20"/>
      <c r="X324" s="19"/>
      <c r="Y324" s="20"/>
      <c r="AD324" s="19"/>
      <c r="AE324" s="20"/>
    </row>
    <row r="325" spans="13:31">
      <c r="P325" s="19"/>
      <c r="Q325" s="20"/>
      <c r="R325" s="25"/>
      <c r="S325" s="20"/>
      <c r="X325" s="19"/>
      <c r="Y325" s="20"/>
      <c r="AD325" s="19"/>
      <c r="AE325" s="20"/>
    </row>
    <row r="326" spans="13:31">
      <c r="P326" s="19"/>
      <c r="Q326" s="20"/>
      <c r="R326" s="25"/>
      <c r="S326" s="20"/>
      <c r="X326" s="19"/>
      <c r="Y326" s="20"/>
      <c r="AD326" s="19"/>
      <c r="AE326" s="20"/>
    </row>
    <row r="327" spans="13:31">
      <c r="P327" s="19"/>
      <c r="Q327" s="20"/>
      <c r="R327" s="25"/>
      <c r="S327" s="20"/>
      <c r="X327" s="19"/>
      <c r="Y327" s="20"/>
      <c r="AD327" s="19"/>
      <c r="AE327" s="20"/>
    </row>
    <row r="328" spans="13:31">
      <c r="P328" s="19"/>
      <c r="Q328" s="20"/>
      <c r="R328" s="25"/>
      <c r="S328" s="20"/>
      <c r="X328" s="19"/>
      <c r="Y328" s="20"/>
      <c r="AD328" s="19"/>
      <c r="AE328" s="20"/>
    </row>
    <row r="329" spans="13:31">
      <c r="P329" s="19"/>
      <c r="Q329" s="20"/>
      <c r="R329" s="25"/>
      <c r="S329" s="20"/>
      <c r="X329" s="19"/>
      <c r="Y329" s="20"/>
      <c r="AD329" s="19"/>
      <c r="AE329" s="20"/>
    </row>
    <row r="330" spans="13:31">
      <c r="P330" s="19"/>
      <c r="Q330" s="20"/>
      <c r="R330" s="25"/>
      <c r="S330" s="20"/>
      <c r="X330" s="19"/>
      <c r="Y330" s="20"/>
      <c r="AD330" s="19"/>
      <c r="AE330" s="20"/>
    </row>
    <row r="331" spans="13:31">
      <c r="P331" s="19"/>
      <c r="Q331" s="20"/>
      <c r="R331" s="25"/>
      <c r="S331" s="20"/>
      <c r="X331" s="19"/>
      <c r="Y331" s="20"/>
      <c r="AD331" s="19"/>
      <c r="AE331" s="20"/>
    </row>
    <row r="332" spans="13:31">
      <c r="P332" s="19"/>
      <c r="Q332" s="20"/>
      <c r="R332" s="25"/>
      <c r="S332" s="20"/>
      <c r="X332" s="19"/>
      <c r="Y332" s="20"/>
      <c r="AD332" s="19"/>
      <c r="AE332" s="20"/>
    </row>
    <row r="333" spans="13:31">
      <c r="M333" s="1" t="s">
        <v>8</v>
      </c>
      <c r="P333" s="19"/>
      <c r="Q333" s="20"/>
      <c r="R333" s="25"/>
      <c r="S333" s="20"/>
      <c r="X333" s="19"/>
      <c r="Y333" s="20"/>
      <c r="AD333" s="19"/>
      <c r="AE333" s="20"/>
    </row>
    <row r="334" spans="13:31">
      <c r="P334" s="19"/>
      <c r="Q334" s="20"/>
      <c r="R334" s="25"/>
      <c r="S334" s="20"/>
      <c r="X334" s="19"/>
      <c r="Y334" s="20"/>
      <c r="AD334" s="19"/>
      <c r="AE334" s="20"/>
    </row>
    <row r="335" spans="13:31">
      <c r="P335" s="19"/>
      <c r="Q335" s="20"/>
      <c r="R335" s="25"/>
      <c r="S335" s="20"/>
      <c r="X335" s="19"/>
      <c r="Y335" s="20"/>
      <c r="AD335" s="19"/>
      <c r="AE335" s="20"/>
    </row>
    <row r="336" spans="13:31">
      <c r="P336" s="19"/>
      <c r="Q336" s="20"/>
      <c r="R336" s="25"/>
      <c r="S336" s="20"/>
      <c r="X336" s="19"/>
      <c r="Y336" s="20"/>
      <c r="AD336" s="19"/>
      <c r="AE336" s="20"/>
    </row>
    <row r="337" spans="16:31">
      <c r="P337" s="19"/>
      <c r="Q337" s="20"/>
      <c r="R337" s="25"/>
      <c r="S337" s="20"/>
      <c r="X337" s="19"/>
      <c r="Y337" s="20"/>
      <c r="AD337" s="19"/>
      <c r="AE337" s="20"/>
    </row>
    <row r="338" spans="16:31">
      <c r="P338" s="19"/>
      <c r="Q338" s="20"/>
      <c r="R338" s="25"/>
      <c r="S338" s="20"/>
      <c r="X338" s="19"/>
      <c r="Y338" s="20"/>
      <c r="AD338" s="19"/>
      <c r="AE338" s="20"/>
    </row>
    <row r="339" spans="16:31">
      <c r="P339" s="19"/>
      <c r="Q339" s="20"/>
      <c r="R339" s="25"/>
      <c r="S339" s="20"/>
      <c r="X339" s="19"/>
      <c r="Y339" s="20"/>
      <c r="AD339" s="19"/>
      <c r="AE339" s="20"/>
    </row>
    <row r="340" spans="16:31">
      <c r="P340" s="19"/>
      <c r="Q340" s="20"/>
      <c r="R340" s="25"/>
      <c r="S340" s="20"/>
      <c r="X340" s="19"/>
      <c r="Y340" s="20"/>
      <c r="AD340" s="19"/>
      <c r="AE340" s="20"/>
    </row>
    <row r="341" spans="16:31">
      <c r="P341" s="19"/>
      <c r="Q341" s="20"/>
      <c r="R341" s="25"/>
      <c r="S341" s="20"/>
      <c r="X341" s="19"/>
      <c r="Y341" s="20"/>
      <c r="AD341" s="19"/>
      <c r="AE341" s="20"/>
    </row>
    <row r="342" spans="16:31">
      <c r="P342" s="19"/>
      <c r="Q342" s="20"/>
      <c r="R342" s="25"/>
      <c r="S342" s="20"/>
      <c r="X342" s="19"/>
      <c r="Y342" s="20"/>
      <c r="AD342" s="19"/>
      <c r="AE342" s="20"/>
    </row>
    <row r="343" spans="16:31">
      <c r="P343" s="19"/>
      <c r="Q343" s="20"/>
      <c r="R343" s="25"/>
      <c r="S343" s="20"/>
      <c r="X343" s="19"/>
      <c r="Y343" s="20"/>
      <c r="AD343" s="19"/>
      <c r="AE343" s="20"/>
    </row>
    <row r="344" spans="16:31">
      <c r="P344" s="19"/>
      <c r="Q344" s="20"/>
      <c r="R344" s="25"/>
      <c r="S344" s="20"/>
      <c r="X344" s="19"/>
      <c r="Y344" s="20"/>
      <c r="AD344" s="19"/>
      <c r="AE344" s="20"/>
    </row>
    <row r="345" spans="16:31">
      <c r="P345" s="19"/>
      <c r="Q345" s="20"/>
      <c r="R345" s="25"/>
      <c r="S345" s="20"/>
      <c r="X345" s="19"/>
      <c r="Y345" s="20"/>
      <c r="AD345" s="19"/>
      <c r="AE345" s="20"/>
    </row>
    <row r="346" spans="16:31">
      <c r="P346" s="19"/>
      <c r="Q346" s="20"/>
      <c r="R346" s="25"/>
      <c r="S346" s="20"/>
      <c r="X346" s="19"/>
      <c r="Y346" s="20"/>
      <c r="AD346" s="19"/>
      <c r="AE346" s="20"/>
    </row>
    <row r="347" spans="16:31">
      <c r="P347" s="19"/>
      <c r="Q347" s="20"/>
      <c r="R347" s="25"/>
      <c r="S347" s="20"/>
      <c r="X347" s="19"/>
      <c r="Y347" s="20"/>
      <c r="AD347" s="19"/>
      <c r="AE347" s="20"/>
    </row>
    <row r="348" spans="16:31">
      <c r="P348" s="19"/>
      <c r="Q348" s="20"/>
      <c r="R348" s="25"/>
      <c r="S348" s="20"/>
      <c r="X348" s="19"/>
      <c r="Y348" s="20"/>
      <c r="AD348" s="19"/>
      <c r="AE348" s="20"/>
    </row>
    <row r="349" spans="16:31">
      <c r="P349" s="19"/>
      <c r="Q349" s="20"/>
      <c r="R349" s="25"/>
      <c r="S349" s="20"/>
      <c r="X349" s="19"/>
      <c r="Y349" s="20"/>
      <c r="AD349" s="19"/>
      <c r="AE349" s="20"/>
    </row>
    <row r="350" spans="16:31">
      <c r="P350" s="19"/>
      <c r="Q350" s="20"/>
      <c r="R350" s="25"/>
      <c r="S350" s="20"/>
      <c r="X350" s="19"/>
      <c r="Y350" s="20"/>
      <c r="AD350" s="19"/>
      <c r="AE350" s="20"/>
    </row>
    <row r="351" spans="16:31">
      <c r="P351" s="19"/>
      <c r="Q351" s="20"/>
      <c r="R351" s="25"/>
      <c r="S351" s="20"/>
      <c r="X351" s="19"/>
      <c r="Y351" s="20"/>
      <c r="AD351" s="19"/>
      <c r="AE351" s="20"/>
    </row>
    <row r="352" spans="16:31">
      <c r="P352" s="19"/>
      <c r="Q352" s="20"/>
      <c r="R352" s="25"/>
      <c r="S352" s="20"/>
      <c r="X352" s="19"/>
      <c r="Y352" s="20"/>
      <c r="AD352" s="19"/>
      <c r="AE352" s="20"/>
    </row>
    <row r="353" spans="16:31">
      <c r="P353" s="19"/>
      <c r="Q353" s="20"/>
      <c r="R353" s="25"/>
      <c r="S353" s="20"/>
      <c r="X353" s="19"/>
      <c r="Y353" s="20"/>
      <c r="AD353" s="19"/>
      <c r="AE353" s="20"/>
    </row>
    <row r="354" spans="16:31">
      <c r="P354" s="19"/>
      <c r="Q354" s="20"/>
      <c r="R354" s="25"/>
      <c r="S354" s="20"/>
      <c r="X354" s="19"/>
      <c r="Y354" s="20"/>
      <c r="AD354" s="19"/>
      <c r="AE354" s="20"/>
    </row>
    <row r="355" spans="16:31">
      <c r="P355" s="19"/>
      <c r="Q355" s="20"/>
      <c r="R355" s="25"/>
      <c r="S355" s="20"/>
      <c r="X355" s="19"/>
      <c r="Y355" s="20"/>
      <c r="AD355" s="19"/>
      <c r="AE355" s="20"/>
    </row>
    <row r="356" spans="16:31">
      <c r="P356" s="19"/>
      <c r="Q356" s="20"/>
      <c r="R356" s="25"/>
      <c r="S356" s="20"/>
      <c r="X356" s="19"/>
      <c r="Y356" s="20"/>
      <c r="AD356" s="19"/>
      <c r="AE356" s="20"/>
    </row>
    <row r="357" spans="16:31">
      <c r="P357" s="19"/>
      <c r="Q357" s="20"/>
      <c r="R357" s="25"/>
      <c r="S357" s="20"/>
      <c r="X357" s="19"/>
      <c r="Y357" s="20"/>
      <c r="AD357" s="19"/>
      <c r="AE357" s="20"/>
    </row>
    <row r="358" spans="16:31">
      <c r="P358" s="19"/>
      <c r="Q358" s="20"/>
      <c r="R358" s="25"/>
      <c r="S358" s="20"/>
      <c r="X358" s="19"/>
      <c r="Y358" s="20"/>
      <c r="AD358" s="19"/>
      <c r="AE358" s="20"/>
    </row>
    <row r="359" spans="16:31">
      <c r="P359" s="19"/>
      <c r="Q359" s="20"/>
      <c r="R359" s="25"/>
      <c r="S359" s="20"/>
      <c r="X359" s="19"/>
      <c r="Y359" s="20"/>
      <c r="AD359" s="19"/>
      <c r="AE359" s="20"/>
    </row>
    <row r="360" spans="16:31">
      <c r="P360" s="19"/>
      <c r="Q360" s="20"/>
      <c r="R360" s="25"/>
      <c r="S360" s="20"/>
      <c r="X360" s="19"/>
      <c r="Y360" s="20"/>
      <c r="AD360" s="19"/>
      <c r="AE360" s="20"/>
    </row>
    <row r="361" spans="16:31">
      <c r="P361" s="19"/>
      <c r="Q361" s="20"/>
      <c r="R361" s="25"/>
      <c r="S361" s="20"/>
      <c r="X361" s="19"/>
      <c r="Y361" s="20"/>
      <c r="AD361" s="19"/>
      <c r="AE361" s="20"/>
    </row>
    <row r="362" spans="16:31">
      <c r="P362" s="19"/>
      <c r="Q362" s="20"/>
      <c r="R362" s="25"/>
      <c r="S362" s="20"/>
      <c r="X362" s="19"/>
      <c r="Y362" s="20"/>
      <c r="AD362" s="19"/>
      <c r="AE362" s="20"/>
    </row>
    <row r="363" spans="16:31">
      <c r="P363" s="19"/>
      <c r="Q363" s="20"/>
      <c r="R363" s="25"/>
      <c r="S363" s="20"/>
      <c r="X363" s="19"/>
      <c r="Y363" s="20"/>
      <c r="AD363" s="19"/>
      <c r="AE363" s="20"/>
    </row>
    <row r="364" spans="16:31">
      <c r="P364" s="19"/>
      <c r="Q364" s="20"/>
      <c r="R364" s="25"/>
      <c r="S364" s="20"/>
      <c r="X364" s="19"/>
      <c r="Y364" s="20"/>
      <c r="AD364" s="19"/>
      <c r="AE364" s="20"/>
    </row>
    <row r="365" spans="16:31">
      <c r="P365" s="19"/>
      <c r="Q365" s="20"/>
      <c r="R365" s="25"/>
      <c r="S365" s="20"/>
      <c r="X365" s="19"/>
      <c r="Y365" s="20"/>
      <c r="AD365" s="19"/>
      <c r="AE365" s="20"/>
    </row>
    <row r="366" spans="16:31">
      <c r="P366" s="19"/>
      <c r="Q366" s="20"/>
      <c r="R366" s="25"/>
      <c r="S366" s="20"/>
      <c r="X366" s="19"/>
      <c r="Y366" s="20"/>
      <c r="AD366" s="19"/>
      <c r="AE366" s="20"/>
    </row>
    <row r="367" spans="16:31">
      <c r="P367" s="19"/>
      <c r="Q367" s="20"/>
      <c r="R367" s="25"/>
      <c r="S367" s="20"/>
      <c r="X367" s="19"/>
      <c r="Y367" s="20"/>
      <c r="AD367" s="19"/>
      <c r="AE367" s="20"/>
    </row>
    <row r="368" spans="16:31">
      <c r="P368" s="19"/>
      <c r="Q368" s="20"/>
      <c r="R368" s="25"/>
      <c r="S368" s="20"/>
      <c r="X368" s="19"/>
      <c r="Y368" s="20"/>
      <c r="AD368" s="19"/>
      <c r="AE368" s="20"/>
    </row>
    <row r="369" spans="16:31">
      <c r="P369" s="19"/>
      <c r="Q369" s="20"/>
      <c r="R369" s="25"/>
      <c r="S369" s="20"/>
      <c r="X369" s="19"/>
      <c r="Y369" s="20"/>
      <c r="AD369" s="19"/>
      <c r="AE369" s="20"/>
    </row>
    <row r="370" spans="16:31">
      <c r="P370" s="19"/>
      <c r="Q370" s="20"/>
      <c r="R370" s="25"/>
      <c r="S370" s="20"/>
      <c r="X370" s="19"/>
      <c r="Y370" s="20"/>
      <c r="AD370" s="19"/>
      <c r="AE370" s="20"/>
    </row>
    <row r="371" spans="16:31">
      <c r="P371" s="19"/>
      <c r="Q371" s="20"/>
      <c r="R371" s="25"/>
      <c r="S371" s="20"/>
      <c r="X371" s="19"/>
      <c r="Y371" s="20"/>
      <c r="AD371" s="19"/>
      <c r="AE371" s="20"/>
    </row>
    <row r="372" spans="16:31">
      <c r="P372" s="19"/>
      <c r="Q372" s="20"/>
      <c r="R372" s="25"/>
      <c r="S372" s="20"/>
      <c r="X372" s="19"/>
      <c r="Y372" s="20"/>
      <c r="AD372" s="19"/>
      <c r="AE372" s="20"/>
    </row>
    <row r="373" spans="16:31">
      <c r="P373" s="19"/>
      <c r="Q373" s="20"/>
      <c r="R373" s="25"/>
      <c r="S373" s="20"/>
      <c r="X373" s="19"/>
      <c r="Y373" s="20"/>
      <c r="AD373" s="19"/>
      <c r="AE373" s="20"/>
    </row>
    <row r="374" spans="16:31">
      <c r="P374" s="19"/>
      <c r="Q374" s="20"/>
      <c r="R374" s="25"/>
      <c r="S374" s="20"/>
      <c r="X374" s="19"/>
      <c r="Y374" s="20"/>
      <c r="AD374" s="19"/>
      <c r="AE374" s="20"/>
    </row>
    <row r="375" spans="16:31">
      <c r="P375" s="19"/>
      <c r="Q375" s="20"/>
      <c r="R375" s="25"/>
      <c r="S375" s="20"/>
      <c r="X375" s="19"/>
      <c r="Y375" s="20"/>
      <c r="AD375" s="19"/>
      <c r="AE375" s="20"/>
    </row>
    <row r="376" spans="16:31">
      <c r="P376" s="19"/>
      <c r="Q376" s="20"/>
      <c r="R376" s="25"/>
      <c r="S376" s="20"/>
      <c r="X376" s="19"/>
      <c r="Y376" s="20"/>
      <c r="AD376" s="19"/>
      <c r="AE376" s="20"/>
    </row>
    <row r="377" spans="16:31">
      <c r="P377" s="19"/>
      <c r="Q377" s="20"/>
      <c r="R377" s="25"/>
      <c r="S377" s="20"/>
      <c r="X377" s="19"/>
      <c r="Y377" s="20"/>
      <c r="AD377" s="19"/>
      <c r="AE377" s="20"/>
    </row>
    <row r="378" spans="16:31">
      <c r="P378" s="19"/>
      <c r="Q378" s="20"/>
      <c r="R378" s="25"/>
      <c r="S378" s="20"/>
      <c r="X378" s="19"/>
      <c r="Y378" s="20"/>
      <c r="AD378" s="19"/>
      <c r="AE378" s="20"/>
    </row>
    <row r="379" spans="16:31">
      <c r="P379" s="19"/>
      <c r="Q379" s="20"/>
      <c r="R379" s="25"/>
      <c r="S379" s="20"/>
      <c r="X379" s="19"/>
      <c r="Y379" s="20"/>
      <c r="AD379" s="19"/>
      <c r="AE379" s="20"/>
    </row>
    <row r="380" spans="16:31">
      <c r="P380" s="19"/>
      <c r="Q380" s="20"/>
      <c r="R380" s="25"/>
      <c r="S380" s="20"/>
      <c r="X380" s="19"/>
      <c r="Y380" s="20"/>
      <c r="AD380" s="19"/>
      <c r="AE380" s="20"/>
    </row>
    <row r="381" spans="16:31">
      <c r="P381" s="19"/>
      <c r="Q381" s="20"/>
      <c r="R381" s="25"/>
      <c r="S381" s="20"/>
      <c r="X381" s="19"/>
      <c r="Y381" s="20"/>
      <c r="AD381" s="19"/>
      <c r="AE381" s="20"/>
    </row>
    <row r="382" spans="16:31">
      <c r="P382" s="19"/>
      <c r="Q382" s="20"/>
      <c r="R382" s="25"/>
      <c r="S382" s="20"/>
      <c r="X382" s="19"/>
      <c r="Y382" s="20"/>
      <c r="AD382" s="19"/>
      <c r="AE382" s="20"/>
    </row>
    <row r="383" spans="16:31">
      <c r="P383" s="19"/>
      <c r="Q383" s="20"/>
      <c r="R383" s="25"/>
      <c r="S383" s="20"/>
      <c r="X383" s="19"/>
      <c r="Y383" s="20"/>
      <c r="AD383" s="19"/>
      <c r="AE383" s="20"/>
    </row>
    <row r="384" spans="16:31">
      <c r="P384" s="19"/>
      <c r="Q384" s="20"/>
      <c r="R384" s="25"/>
      <c r="S384" s="20"/>
      <c r="X384" s="19"/>
      <c r="Y384" s="20"/>
      <c r="AD384" s="19"/>
      <c r="AE384" s="20"/>
    </row>
    <row r="385" spans="16:31">
      <c r="P385" s="19"/>
      <c r="Q385" s="20"/>
      <c r="R385" s="25"/>
      <c r="S385" s="20"/>
      <c r="X385" s="19"/>
      <c r="Y385" s="20"/>
      <c r="AD385" s="19"/>
      <c r="AE385" s="20"/>
    </row>
    <row r="386" spans="16:31">
      <c r="P386" s="19"/>
      <c r="Q386" s="20"/>
      <c r="R386" s="25"/>
      <c r="S386" s="20"/>
      <c r="X386" s="19"/>
      <c r="Y386" s="20"/>
      <c r="AD386" s="19"/>
      <c r="AE386" s="20"/>
    </row>
    <row r="387" spans="16:31">
      <c r="P387" s="19"/>
      <c r="Q387" s="20"/>
      <c r="R387" s="25"/>
      <c r="S387" s="20"/>
      <c r="X387" s="19"/>
      <c r="Y387" s="20"/>
      <c r="AD387" s="19"/>
      <c r="AE387" s="20"/>
    </row>
    <row r="388" spans="16:31">
      <c r="P388" s="19"/>
      <c r="Q388" s="20"/>
      <c r="R388" s="25"/>
      <c r="S388" s="20"/>
      <c r="X388" s="19"/>
      <c r="Y388" s="20"/>
      <c r="AD388" s="19"/>
      <c r="AE388" s="20"/>
    </row>
    <row r="389" spans="16:31">
      <c r="P389" s="19"/>
      <c r="Q389" s="20"/>
      <c r="R389" s="25"/>
      <c r="S389" s="20"/>
      <c r="X389" s="19"/>
      <c r="Y389" s="20"/>
      <c r="AD389" s="19"/>
      <c r="AE389" s="20"/>
    </row>
    <row r="390" spans="16:31">
      <c r="P390" s="19"/>
      <c r="Q390" s="20"/>
      <c r="R390" s="25"/>
      <c r="S390" s="20"/>
      <c r="X390" s="19"/>
      <c r="Y390" s="20"/>
      <c r="AD390" s="19"/>
      <c r="AE390" s="20"/>
    </row>
    <row r="391" spans="16:31">
      <c r="P391" s="19"/>
      <c r="Q391" s="20"/>
      <c r="R391" s="25"/>
      <c r="S391" s="20"/>
      <c r="X391" s="19"/>
      <c r="Y391" s="20"/>
      <c r="AD391" s="19"/>
      <c r="AE391" s="20"/>
    </row>
    <row r="392" spans="16:31">
      <c r="P392" s="19"/>
      <c r="Q392" s="20"/>
      <c r="R392" s="25"/>
      <c r="S392" s="20"/>
      <c r="X392" s="19"/>
      <c r="Y392" s="20"/>
      <c r="AD392" s="19"/>
      <c r="AE392" s="20"/>
    </row>
    <row r="393" spans="16:31">
      <c r="P393" s="19"/>
      <c r="Q393" s="20"/>
      <c r="R393" s="25"/>
      <c r="S393" s="20"/>
      <c r="X393" s="19"/>
      <c r="Y393" s="20"/>
      <c r="AD393" s="19"/>
      <c r="AE393" s="20"/>
    </row>
    <row r="394" spans="16:31">
      <c r="P394" s="19"/>
      <c r="Q394" s="20"/>
      <c r="R394" s="25"/>
      <c r="S394" s="20"/>
      <c r="X394" s="19"/>
      <c r="Y394" s="20"/>
      <c r="AD394" s="19"/>
      <c r="AE394" s="20"/>
    </row>
    <row r="395" spans="16:31">
      <c r="P395" s="19"/>
      <c r="Q395" s="20"/>
      <c r="R395" s="25"/>
      <c r="S395" s="20"/>
      <c r="X395" s="19"/>
      <c r="Y395" s="20"/>
      <c r="AD395" s="19"/>
      <c r="AE395" s="20"/>
    </row>
    <row r="396" spans="16:31">
      <c r="P396" s="19"/>
      <c r="Q396" s="20"/>
      <c r="R396" s="25"/>
      <c r="S396" s="20"/>
      <c r="X396" s="19"/>
      <c r="Y396" s="20"/>
      <c r="AD396" s="19"/>
      <c r="AE396" s="20"/>
    </row>
    <row r="397" spans="16:31">
      <c r="P397" s="19"/>
      <c r="Q397" s="20"/>
      <c r="R397" s="25"/>
      <c r="S397" s="20"/>
      <c r="X397" s="19"/>
      <c r="Y397" s="20"/>
      <c r="AD397" s="19"/>
      <c r="AE397" s="20"/>
    </row>
    <row r="398" spans="16:31">
      <c r="P398" s="19"/>
      <c r="Q398" s="20"/>
      <c r="R398" s="25"/>
      <c r="S398" s="20"/>
      <c r="X398" s="19"/>
      <c r="Y398" s="20"/>
      <c r="AD398" s="19"/>
      <c r="AE398" s="20"/>
    </row>
    <row r="399" spans="16:31">
      <c r="P399" s="19"/>
      <c r="Q399" s="20"/>
      <c r="R399" s="25"/>
      <c r="S399" s="20"/>
      <c r="X399" s="19"/>
      <c r="Y399" s="20"/>
      <c r="AD399" s="19"/>
      <c r="AE399" s="20"/>
    </row>
    <row r="400" spans="16:31">
      <c r="P400" s="19"/>
      <c r="Q400" s="20"/>
      <c r="R400" s="25"/>
      <c r="S400" s="20"/>
      <c r="X400" s="19"/>
      <c r="Y400" s="20"/>
      <c r="AD400" s="19"/>
      <c r="AE400" s="20"/>
    </row>
    <row r="401" spans="16:31">
      <c r="P401" s="19"/>
      <c r="Q401" s="20"/>
      <c r="R401" s="25"/>
      <c r="S401" s="20"/>
      <c r="X401" s="19"/>
      <c r="Y401" s="20"/>
      <c r="AD401" s="19"/>
      <c r="AE401" s="20"/>
    </row>
    <row r="402" spans="16:31">
      <c r="P402" s="19"/>
      <c r="Q402" s="20"/>
      <c r="R402" s="25"/>
      <c r="S402" s="20"/>
      <c r="X402" s="19"/>
      <c r="Y402" s="20"/>
      <c r="AD402" s="19"/>
      <c r="AE402" s="20"/>
    </row>
    <row r="403" spans="16:31">
      <c r="P403" s="19"/>
      <c r="Q403" s="20"/>
      <c r="R403" s="25"/>
      <c r="S403" s="20"/>
      <c r="X403" s="19"/>
      <c r="Y403" s="20"/>
      <c r="AD403" s="19"/>
      <c r="AE403" s="20"/>
    </row>
    <row r="404" spans="16:31">
      <c r="P404" s="19"/>
      <c r="Q404" s="20"/>
      <c r="R404" s="25"/>
      <c r="S404" s="20"/>
      <c r="X404" s="19"/>
      <c r="Y404" s="20"/>
      <c r="AD404" s="19"/>
      <c r="AE404" s="20"/>
    </row>
    <row r="405" spans="16:31">
      <c r="P405" s="19"/>
      <c r="Q405" s="20"/>
      <c r="R405" s="25"/>
      <c r="S405" s="20"/>
      <c r="X405" s="19"/>
      <c r="Y405" s="20"/>
      <c r="AD405" s="19"/>
      <c r="AE405" s="20"/>
    </row>
    <row r="406" spans="16:31">
      <c r="P406" s="19"/>
      <c r="Q406" s="20"/>
      <c r="R406" s="25"/>
      <c r="S406" s="20"/>
      <c r="X406" s="19"/>
      <c r="Y406" s="20"/>
      <c r="AD406" s="19"/>
      <c r="AE406" s="20"/>
    </row>
    <row r="407" spans="16:31">
      <c r="P407" s="19"/>
      <c r="Q407" s="20"/>
      <c r="R407" s="25"/>
      <c r="S407" s="20"/>
      <c r="X407" s="19"/>
      <c r="Y407" s="20"/>
      <c r="AD407" s="19"/>
      <c r="AE407" s="20"/>
    </row>
    <row r="408" spans="16:31">
      <c r="P408" s="19"/>
      <c r="Q408" s="20"/>
      <c r="R408" s="25"/>
      <c r="S408" s="20"/>
      <c r="X408" s="19"/>
      <c r="Y408" s="20"/>
      <c r="AD408" s="19"/>
      <c r="AE408" s="20"/>
    </row>
    <row r="409" spans="16:31">
      <c r="P409" s="19"/>
      <c r="Q409" s="20"/>
      <c r="R409" s="25"/>
      <c r="S409" s="20"/>
      <c r="X409" s="19"/>
      <c r="Y409" s="20"/>
      <c r="AD409" s="19"/>
      <c r="AE409" s="20"/>
    </row>
    <row r="410" spans="16:31">
      <c r="P410" s="19"/>
      <c r="Q410" s="20"/>
      <c r="R410" s="25"/>
      <c r="S410" s="20"/>
      <c r="X410" s="19"/>
      <c r="Y410" s="20"/>
      <c r="AD410" s="19"/>
      <c r="AE410" s="20"/>
    </row>
    <row r="411" spans="16:31">
      <c r="P411" s="19"/>
      <c r="Q411" s="20"/>
      <c r="R411" s="25"/>
      <c r="S411" s="20"/>
      <c r="X411" s="19"/>
      <c r="Y411" s="20"/>
      <c r="AD411" s="19"/>
      <c r="AE411" s="20"/>
    </row>
    <row r="412" spans="16:31">
      <c r="P412" s="19"/>
      <c r="Q412" s="20"/>
      <c r="R412" s="25"/>
      <c r="S412" s="20"/>
      <c r="X412" s="19"/>
      <c r="Y412" s="20"/>
      <c r="AD412" s="19"/>
      <c r="AE412" s="20"/>
    </row>
    <row r="413" spans="16:31">
      <c r="P413" s="19"/>
      <c r="Q413" s="20"/>
      <c r="R413" s="25"/>
      <c r="S413" s="20"/>
      <c r="X413" s="19"/>
      <c r="Y413" s="20"/>
      <c r="AD413" s="19"/>
      <c r="AE413" s="20"/>
    </row>
    <row r="414" spans="16:31">
      <c r="P414" s="19"/>
      <c r="Q414" s="20"/>
      <c r="R414" s="25"/>
      <c r="S414" s="20"/>
      <c r="X414" s="19"/>
      <c r="Y414" s="20"/>
      <c r="AD414" s="19"/>
      <c r="AE414" s="20"/>
    </row>
    <row r="415" spans="16:31">
      <c r="P415" s="19"/>
      <c r="Q415" s="20"/>
      <c r="R415" s="25"/>
      <c r="S415" s="20"/>
      <c r="X415" s="19"/>
      <c r="Y415" s="20"/>
      <c r="AD415" s="19"/>
      <c r="AE415" s="20"/>
    </row>
    <row r="416" spans="16:31">
      <c r="P416" s="19"/>
      <c r="Q416" s="20"/>
      <c r="R416" s="25"/>
      <c r="S416" s="20"/>
      <c r="X416" s="19"/>
      <c r="Y416" s="20"/>
      <c r="AD416" s="19"/>
      <c r="AE416" s="20"/>
    </row>
    <row r="417" spans="16:31">
      <c r="P417" s="19"/>
      <c r="Q417" s="20"/>
      <c r="R417" s="25"/>
      <c r="S417" s="20"/>
      <c r="X417" s="19"/>
      <c r="Y417" s="20"/>
      <c r="AD417" s="19"/>
      <c r="AE417" s="20"/>
    </row>
    <row r="418" spans="16:31">
      <c r="P418" s="19"/>
      <c r="Q418" s="20"/>
      <c r="R418" s="25"/>
      <c r="S418" s="20"/>
      <c r="X418" s="19"/>
      <c r="Y418" s="20"/>
      <c r="AD418" s="19"/>
      <c r="AE418" s="20"/>
    </row>
    <row r="419" spans="16:31">
      <c r="P419" s="19"/>
      <c r="Q419" s="20"/>
      <c r="R419" s="25"/>
      <c r="S419" s="20"/>
      <c r="X419" s="19"/>
      <c r="Y419" s="20"/>
      <c r="AD419" s="19"/>
      <c r="AE419" s="20"/>
    </row>
    <row r="420" spans="16:31">
      <c r="P420" s="19"/>
      <c r="Q420" s="20"/>
      <c r="R420" s="25"/>
      <c r="S420" s="20"/>
      <c r="X420" s="19"/>
      <c r="Y420" s="20"/>
      <c r="AD420" s="19"/>
      <c r="AE420" s="20"/>
    </row>
    <row r="421" spans="16:31">
      <c r="P421" s="19"/>
      <c r="Q421" s="20"/>
      <c r="R421" s="25"/>
      <c r="S421" s="20"/>
      <c r="X421" s="19"/>
      <c r="Y421" s="20"/>
      <c r="AD421" s="19"/>
      <c r="AE421" s="20"/>
    </row>
    <row r="422" spans="16:31">
      <c r="P422" s="19"/>
      <c r="Q422" s="20"/>
      <c r="R422" s="25"/>
      <c r="S422" s="20"/>
      <c r="X422" s="19"/>
      <c r="Y422" s="20"/>
      <c r="AD422" s="19"/>
      <c r="AE422" s="20"/>
    </row>
    <row r="423" spans="16:31">
      <c r="P423" s="19"/>
      <c r="Q423" s="20"/>
      <c r="R423" s="25"/>
      <c r="S423" s="20"/>
      <c r="X423" s="19"/>
      <c r="Y423" s="20"/>
      <c r="AD423" s="19"/>
      <c r="AE423" s="20"/>
    </row>
    <row r="424" spans="16:31">
      <c r="P424" s="19"/>
      <c r="Q424" s="20"/>
      <c r="R424" s="25"/>
      <c r="S424" s="20"/>
      <c r="X424" s="19"/>
      <c r="Y424" s="20"/>
      <c r="AD424" s="19"/>
      <c r="AE424" s="20"/>
    </row>
    <row r="425" spans="16:31">
      <c r="P425" s="19"/>
      <c r="Q425" s="20"/>
      <c r="R425" s="25"/>
      <c r="S425" s="20"/>
      <c r="X425" s="19"/>
      <c r="Y425" s="20"/>
      <c r="AD425" s="19"/>
      <c r="AE425" s="20"/>
    </row>
    <row r="426" spans="16:31">
      <c r="P426" s="19"/>
      <c r="Q426" s="20"/>
      <c r="R426" s="25"/>
      <c r="S426" s="20"/>
      <c r="X426" s="19"/>
      <c r="Y426" s="20"/>
      <c r="AD426" s="19"/>
      <c r="AE426" s="20"/>
    </row>
    <row r="427" spans="16:31">
      <c r="P427" s="19"/>
      <c r="Q427" s="20"/>
      <c r="R427" s="25"/>
      <c r="S427" s="20"/>
      <c r="X427" s="19"/>
      <c r="Y427" s="20"/>
      <c r="AD427" s="19"/>
      <c r="AE427" s="20"/>
    </row>
    <row r="428" spans="16:31">
      <c r="P428" s="19"/>
      <c r="Q428" s="20"/>
      <c r="R428" s="25"/>
      <c r="S428" s="20"/>
      <c r="X428" s="19"/>
      <c r="Y428" s="20"/>
      <c r="AD428" s="19"/>
      <c r="AE428" s="20"/>
    </row>
    <row r="429" spans="16:31">
      <c r="P429" s="19"/>
      <c r="Q429" s="20"/>
      <c r="R429" s="25"/>
      <c r="S429" s="20"/>
      <c r="X429" s="19"/>
      <c r="Y429" s="20"/>
      <c r="AD429" s="19"/>
      <c r="AE429" s="20"/>
    </row>
    <row r="430" spans="16:31">
      <c r="P430" s="19"/>
      <c r="Q430" s="20"/>
      <c r="R430" s="25"/>
      <c r="S430" s="20"/>
      <c r="X430" s="19"/>
      <c r="Y430" s="20"/>
      <c r="AD430" s="19"/>
      <c r="AE430" s="20"/>
    </row>
    <row r="431" spans="16:31">
      <c r="P431" s="19"/>
      <c r="Q431" s="20"/>
      <c r="R431" s="25"/>
      <c r="S431" s="20"/>
      <c r="X431" s="19"/>
      <c r="Y431" s="20"/>
      <c r="AD431" s="19"/>
      <c r="AE431" s="20"/>
    </row>
    <row r="432" spans="16:31">
      <c r="P432" s="19"/>
      <c r="Q432" s="20"/>
      <c r="R432" s="25"/>
      <c r="S432" s="20"/>
      <c r="X432" s="19"/>
      <c r="Y432" s="20"/>
      <c r="AD432" s="19"/>
      <c r="AE432" s="20"/>
    </row>
    <row r="433" spans="16:31">
      <c r="P433" s="19"/>
      <c r="Q433" s="20"/>
      <c r="R433" s="25"/>
      <c r="S433" s="20"/>
      <c r="X433" s="19"/>
      <c r="Y433" s="20"/>
      <c r="AD433" s="19"/>
      <c r="AE433" s="20"/>
    </row>
    <row r="434" spans="16:31">
      <c r="P434" s="19"/>
      <c r="Q434" s="20"/>
      <c r="R434" s="25"/>
      <c r="S434" s="20"/>
      <c r="X434" s="19"/>
      <c r="Y434" s="20"/>
      <c r="AD434" s="19"/>
      <c r="AE434" s="20"/>
    </row>
    <row r="435" spans="16:31">
      <c r="P435" s="19"/>
      <c r="Q435" s="20"/>
      <c r="R435" s="25"/>
      <c r="S435" s="20"/>
      <c r="X435" s="19"/>
      <c r="Y435" s="20"/>
      <c r="AD435" s="19"/>
      <c r="AE435" s="20"/>
    </row>
    <row r="436" spans="16:31">
      <c r="P436" s="19"/>
      <c r="Q436" s="20"/>
      <c r="R436" s="25"/>
      <c r="S436" s="20"/>
      <c r="X436" s="19"/>
      <c r="Y436" s="20"/>
      <c r="AD436" s="19"/>
      <c r="AE436" s="20"/>
    </row>
    <row r="437" spans="16:31">
      <c r="P437" s="19"/>
      <c r="Q437" s="20"/>
      <c r="R437" s="25"/>
      <c r="S437" s="20"/>
      <c r="X437" s="19"/>
      <c r="Y437" s="20"/>
      <c r="AD437" s="19"/>
      <c r="AE437" s="20"/>
    </row>
    <row r="438" spans="16:31">
      <c r="P438" s="19"/>
      <c r="Q438" s="20"/>
      <c r="R438" s="25"/>
      <c r="S438" s="20"/>
      <c r="X438" s="19"/>
      <c r="Y438" s="20"/>
      <c r="AD438" s="19"/>
      <c r="AE438" s="20"/>
    </row>
    <row r="439" spans="16:31">
      <c r="P439" s="19"/>
      <c r="Q439" s="20"/>
      <c r="R439" s="25"/>
      <c r="S439" s="20"/>
      <c r="X439" s="19"/>
      <c r="Y439" s="20"/>
      <c r="AD439" s="19"/>
      <c r="AE439" s="20"/>
    </row>
    <row r="440" spans="16:31">
      <c r="P440" s="19"/>
      <c r="Q440" s="20"/>
      <c r="R440" s="25"/>
      <c r="S440" s="20"/>
      <c r="X440" s="19"/>
      <c r="Y440" s="20"/>
      <c r="AD440" s="19"/>
      <c r="AE440" s="20"/>
    </row>
    <row r="441" spans="16:31">
      <c r="P441" s="19"/>
      <c r="Q441" s="20"/>
      <c r="R441" s="25"/>
      <c r="S441" s="20"/>
      <c r="X441" s="19"/>
      <c r="Y441" s="20"/>
      <c r="AD441" s="19"/>
      <c r="AE441" s="20"/>
    </row>
    <row r="442" spans="16:31">
      <c r="P442" s="19"/>
      <c r="Q442" s="20"/>
      <c r="R442" s="25"/>
      <c r="S442" s="20"/>
      <c r="X442" s="19"/>
      <c r="Y442" s="20"/>
      <c r="AD442" s="19"/>
      <c r="AE442" s="20"/>
    </row>
    <row r="443" spans="16:31">
      <c r="P443" s="19"/>
      <c r="Q443" s="20"/>
      <c r="R443" s="25"/>
      <c r="S443" s="20"/>
      <c r="X443" s="19"/>
      <c r="Y443" s="20"/>
      <c r="AD443" s="19"/>
      <c r="AE443" s="20"/>
    </row>
    <row r="444" spans="16:31">
      <c r="P444" s="19"/>
      <c r="Q444" s="20"/>
      <c r="R444" s="25"/>
      <c r="S444" s="20"/>
      <c r="X444" s="19"/>
      <c r="Y444" s="20"/>
      <c r="AD444" s="19"/>
      <c r="AE444" s="20"/>
    </row>
    <row r="445" spans="16:31">
      <c r="P445" s="19"/>
      <c r="Q445" s="20"/>
      <c r="R445" s="25"/>
      <c r="S445" s="20"/>
      <c r="X445" s="19"/>
      <c r="Y445" s="20"/>
      <c r="AD445" s="19"/>
      <c r="AE445" s="20"/>
    </row>
    <row r="446" spans="16:31">
      <c r="P446" s="19"/>
      <c r="Q446" s="20"/>
      <c r="R446" s="25"/>
      <c r="S446" s="20"/>
      <c r="X446" s="19"/>
      <c r="Y446" s="20"/>
      <c r="AD446" s="19"/>
      <c r="AE446" s="20"/>
    </row>
    <row r="447" spans="16:31">
      <c r="P447" s="19"/>
      <c r="Q447" s="20"/>
      <c r="R447" s="25"/>
      <c r="S447" s="20"/>
      <c r="X447" s="19"/>
      <c r="Y447" s="20"/>
      <c r="AD447" s="19"/>
      <c r="AE447" s="20"/>
    </row>
    <row r="448" spans="16:31">
      <c r="P448" s="19"/>
      <c r="Q448" s="20"/>
      <c r="R448" s="25"/>
      <c r="S448" s="20"/>
      <c r="X448" s="19"/>
      <c r="Y448" s="20"/>
      <c r="AD448" s="19"/>
      <c r="AE448" s="20"/>
    </row>
    <row r="449" spans="16:31">
      <c r="P449" s="19"/>
      <c r="Q449" s="20"/>
      <c r="R449" s="25"/>
      <c r="S449" s="20"/>
      <c r="X449" s="19"/>
      <c r="Y449" s="20"/>
      <c r="AD449" s="19"/>
      <c r="AE449" s="20"/>
    </row>
    <row r="450" spans="16:31">
      <c r="P450" s="19"/>
      <c r="Q450" s="20"/>
      <c r="R450" s="25"/>
      <c r="S450" s="20"/>
      <c r="X450" s="19"/>
      <c r="Y450" s="20"/>
      <c r="AD450" s="19"/>
      <c r="AE450" s="20"/>
    </row>
    <row r="451" spans="16:31">
      <c r="P451" s="19"/>
      <c r="Q451" s="20"/>
      <c r="R451" s="25"/>
      <c r="S451" s="20"/>
      <c r="X451" s="19"/>
      <c r="Y451" s="20"/>
      <c r="AD451" s="19"/>
      <c r="AE451" s="20"/>
    </row>
    <row r="452" spans="16:31">
      <c r="P452" s="19"/>
      <c r="Q452" s="20"/>
      <c r="R452" s="25"/>
      <c r="S452" s="20"/>
      <c r="X452" s="19"/>
      <c r="Y452" s="20"/>
      <c r="AD452" s="19"/>
      <c r="AE452" s="20"/>
    </row>
    <row r="453" spans="16:31">
      <c r="P453" s="19"/>
      <c r="Q453" s="20"/>
      <c r="R453" s="25"/>
      <c r="S453" s="20"/>
      <c r="X453" s="19"/>
      <c r="Y453" s="20"/>
      <c r="AD453" s="19"/>
      <c r="AE453" s="20"/>
    </row>
    <row r="454" spans="16:31">
      <c r="P454" s="19"/>
      <c r="Q454" s="20"/>
      <c r="R454" s="25"/>
      <c r="S454" s="20"/>
      <c r="X454" s="19"/>
      <c r="Y454" s="20"/>
      <c r="AD454" s="19"/>
      <c r="AE454" s="20"/>
    </row>
    <row r="455" spans="16:31">
      <c r="P455" s="19"/>
      <c r="Q455" s="20"/>
      <c r="R455" s="25"/>
      <c r="S455" s="20"/>
      <c r="X455" s="19"/>
      <c r="Y455" s="20"/>
      <c r="AD455" s="19"/>
      <c r="AE455" s="20"/>
    </row>
    <row r="456" spans="16:31">
      <c r="P456" s="19"/>
      <c r="Q456" s="20"/>
      <c r="R456" s="25"/>
      <c r="S456" s="20"/>
      <c r="X456" s="19"/>
      <c r="Y456" s="20"/>
      <c r="AD456" s="19"/>
      <c r="AE456" s="20"/>
    </row>
    <row r="457" spans="16:31">
      <c r="P457" s="19"/>
      <c r="Q457" s="20"/>
      <c r="R457" s="25"/>
      <c r="S457" s="20"/>
      <c r="X457" s="19"/>
      <c r="Y457" s="20"/>
      <c r="AD457" s="19"/>
      <c r="AE457" s="20"/>
    </row>
    <row r="458" spans="16:31">
      <c r="P458" s="19"/>
      <c r="Q458" s="20"/>
      <c r="R458" s="25"/>
      <c r="S458" s="20"/>
      <c r="X458" s="19"/>
      <c r="Y458" s="20"/>
      <c r="AD458" s="19"/>
      <c r="AE458" s="20"/>
    </row>
    <row r="459" spans="16:31">
      <c r="P459" s="19"/>
      <c r="Q459" s="20"/>
      <c r="R459" s="25"/>
      <c r="S459" s="20"/>
      <c r="X459" s="19"/>
      <c r="Y459" s="20"/>
      <c r="AD459" s="19"/>
      <c r="AE459" s="20"/>
    </row>
    <row r="460" spans="16:31">
      <c r="P460" s="19"/>
      <c r="Q460" s="20"/>
      <c r="R460" s="25"/>
      <c r="S460" s="20"/>
      <c r="X460" s="19"/>
      <c r="Y460" s="20"/>
      <c r="AD460" s="19"/>
      <c r="AE460" s="20"/>
    </row>
    <row r="461" spans="16:31">
      <c r="P461" s="19"/>
      <c r="Q461" s="20"/>
      <c r="R461" s="25"/>
      <c r="S461" s="20"/>
      <c r="X461" s="19"/>
      <c r="Y461" s="20"/>
      <c r="AD461" s="19"/>
      <c r="AE461" s="20"/>
    </row>
    <row r="462" spans="16:31">
      <c r="P462" s="19"/>
      <c r="Q462" s="20"/>
      <c r="R462" s="25"/>
      <c r="S462" s="20"/>
      <c r="X462" s="19"/>
      <c r="Y462" s="20"/>
      <c r="AD462" s="19"/>
      <c r="AE462" s="20"/>
    </row>
    <row r="463" spans="16:31">
      <c r="P463" s="19"/>
      <c r="Q463" s="20"/>
      <c r="R463" s="25"/>
      <c r="S463" s="20"/>
      <c r="X463" s="19"/>
      <c r="Y463" s="20"/>
      <c r="AD463" s="19"/>
      <c r="AE463" s="20"/>
    </row>
    <row r="464" spans="16:31">
      <c r="P464" s="19"/>
      <c r="Q464" s="20"/>
      <c r="R464" s="25"/>
      <c r="S464" s="20"/>
      <c r="X464" s="19"/>
      <c r="Y464" s="20"/>
      <c r="AD464" s="19"/>
      <c r="AE464" s="20"/>
    </row>
    <row r="465" spans="16:31">
      <c r="P465" s="19"/>
      <c r="Q465" s="20"/>
      <c r="R465" s="25"/>
      <c r="S465" s="20"/>
      <c r="X465" s="19"/>
      <c r="Y465" s="20"/>
      <c r="AD465" s="19"/>
      <c r="AE465" s="20"/>
    </row>
    <row r="466" spans="16:31">
      <c r="P466" s="19"/>
      <c r="Q466" s="20"/>
      <c r="R466" s="25"/>
      <c r="S466" s="20"/>
      <c r="X466" s="19"/>
      <c r="Y466" s="20"/>
      <c r="AD466" s="19"/>
      <c r="AE466" s="20"/>
    </row>
    <row r="467" spans="16:31">
      <c r="P467" s="19"/>
      <c r="Q467" s="20"/>
      <c r="R467" s="25"/>
      <c r="S467" s="20"/>
      <c r="X467" s="19"/>
      <c r="Y467" s="20"/>
      <c r="AD467" s="19"/>
      <c r="AE467" s="20"/>
    </row>
    <row r="468" spans="16:31">
      <c r="P468" s="19"/>
      <c r="Q468" s="20"/>
      <c r="R468" s="25"/>
      <c r="S468" s="20"/>
      <c r="X468" s="19"/>
      <c r="Y468" s="20"/>
      <c r="AD468" s="19"/>
      <c r="AE468" s="20"/>
    </row>
    <row r="469" spans="16:31">
      <c r="P469" s="19"/>
      <c r="Q469" s="20"/>
      <c r="R469" s="25"/>
      <c r="S469" s="20"/>
      <c r="X469" s="19"/>
      <c r="Y469" s="20"/>
      <c r="AD469" s="19"/>
      <c r="AE469" s="20"/>
    </row>
    <row r="470" spans="16:31">
      <c r="P470" s="19"/>
      <c r="Q470" s="20"/>
      <c r="R470" s="25"/>
      <c r="S470" s="20"/>
      <c r="X470" s="19"/>
      <c r="Y470" s="20"/>
      <c r="AD470" s="19"/>
      <c r="AE470" s="20"/>
    </row>
    <row r="471" spans="16:31">
      <c r="P471" s="19"/>
      <c r="Q471" s="20"/>
      <c r="R471" s="25"/>
      <c r="S471" s="20"/>
      <c r="X471" s="19"/>
      <c r="Y471" s="20"/>
      <c r="AD471" s="19"/>
      <c r="AE471" s="20"/>
    </row>
    <row r="472" spans="16:31">
      <c r="P472" s="19"/>
      <c r="Q472" s="20"/>
      <c r="R472" s="25"/>
      <c r="S472" s="20"/>
      <c r="X472" s="19"/>
      <c r="Y472" s="20"/>
      <c r="AD472" s="19"/>
      <c r="AE472" s="20"/>
    </row>
    <row r="473" spans="16:31">
      <c r="P473" s="19"/>
      <c r="Q473" s="20"/>
      <c r="R473" s="25"/>
      <c r="S473" s="20"/>
      <c r="X473" s="19"/>
      <c r="Y473" s="20"/>
      <c r="AD473" s="19"/>
      <c r="AE473" s="20"/>
    </row>
    <row r="474" spans="16:31">
      <c r="P474" s="19"/>
      <c r="Q474" s="20"/>
      <c r="R474" s="25"/>
      <c r="S474" s="20"/>
      <c r="X474" s="19"/>
      <c r="Y474" s="20"/>
      <c r="AD474" s="19"/>
      <c r="AE474" s="20"/>
    </row>
    <row r="475" spans="16:31">
      <c r="P475" s="19"/>
      <c r="Q475" s="20"/>
      <c r="R475" s="25"/>
      <c r="S475" s="20"/>
      <c r="X475" s="19"/>
      <c r="Y475" s="20"/>
      <c r="AD475" s="19"/>
      <c r="AE475" s="20"/>
    </row>
    <row r="476" spans="16:31">
      <c r="P476" s="19"/>
      <c r="Q476" s="20"/>
      <c r="R476" s="25"/>
      <c r="S476" s="20"/>
      <c r="X476" s="19"/>
      <c r="Y476" s="20"/>
      <c r="AD476" s="19"/>
      <c r="AE476" s="20"/>
    </row>
    <row r="477" spans="16:31">
      <c r="P477" s="19"/>
      <c r="Q477" s="20"/>
      <c r="R477" s="25"/>
      <c r="S477" s="20"/>
      <c r="X477" s="19"/>
      <c r="Y477" s="20"/>
      <c r="AD477" s="19"/>
      <c r="AE477" s="20"/>
    </row>
    <row r="478" spans="16:31">
      <c r="P478" s="19"/>
      <c r="Q478" s="20"/>
      <c r="R478" s="25"/>
      <c r="S478" s="20"/>
      <c r="X478" s="19"/>
      <c r="Y478" s="20"/>
      <c r="AD478" s="19"/>
      <c r="AE478" s="20"/>
    </row>
    <row r="479" spans="16:31">
      <c r="P479" s="19"/>
      <c r="Q479" s="20"/>
      <c r="R479" s="25"/>
      <c r="S479" s="20"/>
      <c r="X479" s="19"/>
      <c r="Y479" s="20"/>
      <c r="AD479" s="19"/>
      <c r="AE479" s="20"/>
    </row>
    <row r="480" spans="16:31">
      <c r="P480" s="19"/>
      <c r="Q480" s="20"/>
      <c r="R480" s="25"/>
      <c r="S480" s="20"/>
      <c r="X480" s="19"/>
      <c r="Y480" s="20"/>
      <c r="AD480" s="19"/>
      <c r="AE480" s="20"/>
    </row>
    <row r="481" spans="16:31">
      <c r="P481" s="19"/>
      <c r="Q481" s="20"/>
      <c r="R481" s="25"/>
      <c r="S481" s="20"/>
      <c r="X481" s="19"/>
      <c r="Y481" s="20"/>
      <c r="AD481" s="19"/>
      <c r="AE481" s="20"/>
    </row>
    <row r="482" spans="16:31">
      <c r="P482" s="19"/>
      <c r="Q482" s="20"/>
      <c r="R482" s="25"/>
      <c r="S482" s="20"/>
      <c r="X482" s="19"/>
      <c r="Y482" s="20"/>
      <c r="AD482" s="19"/>
      <c r="AE482" s="20"/>
    </row>
    <row r="483" spans="16:31">
      <c r="P483" s="19"/>
      <c r="Q483" s="20"/>
      <c r="R483" s="25"/>
      <c r="S483" s="20"/>
      <c r="X483" s="19"/>
      <c r="Y483" s="20"/>
      <c r="AD483" s="19"/>
      <c r="AE483" s="20"/>
    </row>
    <row r="484" spans="16:31">
      <c r="P484" s="19"/>
      <c r="Q484" s="20"/>
      <c r="R484" s="25"/>
      <c r="S484" s="20"/>
      <c r="X484" s="19"/>
      <c r="Y484" s="20"/>
      <c r="AD484" s="19"/>
      <c r="AE484" s="20"/>
    </row>
    <row r="485" spans="16:31">
      <c r="P485" s="19"/>
      <c r="Q485" s="20"/>
      <c r="R485" s="25"/>
      <c r="S485" s="20"/>
      <c r="X485" s="19"/>
      <c r="Y485" s="20"/>
      <c r="AD485" s="19"/>
      <c r="AE485" s="20"/>
    </row>
    <row r="486" spans="16:31">
      <c r="P486" s="19"/>
      <c r="Q486" s="20"/>
      <c r="R486" s="25"/>
      <c r="S486" s="20"/>
      <c r="X486" s="19"/>
      <c r="Y486" s="20"/>
      <c r="AD486" s="19"/>
      <c r="AE486" s="20"/>
    </row>
    <row r="487" spans="16:31">
      <c r="P487" s="19"/>
      <c r="Q487" s="20"/>
      <c r="R487" s="25"/>
      <c r="S487" s="20"/>
      <c r="X487" s="19"/>
      <c r="Y487" s="20"/>
      <c r="AD487" s="19"/>
      <c r="AE487" s="20"/>
    </row>
    <row r="488" spans="16:31">
      <c r="P488" s="19"/>
      <c r="Q488" s="20"/>
      <c r="R488" s="25"/>
      <c r="S488" s="20"/>
      <c r="X488" s="19"/>
      <c r="Y488" s="20"/>
      <c r="AD488" s="19"/>
      <c r="AE488" s="20"/>
    </row>
    <row r="489" spans="16:31">
      <c r="P489" s="19"/>
      <c r="Q489" s="20"/>
      <c r="R489" s="25"/>
      <c r="S489" s="20"/>
      <c r="X489" s="19"/>
      <c r="Y489" s="20"/>
      <c r="AD489" s="19"/>
      <c r="AE489" s="20"/>
    </row>
    <row r="490" spans="16:31">
      <c r="P490" s="19"/>
      <c r="Q490" s="20"/>
      <c r="R490" s="25"/>
      <c r="S490" s="20"/>
      <c r="X490" s="19"/>
      <c r="Y490" s="20"/>
      <c r="AD490" s="19"/>
      <c r="AE490" s="20"/>
    </row>
    <row r="491" spans="16:31">
      <c r="P491" s="19"/>
      <c r="Q491" s="20"/>
      <c r="R491" s="25"/>
      <c r="S491" s="20"/>
      <c r="X491" s="19"/>
      <c r="Y491" s="20"/>
      <c r="AD491" s="19"/>
      <c r="AE491" s="20"/>
    </row>
    <row r="492" spans="16:31">
      <c r="P492" s="19"/>
      <c r="Q492" s="20"/>
      <c r="R492" s="25"/>
      <c r="S492" s="20"/>
      <c r="X492" s="19"/>
      <c r="Y492" s="20"/>
      <c r="AD492" s="19"/>
      <c r="AE492" s="20"/>
    </row>
    <row r="493" spans="16:31">
      <c r="P493" s="19"/>
      <c r="Q493" s="20"/>
      <c r="R493" s="25"/>
      <c r="S493" s="20"/>
      <c r="X493" s="19"/>
      <c r="Y493" s="20"/>
      <c r="AD493" s="19"/>
      <c r="AE493" s="20"/>
    </row>
    <row r="494" spans="16:31">
      <c r="P494" s="19"/>
      <c r="Q494" s="20"/>
      <c r="R494" s="25"/>
      <c r="S494" s="20"/>
      <c r="X494" s="19"/>
      <c r="Y494" s="20"/>
      <c r="AD494" s="19"/>
      <c r="AE494" s="20"/>
    </row>
    <row r="495" spans="16:31">
      <c r="P495" s="19"/>
      <c r="Q495" s="20"/>
      <c r="R495" s="25"/>
      <c r="S495" s="20"/>
      <c r="X495" s="19"/>
      <c r="Y495" s="20"/>
      <c r="AD495" s="19"/>
      <c r="AE495" s="20"/>
    </row>
    <row r="496" spans="16:31">
      <c r="P496" s="19"/>
      <c r="Q496" s="20"/>
      <c r="R496" s="25"/>
      <c r="S496" s="20"/>
      <c r="X496" s="19"/>
      <c r="Y496" s="20"/>
      <c r="AD496" s="19"/>
      <c r="AE496" s="20"/>
    </row>
    <row r="497" spans="16:31">
      <c r="P497" s="19"/>
      <c r="Q497" s="20"/>
      <c r="R497" s="25"/>
      <c r="S497" s="20"/>
      <c r="X497" s="19"/>
      <c r="Y497" s="20"/>
      <c r="AD497" s="19"/>
      <c r="AE497" s="20"/>
    </row>
    <row r="498" spans="16:31">
      <c r="P498" s="19"/>
      <c r="Q498" s="20"/>
      <c r="R498" s="25"/>
      <c r="S498" s="20"/>
      <c r="X498" s="19"/>
      <c r="Y498" s="20"/>
      <c r="AD498" s="19"/>
      <c r="AE498" s="20"/>
    </row>
    <row r="499" spans="16:31">
      <c r="P499" s="19"/>
      <c r="Q499" s="20"/>
      <c r="R499" s="25"/>
      <c r="S499" s="20"/>
      <c r="X499" s="19"/>
      <c r="Y499" s="20"/>
      <c r="AD499" s="19"/>
      <c r="AE499" s="20"/>
    </row>
    <row r="500" spans="16:31">
      <c r="P500" s="19"/>
      <c r="Q500" s="20"/>
      <c r="R500" s="25"/>
      <c r="S500" s="20"/>
      <c r="X500" s="19"/>
      <c r="Y500" s="20"/>
      <c r="AD500" s="19"/>
      <c r="AE500" s="20"/>
    </row>
    <row r="501" spans="16:31">
      <c r="P501" s="19"/>
      <c r="Q501" s="20"/>
      <c r="R501" s="25"/>
      <c r="S501" s="20"/>
      <c r="X501" s="19"/>
      <c r="Y501" s="20"/>
      <c r="AD501" s="19"/>
      <c r="AE501" s="20"/>
    </row>
    <row r="502" spans="16:31">
      <c r="P502" s="19"/>
      <c r="Q502" s="20"/>
      <c r="R502" s="25"/>
      <c r="S502" s="20"/>
      <c r="X502" s="19"/>
      <c r="Y502" s="20"/>
      <c r="AD502" s="19"/>
      <c r="AE502" s="20"/>
    </row>
    <row r="503" spans="16:31">
      <c r="P503" s="19"/>
      <c r="Q503" s="20"/>
      <c r="R503" s="25"/>
      <c r="S503" s="20"/>
      <c r="X503" s="19"/>
      <c r="Y503" s="20"/>
      <c r="AD503" s="19"/>
      <c r="AE503" s="20"/>
    </row>
    <row r="504" spans="16:31">
      <c r="P504" s="19"/>
      <c r="Q504" s="20"/>
      <c r="R504" s="25"/>
      <c r="S504" s="20"/>
      <c r="X504" s="19"/>
      <c r="Y504" s="20"/>
      <c r="AD504" s="19"/>
      <c r="AE504" s="20"/>
    </row>
    <row r="505" spans="16:31">
      <c r="P505" s="19"/>
      <c r="Q505" s="20"/>
      <c r="R505" s="25"/>
      <c r="S505" s="20"/>
      <c r="X505" s="19"/>
      <c r="Y505" s="20"/>
      <c r="AD505" s="19"/>
      <c r="AE505" s="20"/>
    </row>
    <row r="506" spans="16:31">
      <c r="P506" s="19"/>
      <c r="Q506" s="20"/>
      <c r="R506" s="25"/>
      <c r="S506" s="20"/>
      <c r="X506" s="19"/>
      <c r="Y506" s="20"/>
      <c r="AD506" s="19"/>
      <c r="AE506" s="20"/>
    </row>
    <row r="507" spans="16:31">
      <c r="P507" s="19"/>
      <c r="Q507" s="20"/>
      <c r="R507" s="25"/>
      <c r="S507" s="20"/>
      <c r="X507" s="19"/>
      <c r="Y507" s="20"/>
      <c r="AD507" s="19"/>
      <c r="AE507" s="20"/>
    </row>
    <row r="508" spans="16:31">
      <c r="P508" s="19"/>
      <c r="Q508" s="20"/>
      <c r="R508" s="25"/>
      <c r="S508" s="20"/>
      <c r="X508" s="19"/>
      <c r="Y508" s="20"/>
      <c r="AD508" s="19"/>
      <c r="AE508" s="20"/>
    </row>
    <row r="509" spans="16:31">
      <c r="P509" s="19"/>
      <c r="Q509" s="20"/>
      <c r="R509" s="25"/>
      <c r="S509" s="20"/>
      <c r="X509" s="19"/>
      <c r="Y509" s="20"/>
      <c r="AD509" s="19"/>
      <c r="AE509" s="20"/>
    </row>
    <row r="510" spans="16:31">
      <c r="P510" s="19"/>
      <c r="Q510" s="20"/>
      <c r="R510" s="25"/>
      <c r="S510" s="20"/>
      <c r="X510" s="19"/>
      <c r="Y510" s="20"/>
      <c r="AD510" s="19"/>
      <c r="AE510" s="20"/>
    </row>
    <row r="511" spans="16:31">
      <c r="P511" s="19"/>
      <c r="Q511" s="20"/>
      <c r="R511" s="25"/>
      <c r="S511" s="20"/>
      <c r="X511" s="19"/>
      <c r="Y511" s="20"/>
      <c r="AD511" s="19"/>
      <c r="AE511" s="20"/>
    </row>
    <row r="512" spans="16:31">
      <c r="P512" s="19"/>
      <c r="Q512" s="20"/>
      <c r="R512" s="25"/>
      <c r="S512" s="20"/>
      <c r="X512" s="19"/>
      <c r="Y512" s="20"/>
      <c r="AD512" s="19"/>
      <c r="AE512" s="20"/>
    </row>
    <row r="513" spans="16:31">
      <c r="P513" s="19"/>
      <c r="Q513" s="20"/>
      <c r="R513" s="25"/>
      <c r="S513" s="20"/>
      <c r="X513" s="19"/>
      <c r="Y513" s="20"/>
      <c r="AD513" s="19"/>
      <c r="AE513" s="20"/>
    </row>
    <row r="514" spans="16:31">
      <c r="P514" s="19"/>
      <c r="Q514" s="20"/>
      <c r="R514" s="25"/>
      <c r="S514" s="20"/>
      <c r="X514" s="19"/>
      <c r="Y514" s="20"/>
      <c r="AD514" s="19"/>
      <c r="AE514" s="20"/>
    </row>
    <row r="515" spans="16:31">
      <c r="P515" s="19"/>
      <c r="Q515" s="20"/>
      <c r="R515" s="25"/>
      <c r="S515" s="20"/>
      <c r="X515" s="19"/>
      <c r="Y515" s="20"/>
      <c r="AD515" s="19"/>
      <c r="AE515" s="20"/>
    </row>
    <row r="516" spans="16:31">
      <c r="P516" s="19"/>
      <c r="Q516" s="20"/>
      <c r="R516" s="25"/>
      <c r="S516" s="20"/>
      <c r="X516" s="19"/>
      <c r="Y516" s="20"/>
      <c r="AD516" s="19"/>
      <c r="AE516" s="20"/>
    </row>
    <row r="517" spans="16:31">
      <c r="P517" s="19"/>
      <c r="Q517" s="20"/>
      <c r="R517" s="25"/>
      <c r="S517" s="20"/>
      <c r="X517" s="19"/>
      <c r="Y517" s="20"/>
      <c r="AD517" s="19"/>
      <c r="AE517" s="20"/>
    </row>
    <row r="518" spans="16:31">
      <c r="P518" s="19"/>
      <c r="Q518" s="20"/>
      <c r="R518" s="25"/>
      <c r="S518" s="20"/>
      <c r="X518" s="19"/>
      <c r="Y518" s="20"/>
      <c r="AD518" s="19"/>
      <c r="AE518" s="20"/>
    </row>
    <row r="519" spans="16:31">
      <c r="P519" s="19"/>
      <c r="Q519" s="20"/>
      <c r="R519" s="25"/>
      <c r="S519" s="20"/>
      <c r="X519" s="19"/>
      <c r="Y519" s="20"/>
      <c r="AD519" s="19"/>
      <c r="AE519" s="20"/>
    </row>
    <row r="520" spans="16:31">
      <c r="P520" s="19"/>
      <c r="Q520" s="20"/>
      <c r="R520" s="25"/>
      <c r="S520" s="20"/>
      <c r="X520" s="19"/>
      <c r="Y520" s="20"/>
      <c r="AD520" s="19"/>
      <c r="AE520" s="20"/>
    </row>
    <row r="521" spans="16:31">
      <c r="P521" s="19"/>
      <c r="Q521" s="20"/>
      <c r="R521" s="25"/>
      <c r="S521" s="20"/>
      <c r="X521" s="19"/>
      <c r="Y521" s="20"/>
      <c r="AD521" s="19"/>
      <c r="AE521" s="20"/>
    </row>
    <row r="522" spans="16:31">
      <c r="P522" s="19"/>
      <c r="Q522" s="20"/>
      <c r="R522" s="25"/>
      <c r="S522" s="20"/>
      <c r="X522" s="19"/>
      <c r="Y522" s="20"/>
      <c r="AD522" s="19"/>
      <c r="AE522" s="20"/>
    </row>
    <row r="523" spans="16:31">
      <c r="P523" s="19"/>
      <c r="Q523" s="20"/>
      <c r="R523" s="25"/>
      <c r="S523" s="20"/>
      <c r="X523" s="19"/>
      <c r="Y523" s="20"/>
      <c r="AD523" s="19"/>
      <c r="AE523" s="20"/>
    </row>
    <row r="524" spans="16:31">
      <c r="P524" s="19"/>
      <c r="Q524" s="20"/>
      <c r="R524" s="25"/>
      <c r="S524" s="20"/>
      <c r="X524" s="19"/>
      <c r="Y524" s="20"/>
      <c r="AD524" s="19"/>
      <c r="AE524" s="20"/>
    </row>
    <row r="525" spans="16:31">
      <c r="P525" s="19"/>
      <c r="Q525" s="20"/>
      <c r="R525" s="25"/>
      <c r="S525" s="20"/>
      <c r="X525" s="19"/>
      <c r="Y525" s="20"/>
      <c r="AD525" s="19"/>
      <c r="AE525" s="20"/>
    </row>
    <row r="526" spans="16:31">
      <c r="P526" s="19"/>
      <c r="Q526" s="20"/>
      <c r="R526" s="25"/>
      <c r="S526" s="20"/>
      <c r="X526" s="19"/>
      <c r="Y526" s="20"/>
      <c r="AD526" s="19"/>
      <c r="AE526" s="20"/>
    </row>
    <row r="527" spans="16:31">
      <c r="P527" s="19"/>
      <c r="Q527" s="20"/>
      <c r="R527" s="25"/>
      <c r="S527" s="20"/>
      <c r="X527" s="19"/>
      <c r="Y527" s="20"/>
      <c r="AD527" s="19"/>
      <c r="AE527" s="20"/>
    </row>
    <row r="528" spans="16:31">
      <c r="P528" s="19"/>
      <c r="Q528" s="20"/>
      <c r="R528" s="25"/>
      <c r="S528" s="20"/>
      <c r="X528" s="19"/>
      <c r="Y528" s="20"/>
      <c r="AD528" s="19"/>
      <c r="AE528" s="20"/>
    </row>
    <row r="529" spans="16:31">
      <c r="P529" s="19"/>
      <c r="Q529" s="20"/>
      <c r="R529" s="25"/>
      <c r="S529" s="20"/>
      <c r="X529" s="19"/>
      <c r="Y529" s="20"/>
      <c r="AD529" s="19"/>
      <c r="AE529" s="20"/>
    </row>
    <row r="530" spans="16:31">
      <c r="P530" s="19"/>
      <c r="Q530" s="20"/>
      <c r="R530" s="25"/>
      <c r="S530" s="20"/>
      <c r="X530" s="19"/>
      <c r="Y530" s="20"/>
      <c r="AD530" s="19"/>
      <c r="AE530" s="20"/>
    </row>
    <row r="531" spans="16:31">
      <c r="P531" s="19"/>
      <c r="Q531" s="20"/>
      <c r="R531" s="25"/>
      <c r="S531" s="20"/>
      <c r="X531" s="19"/>
      <c r="Y531" s="20"/>
      <c r="AD531" s="19"/>
      <c r="AE531" s="20"/>
    </row>
    <row r="532" spans="16:31">
      <c r="P532" s="19"/>
      <c r="Q532" s="20"/>
      <c r="R532" s="25"/>
      <c r="S532" s="20"/>
      <c r="X532" s="19"/>
      <c r="Y532" s="20"/>
      <c r="AD532" s="19"/>
      <c r="AE532" s="20"/>
    </row>
    <row r="533" spans="16:31">
      <c r="P533" s="19"/>
      <c r="Q533" s="20"/>
      <c r="R533" s="25"/>
      <c r="S533" s="20"/>
      <c r="X533" s="19"/>
      <c r="Y533" s="20"/>
      <c r="AD533" s="19"/>
      <c r="AE533" s="20"/>
    </row>
    <row r="534" spans="16:31">
      <c r="P534" s="19"/>
      <c r="Q534" s="20"/>
      <c r="R534" s="25"/>
      <c r="S534" s="20"/>
      <c r="X534" s="19"/>
      <c r="Y534" s="20"/>
      <c r="AD534" s="19"/>
      <c r="AE534" s="20"/>
    </row>
    <row r="535" spans="16:31">
      <c r="P535" s="19"/>
      <c r="Q535" s="20"/>
      <c r="R535" s="25"/>
      <c r="S535" s="20"/>
      <c r="X535" s="19"/>
      <c r="Y535" s="20"/>
      <c r="AD535" s="19"/>
      <c r="AE535" s="20"/>
    </row>
    <row r="536" spans="16:31">
      <c r="P536" s="19"/>
      <c r="Q536" s="20"/>
      <c r="R536" s="25"/>
      <c r="S536" s="20"/>
      <c r="X536" s="19"/>
      <c r="Y536" s="20"/>
      <c r="AD536" s="19"/>
      <c r="AE536" s="20"/>
    </row>
    <row r="537" spans="16:31">
      <c r="P537" s="19"/>
      <c r="Q537" s="20"/>
      <c r="R537" s="25"/>
      <c r="S537" s="20"/>
      <c r="X537" s="19"/>
      <c r="Y537" s="20"/>
      <c r="AD537" s="19"/>
      <c r="AE537" s="20"/>
    </row>
    <row r="538" spans="16:31">
      <c r="P538" s="19"/>
      <c r="Q538" s="20"/>
      <c r="R538" s="25"/>
      <c r="S538" s="20"/>
      <c r="X538" s="19"/>
      <c r="Y538" s="20"/>
      <c r="AD538" s="19"/>
      <c r="AE538" s="20"/>
    </row>
    <row r="539" spans="16:31">
      <c r="P539" s="19"/>
      <c r="Q539" s="20"/>
      <c r="R539" s="25"/>
      <c r="S539" s="20"/>
      <c r="X539" s="19"/>
      <c r="Y539" s="20"/>
      <c r="AD539" s="19"/>
      <c r="AE539" s="20"/>
    </row>
    <row r="540" spans="16:31">
      <c r="P540" s="19"/>
      <c r="Q540" s="20"/>
      <c r="R540" s="25"/>
      <c r="S540" s="20"/>
      <c r="X540" s="19"/>
      <c r="Y540" s="20"/>
      <c r="AD540" s="19"/>
      <c r="AE540" s="20"/>
    </row>
    <row r="541" spans="16:31">
      <c r="P541" s="19"/>
      <c r="Q541" s="20"/>
      <c r="R541" s="25"/>
      <c r="S541" s="20"/>
      <c r="X541" s="19"/>
      <c r="Y541" s="20"/>
      <c r="AD541" s="19"/>
      <c r="AE541" s="20"/>
    </row>
    <row r="542" spans="16:31">
      <c r="P542" s="19"/>
      <c r="Q542" s="20"/>
      <c r="R542" s="25"/>
      <c r="S542" s="20"/>
      <c r="X542" s="19"/>
      <c r="Y542" s="20"/>
      <c r="AD542" s="19"/>
      <c r="AE542" s="20"/>
    </row>
    <row r="543" spans="16:31">
      <c r="P543" s="19"/>
      <c r="Q543" s="20"/>
      <c r="R543" s="25"/>
      <c r="S543" s="20"/>
      <c r="X543" s="19"/>
      <c r="Y543" s="20"/>
      <c r="AD543" s="19"/>
      <c r="AE543" s="20"/>
    </row>
    <row r="544" spans="16:31">
      <c r="P544" s="19"/>
      <c r="Q544" s="20"/>
      <c r="R544" s="25"/>
      <c r="S544" s="20"/>
      <c r="X544" s="19"/>
      <c r="Y544" s="20"/>
      <c r="AD544" s="19"/>
      <c r="AE544" s="20"/>
    </row>
    <row r="545" spans="16:31">
      <c r="P545" s="19"/>
      <c r="Q545" s="20"/>
      <c r="R545" s="25"/>
      <c r="S545" s="20"/>
      <c r="X545" s="19"/>
      <c r="Y545" s="20"/>
      <c r="AD545" s="19"/>
      <c r="AE545" s="20"/>
    </row>
    <row r="546" spans="16:31">
      <c r="P546" s="19"/>
      <c r="Q546" s="20"/>
      <c r="R546" s="25"/>
      <c r="S546" s="20"/>
      <c r="X546" s="19"/>
      <c r="Y546" s="20"/>
      <c r="AD546" s="19"/>
      <c r="AE546" s="20"/>
    </row>
    <row r="547" spans="16:31">
      <c r="P547" s="19"/>
      <c r="Q547" s="20"/>
      <c r="R547" s="25"/>
      <c r="S547" s="20"/>
      <c r="X547" s="19"/>
      <c r="Y547" s="20"/>
      <c r="AD547" s="19"/>
      <c r="AE547" s="20"/>
    </row>
    <row r="548" spans="16:31">
      <c r="P548" s="19"/>
      <c r="Q548" s="20"/>
      <c r="R548" s="25"/>
      <c r="S548" s="20"/>
      <c r="X548" s="19"/>
      <c r="Y548" s="20"/>
      <c r="AD548" s="19"/>
      <c r="AE548" s="20"/>
    </row>
    <row r="549" spans="16:31">
      <c r="P549" s="19"/>
      <c r="Q549" s="20"/>
      <c r="R549" s="25"/>
      <c r="S549" s="20"/>
      <c r="X549" s="19"/>
      <c r="Y549" s="20"/>
      <c r="AD549" s="19"/>
      <c r="AE549" s="20"/>
    </row>
    <row r="550" spans="16:31">
      <c r="P550" s="19"/>
      <c r="Q550" s="20"/>
      <c r="R550" s="25"/>
      <c r="S550" s="20"/>
      <c r="X550" s="19"/>
      <c r="Y550" s="20"/>
      <c r="AD550" s="19"/>
      <c r="AE550" s="20"/>
    </row>
    <row r="551" spans="16:31">
      <c r="P551" s="19"/>
      <c r="Q551" s="20"/>
      <c r="R551" s="25"/>
      <c r="S551" s="20"/>
      <c r="X551" s="19"/>
      <c r="Y551" s="20"/>
      <c r="AD551" s="19"/>
      <c r="AE551" s="20"/>
    </row>
    <row r="552" spans="16:31">
      <c r="P552" s="19"/>
      <c r="Q552" s="20"/>
      <c r="R552" s="25"/>
      <c r="S552" s="20"/>
      <c r="X552" s="19"/>
      <c r="Y552" s="20"/>
      <c r="AD552" s="19"/>
      <c r="AE552" s="20"/>
    </row>
    <row r="553" spans="16:31">
      <c r="P553" s="19"/>
      <c r="Q553" s="20"/>
      <c r="R553" s="25"/>
      <c r="S553" s="20"/>
      <c r="X553" s="19"/>
      <c r="Y553" s="20"/>
      <c r="AD553" s="19"/>
      <c r="AE553" s="20"/>
    </row>
    <row r="554" spans="16:31">
      <c r="P554" s="19"/>
      <c r="Q554" s="20"/>
      <c r="R554" s="25"/>
      <c r="S554" s="20"/>
      <c r="X554" s="19"/>
      <c r="Y554" s="20"/>
      <c r="AD554" s="19"/>
      <c r="AE554" s="20"/>
    </row>
    <row r="555" spans="16:31">
      <c r="P555" s="19"/>
      <c r="Q555" s="20"/>
      <c r="R555" s="25"/>
      <c r="S555" s="20"/>
      <c r="X555" s="19"/>
      <c r="Y555" s="20"/>
      <c r="AD555" s="19"/>
      <c r="AE555" s="20"/>
    </row>
    <row r="556" spans="16:31">
      <c r="P556" s="19"/>
      <c r="Q556" s="20"/>
      <c r="R556" s="25"/>
      <c r="S556" s="20"/>
      <c r="X556" s="19"/>
      <c r="Y556" s="20"/>
      <c r="AD556" s="19"/>
      <c r="AE556" s="20"/>
    </row>
    <row r="557" spans="16:31">
      <c r="P557" s="19"/>
      <c r="Q557" s="20"/>
      <c r="R557" s="25"/>
      <c r="S557" s="20"/>
      <c r="X557" s="19"/>
      <c r="Y557" s="20"/>
      <c r="AD557" s="19"/>
      <c r="AE557" s="20"/>
    </row>
    <row r="558" spans="16:31">
      <c r="P558" s="19"/>
      <c r="Q558" s="20"/>
      <c r="R558" s="25"/>
      <c r="S558" s="20"/>
      <c r="X558" s="19"/>
      <c r="Y558" s="20"/>
      <c r="AD558" s="19"/>
      <c r="AE558" s="20"/>
    </row>
    <row r="559" spans="16:31">
      <c r="P559" s="19"/>
      <c r="Q559" s="20"/>
      <c r="R559" s="25"/>
      <c r="S559" s="20"/>
      <c r="X559" s="19"/>
      <c r="Y559" s="20"/>
      <c r="AD559" s="19"/>
      <c r="AE559" s="20"/>
    </row>
    <row r="560" spans="16:31">
      <c r="P560" s="19"/>
      <c r="Q560" s="20"/>
      <c r="R560" s="25"/>
      <c r="S560" s="20"/>
      <c r="X560" s="19"/>
      <c r="Y560" s="20"/>
      <c r="AD560" s="19"/>
      <c r="AE560" s="20"/>
    </row>
    <row r="561" spans="16:31">
      <c r="P561" s="19"/>
      <c r="Q561" s="20"/>
      <c r="R561" s="25"/>
      <c r="S561" s="20"/>
      <c r="X561" s="19"/>
      <c r="Y561" s="20"/>
      <c r="AD561" s="19"/>
      <c r="AE561" s="20"/>
    </row>
    <row r="562" spans="16:31">
      <c r="P562" s="19"/>
      <c r="Q562" s="20"/>
      <c r="R562" s="25"/>
      <c r="S562" s="20"/>
      <c r="X562" s="19"/>
      <c r="Y562" s="20"/>
      <c r="AD562" s="19"/>
      <c r="AE562" s="20"/>
    </row>
    <row r="563" spans="16:31">
      <c r="P563" s="19"/>
      <c r="Q563" s="20"/>
      <c r="R563" s="25"/>
      <c r="S563" s="20"/>
      <c r="X563" s="19"/>
      <c r="Y563" s="20"/>
      <c r="AD563" s="19"/>
      <c r="AE563" s="20"/>
    </row>
    <row r="564" spans="16:31">
      <c r="P564" s="19"/>
      <c r="Q564" s="20"/>
      <c r="R564" s="25"/>
      <c r="S564" s="20"/>
      <c r="X564" s="19"/>
      <c r="Y564" s="20"/>
      <c r="AD564" s="19"/>
      <c r="AE564" s="20"/>
    </row>
    <row r="565" spans="16:31">
      <c r="P565" s="19"/>
      <c r="Q565" s="20"/>
      <c r="R565" s="25"/>
      <c r="S565" s="20"/>
      <c r="X565" s="19"/>
      <c r="Y565" s="20"/>
      <c r="AD565" s="19"/>
      <c r="AE565" s="20"/>
    </row>
    <row r="566" spans="16:31">
      <c r="P566" s="19"/>
      <c r="Q566" s="20"/>
      <c r="R566" s="25"/>
      <c r="S566" s="20"/>
      <c r="X566" s="19"/>
      <c r="Y566" s="20"/>
      <c r="AD566" s="19"/>
      <c r="AE566" s="20"/>
    </row>
    <row r="567" spans="16:31">
      <c r="P567" s="19"/>
      <c r="Q567" s="20"/>
      <c r="R567" s="25"/>
      <c r="S567" s="20"/>
      <c r="X567" s="19"/>
      <c r="Y567" s="20"/>
      <c r="AD567" s="19"/>
      <c r="AE567" s="20"/>
    </row>
    <row r="568" spans="16:31">
      <c r="P568" s="19"/>
      <c r="Q568" s="20"/>
      <c r="R568" s="25"/>
      <c r="S568" s="20"/>
      <c r="X568" s="19"/>
      <c r="Y568" s="20"/>
      <c r="AD568" s="19"/>
      <c r="AE568" s="20"/>
    </row>
    <row r="569" spans="16:31">
      <c r="P569" s="19"/>
      <c r="Q569" s="20"/>
      <c r="R569" s="25"/>
      <c r="S569" s="20"/>
      <c r="X569" s="19"/>
      <c r="Y569" s="20"/>
      <c r="AD569" s="19"/>
      <c r="AE569" s="20"/>
    </row>
    <row r="570" spans="16:31">
      <c r="P570" s="19"/>
      <c r="Q570" s="20"/>
      <c r="R570" s="25"/>
      <c r="S570" s="20"/>
      <c r="X570" s="19"/>
      <c r="Y570" s="20"/>
      <c r="AD570" s="19"/>
      <c r="AE570" s="20"/>
    </row>
    <row r="571" spans="16:31">
      <c r="P571" s="19"/>
      <c r="Q571" s="20"/>
      <c r="R571" s="25"/>
      <c r="S571" s="20"/>
      <c r="X571" s="19"/>
      <c r="Y571" s="20"/>
      <c r="AD571" s="19"/>
      <c r="AE571" s="20"/>
    </row>
    <row r="572" spans="16:31">
      <c r="P572" s="19"/>
      <c r="Q572" s="20"/>
      <c r="R572" s="25"/>
      <c r="S572" s="20"/>
      <c r="X572" s="19"/>
      <c r="Y572" s="20"/>
      <c r="AD572" s="19"/>
      <c r="AE572" s="20"/>
    </row>
    <row r="573" spans="16:31">
      <c r="P573" s="19"/>
      <c r="Q573" s="20"/>
      <c r="R573" s="25"/>
      <c r="S573" s="20"/>
      <c r="X573" s="19"/>
      <c r="Y573" s="20"/>
      <c r="AD573" s="19"/>
      <c r="AE573" s="20"/>
    </row>
    <row r="574" spans="16:31">
      <c r="P574" s="19"/>
      <c r="Q574" s="20"/>
      <c r="R574" s="25"/>
      <c r="S574" s="20"/>
      <c r="X574" s="19"/>
      <c r="Y574" s="20"/>
      <c r="AD574" s="19"/>
      <c r="AE574" s="20"/>
    </row>
    <row r="575" spans="16:31">
      <c r="P575" s="19"/>
      <c r="Q575" s="20"/>
      <c r="R575" s="25"/>
      <c r="S575" s="20"/>
      <c r="X575" s="19"/>
      <c r="Y575" s="20"/>
      <c r="AD575" s="19"/>
      <c r="AE575" s="20"/>
    </row>
    <row r="576" spans="16:31">
      <c r="P576" s="19"/>
      <c r="Q576" s="20"/>
      <c r="R576" s="25"/>
      <c r="S576" s="20"/>
      <c r="X576" s="19"/>
      <c r="Y576" s="20"/>
      <c r="AD576" s="19"/>
      <c r="AE576" s="20"/>
    </row>
    <row r="577" spans="16:31">
      <c r="P577" s="19"/>
      <c r="Q577" s="20"/>
      <c r="R577" s="25"/>
      <c r="S577" s="20"/>
      <c r="X577" s="19"/>
      <c r="Y577" s="20"/>
      <c r="AD577" s="19"/>
      <c r="AE577" s="20"/>
    </row>
    <row r="578" spans="16:31">
      <c r="P578" s="19"/>
      <c r="Q578" s="20"/>
      <c r="R578" s="25"/>
      <c r="S578" s="20"/>
      <c r="X578" s="19"/>
      <c r="Y578" s="20"/>
      <c r="AD578" s="19"/>
      <c r="AE578" s="20"/>
    </row>
    <row r="579" spans="16:31">
      <c r="P579" s="19"/>
      <c r="Q579" s="20"/>
      <c r="R579" s="25"/>
      <c r="S579" s="20"/>
      <c r="X579" s="19"/>
      <c r="Y579" s="20"/>
      <c r="AD579" s="19"/>
      <c r="AE579" s="20"/>
    </row>
    <row r="580" spans="16:31">
      <c r="P580" s="19"/>
      <c r="Q580" s="20"/>
      <c r="R580" s="25"/>
      <c r="S580" s="20"/>
      <c r="X580" s="19"/>
      <c r="Y580" s="20"/>
      <c r="AD580" s="19"/>
      <c r="AE580" s="20"/>
    </row>
    <row r="581" spans="16:31">
      <c r="P581" s="19"/>
      <c r="Q581" s="20"/>
      <c r="R581" s="25"/>
      <c r="S581" s="20"/>
      <c r="X581" s="19"/>
      <c r="Y581" s="20"/>
      <c r="AD581" s="19"/>
      <c r="AE581" s="20"/>
    </row>
    <row r="582" spans="16:31">
      <c r="P582" s="19"/>
      <c r="Q582" s="20"/>
      <c r="R582" s="25"/>
      <c r="S582" s="20"/>
      <c r="X582" s="19"/>
      <c r="Y582" s="20"/>
      <c r="AD582" s="19"/>
      <c r="AE582" s="20"/>
    </row>
    <row r="583" spans="16:31">
      <c r="P583" s="19"/>
      <c r="Q583" s="20"/>
      <c r="R583" s="25"/>
      <c r="S583" s="20"/>
      <c r="X583" s="19"/>
      <c r="Y583" s="20"/>
      <c r="AD583" s="19"/>
      <c r="AE583" s="20"/>
    </row>
    <row r="584" spans="16:31">
      <c r="P584" s="19"/>
      <c r="Q584" s="20"/>
      <c r="R584" s="25"/>
      <c r="S584" s="20"/>
      <c r="X584" s="19"/>
      <c r="Y584" s="20"/>
      <c r="AD584" s="19"/>
      <c r="AE584" s="20"/>
    </row>
    <row r="585" spans="16:31">
      <c r="P585" s="19"/>
      <c r="Q585" s="20"/>
      <c r="R585" s="25"/>
      <c r="S585" s="20"/>
      <c r="X585" s="19"/>
      <c r="Y585" s="20"/>
      <c r="AD585" s="19"/>
      <c r="AE585" s="20"/>
    </row>
    <row r="586" spans="16:31">
      <c r="P586" s="19"/>
      <c r="Q586" s="20"/>
      <c r="R586" s="25"/>
      <c r="S586" s="20"/>
      <c r="X586" s="19"/>
      <c r="Y586" s="20"/>
      <c r="AD586" s="19"/>
      <c r="AE586" s="20"/>
    </row>
    <row r="587" spans="16:31">
      <c r="P587" s="19"/>
      <c r="Q587" s="20"/>
      <c r="R587" s="25"/>
      <c r="S587" s="20"/>
      <c r="X587" s="19"/>
      <c r="Y587" s="20"/>
      <c r="AD587" s="19"/>
      <c r="AE587" s="20"/>
    </row>
    <row r="588" spans="16:31">
      <c r="P588" s="19"/>
      <c r="Q588" s="20"/>
      <c r="R588" s="25"/>
      <c r="S588" s="20"/>
      <c r="X588" s="19"/>
      <c r="Y588" s="20"/>
      <c r="AD588" s="19"/>
      <c r="AE588" s="20"/>
    </row>
    <row r="589" spans="16:31">
      <c r="P589" s="19"/>
      <c r="Q589" s="20"/>
      <c r="R589" s="25"/>
      <c r="S589" s="20"/>
      <c r="X589" s="19"/>
      <c r="Y589" s="20"/>
      <c r="AD589" s="19"/>
      <c r="AE589" s="20"/>
    </row>
    <row r="590" spans="16:31">
      <c r="P590" s="19"/>
      <c r="Q590" s="20"/>
      <c r="R590" s="25"/>
      <c r="S590" s="20"/>
      <c r="X590" s="19"/>
      <c r="Y590" s="20"/>
      <c r="AD590" s="19"/>
      <c r="AE590" s="20"/>
    </row>
    <row r="591" spans="16:31">
      <c r="P591" s="19"/>
      <c r="Q591" s="20"/>
      <c r="R591" s="25"/>
      <c r="S591" s="20"/>
      <c r="X591" s="19"/>
      <c r="Y591" s="20"/>
      <c r="AD591" s="19"/>
      <c r="AE591" s="20"/>
    </row>
    <row r="592" spans="16:31">
      <c r="P592" s="19"/>
      <c r="Q592" s="20"/>
      <c r="R592" s="25"/>
      <c r="S592" s="20"/>
      <c r="X592" s="19"/>
      <c r="Y592" s="20"/>
      <c r="AD592" s="19"/>
      <c r="AE592" s="20"/>
    </row>
    <row r="593" spans="16:31">
      <c r="P593" s="19"/>
      <c r="Q593" s="20"/>
      <c r="R593" s="25"/>
      <c r="S593" s="20"/>
      <c r="X593" s="19"/>
      <c r="Y593" s="20"/>
      <c r="AD593" s="19"/>
      <c r="AE593" s="20"/>
    </row>
    <row r="594" spans="16:31">
      <c r="P594" s="19"/>
      <c r="Q594" s="20"/>
      <c r="R594" s="25"/>
      <c r="S594" s="20"/>
      <c r="X594" s="19"/>
      <c r="Y594" s="20"/>
      <c r="AD594" s="19"/>
      <c r="AE594" s="20"/>
    </row>
    <row r="595" spans="16:31">
      <c r="P595" s="19"/>
      <c r="Q595" s="20"/>
      <c r="R595" s="25"/>
      <c r="S595" s="20"/>
      <c r="X595" s="19"/>
      <c r="Y595" s="20"/>
      <c r="AD595" s="19"/>
      <c r="AE595" s="20"/>
    </row>
    <row r="596" spans="16:31">
      <c r="P596" s="19"/>
      <c r="Q596" s="20"/>
      <c r="R596" s="25"/>
      <c r="S596" s="20"/>
      <c r="X596" s="19"/>
      <c r="Y596" s="20"/>
      <c r="AD596" s="19"/>
      <c r="AE596" s="20"/>
    </row>
    <row r="597" spans="16:31">
      <c r="P597" s="19"/>
      <c r="Q597" s="20"/>
      <c r="R597" s="25"/>
      <c r="S597" s="20"/>
      <c r="X597" s="19"/>
      <c r="Y597" s="20"/>
      <c r="AD597" s="19"/>
      <c r="AE597" s="20"/>
    </row>
    <row r="598" spans="16:31">
      <c r="P598" s="19"/>
      <c r="Q598" s="20"/>
      <c r="R598" s="25"/>
      <c r="S598" s="20"/>
      <c r="X598" s="19"/>
      <c r="Y598" s="20"/>
      <c r="AD598" s="19"/>
      <c r="AE598" s="20"/>
    </row>
    <row r="599" spans="16:31">
      <c r="P599" s="19"/>
      <c r="Q599" s="20"/>
      <c r="R599" s="25"/>
      <c r="S599" s="20"/>
      <c r="X599" s="19"/>
      <c r="Y599" s="20"/>
      <c r="AD599" s="19"/>
      <c r="AE599" s="20"/>
    </row>
    <row r="600" spans="16:31">
      <c r="P600" s="19"/>
      <c r="Q600" s="20"/>
      <c r="R600" s="25"/>
      <c r="S600" s="20"/>
      <c r="X600" s="19"/>
      <c r="Y600" s="20"/>
      <c r="AD600" s="19"/>
      <c r="AE600" s="20"/>
    </row>
    <row r="601" spans="16:31">
      <c r="P601" s="19"/>
      <c r="Q601" s="20"/>
      <c r="R601" s="25"/>
      <c r="S601" s="20"/>
      <c r="X601" s="19"/>
      <c r="Y601" s="20"/>
      <c r="AD601" s="19"/>
      <c r="AE601" s="20"/>
    </row>
    <row r="602" spans="16:31">
      <c r="P602" s="19"/>
      <c r="Q602" s="20"/>
      <c r="R602" s="25"/>
      <c r="S602" s="20"/>
      <c r="X602" s="19"/>
      <c r="Y602" s="20"/>
      <c r="AD602" s="19"/>
      <c r="AE602" s="20"/>
    </row>
    <row r="603" spans="16:31">
      <c r="P603" s="19"/>
      <c r="Q603" s="20"/>
      <c r="R603" s="25"/>
      <c r="S603" s="20"/>
      <c r="X603" s="19"/>
      <c r="Y603" s="20"/>
      <c r="AD603" s="19"/>
      <c r="AE603" s="20"/>
    </row>
    <row r="604" spans="16:31">
      <c r="P604" s="19"/>
      <c r="Q604" s="20"/>
      <c r="R604" s="25"/>
      <c r="S604" s="20"/>
      <c r="X604" s="19"/>
      <c r="Y604" s="20"/>
      <c r="AD604" s="19"/>
      <c r="AE604" s="20"/>
    </row>
    <row r="605" spans="16:31">
      <c r="P605" s="19"/>
      <c r="Q605" s="20"/>
      <c r="R605" s="25"/>
      <c r="S605" s="20"/>
      <c r="X605" s="19"/>
      <c r="Y605" s="20"/>
      <c r="AD605" s="19"/>
      <c r="AE605" s="20"/>
    </row>
    <row r="606" spans="16:31">
      <c r="P606" s="19"/>
      <c r="Q606" s="20"/>
      <c r="R606" s="25"/>
      <c r="S606" s="20"/>
      <c r="X606" s="19"/>
      <c r="Y606" s="20"/>
      <c r="AD606" s="19"/>
      <c r="AE606" s="20"/>
    </row>
    <row r="607" spans="16:31">
      <c r="P607" s="19"/>
      <c r="Q607" s="20"/>
      <c r="R607" s="25"/>
      <c r="S607" s="20"/>
      <c r="X607" s="19"/>
      <c r="Y607" s="20"/>
      <c r="AD607" s="19"/>
      <c r="AE607" s="20"/>
    </row>
    <row r="608" spans="16:31">
      <c r="P608" s="19"/>
      <c r="Q608" s="20"/>
      <c r="R608" s="25"/>
      <c r="S608" s="20"/>
      <c r="X608" s="19"/>
      <c r="Y608" s="20"/>
      <c r="AD608" s="19"/>
      <c r="AE608" s="20"/>
    </row>
    <row r="609" spans="16:31">
      <c r="P609" s="19"/>
      <c r="Q609" s="20"/>
      <c r="R609" s="25"/>
      <c r="S609" s="20"/>
      <c r="X609" s="19"/>
      <c r="Y609" s="20"/>
      <c r="AD609" s="19"/>
      <c r="AE609" s="20"/>
    </row>
    <row r="610" spans="16:31">
      <c r="P610" s="19"/>
      <c r="Q610" s="20"/>
      <c r="R610" s="25"/>
      <c r="S610" s="20"/>
      <c r="X610" s="19"/>
      <c r="Y610" s="20"/>
      <c r="AD610" s="19"/>
      <c r="AE610" s="20"/>
    </row>
    <row r="611" spans="16:31">
      <c r="P611" s="19"/>
      <c r="Q611" s="20"/>
      <c r="R611" s="25"/>
      <c r="S611" s="20"/>
      <c r="X611" s="19"/>
      <c r="Y611" s="20"/>
      <c r="AD611" s="19"/>
      <c r="AE611" s="20"/>
    </row>
    <row r="612" spans="16:31">
      <c r="P612" s="19"/>
      <c r="Q612" s="20"/>
      <c r="R612" s="25"/>
      <c r="S612" s="20"/>
      <c r="X612" s="19"/>
      <c r="Y612" s="20"/>
      <c r="AD612" s="19"/>
      <c r="AE612" s="20"/>
    </row>
    <row r="613" spans="16:31">
      <c r="P613" s="19"/>
      <c r="Q613" s="20"/>
      <c r="R613" s="25"/>
      <c r="S613" s="20"/>
      <c r="X613" s="19"/>
      <c r="Y613" s="20"/>
      <c r="AD613" s="19"/>
      <c r="AE613" s="20"/>
    </row>
    <row r="614" spans="16:31">
      <c r="P614" s="19"/>
      <c r="Q614" s="20"/>
      <c r="R614" s="25"/>
      <c r="S614" s="20"/>
      <c r="X614" s="19"/>
      <c r="Y614" s="20"/>
      <c r="AD614" s="19"/>
      <c r="AE614" s="20"/>
    </row>
    <row r="615" spans="16:31">
      <c r="P615" s="19"/>
      <c r="Q615" s="20"/>
      <c r="R615" s="25"/>
      <c r="S615" s="20"/>
      <c r="X615" s="19"/>
      <c r="Y615" s="20"/>
      <c r="AD615" s="19"/>
      <c r="AE615" s="20"/>
    </row>
    <row r="616" spans="16:31">
      <c r="P616" s="19"/>
      <c r="Q616" s="20"/>
      <c r="R616" s="25"/>
      <c r="S616" s="20"/>
      <c r="X616" s="19"/>
      <c r="Y616" s="20"/>
      <c r="AD616" s="19"/>
      <c r="AE616" s="20"/>
    </row>
    <row r="617" spans="16:31">
      <c r="P617" s="19"/>
      <c r="Q617" s="20"/>
      <c r="R617" s="25"/>
      <c r="S617" s="20"/>
      <c r="X617" s="19"/>
      <c r="Y617" s="20"/>
      <c r="AD617" s="19"/>
      <c r="AE617" s="20"/>
    </row>
    <row r="618" spans="16:31">
      <c r="P618" s="19"/>
      <c r="Q618" s="20"/>
      <c r="R618" s="25"/>
      <c r="S618" s="20"/>
      <c r="X618" s="19"/>
      <c r="Y618" s="20"/>
      <c r="AD618" s="19"/>
      <c r="AE618" s="20"/>
    </row>
    <row r="619" spans="16:31">
      <c r="P619" s="19"/>
      <c r="Q619" s="20"/>
      <c r="R619" s="25"/>
      <c r="S619" s="20"/>
      <c r="X619" s="19"/>
      <c r="Y619" s="20"/>
      <c r="AD619" s="19"/>
      <c r="AE619" s="20"/>
    </row>
    <row r="620" spans="16:31">
      <c r="P620" s="19"/>
      <c r="Q620" s="20"/>
      <c r="R620" s="25"/>
      <c r="S620" s="20"/>
      <c r="X620" s="19"/>
      <c r="Y620" s="20"/>
      <c r="AD620" s="19"/>
      <c r="AE620" s="20"/>
    </row>
    <row r="621" spans="16:31">
      <c r="P621" s="19"/>
      <c r="Q621" s="20"/>
      <c r="R621" s="25"/>
      <c r="S621" s="20"/>
      <c r="X621" s="19"/>
      <c r="Y621" s="20"/>
      <c r="AD621" s="19"/>
      <c r="AE621" s="20"/>
    </row>
    <row r="622" spans="16:31">
      <c r="P622" s="19"/>
      <c r="Q622" s="20"/>
      <c r="R622" s="25"/>
      <c r="S622" s="20"/>
      <c r="X622" s="19"/>
      <c r="Y622" s="20"/>
      <c r="AD622" s="19"/>
      <c r="AE622" s="20"/>
    </row>
    <row r="623" spans="16:31">
      <c r="P623" s="19"/>
      <c r="Q623" s="20"/>
      <c r="R623" s="25"/>
      <c r="S623" s="20"/>
      <c r="X623" s="19"/>
      <c r="Y623" s="20"/>
      <c r="AD623" s="19"/>
      <c r="AE623" s="20"/>
    </row>
    <row r="624" spans="16:31">
      <c r="P624" s="19"/>
      <c r="Q624" s="20"/>
      <c r="R624" s="25"/>
      <c r="S624" s="20"/>
      <c r="X624" s="19"/>
      <c r="Y624" s="20"/>
      <c r="AD624" s="19"/>
      <c r="AE624" s="20"/>
    </row>
    <row r="625" spans="16:31">
      <c r="P625" s="19"/>
      <c r="Q625" s="20"/>
      <c r="R625" s="25"/>
      <c r="S625" s="20"/>
      <c r="X625" s="19"/>
      <c r="Y625" s="20"/>
      <c r="AD625" s="19"/>
      <c r="AE625" s="20"/>
    </row>
    <row r="626" spans="16:31">
      <c r="P626" s="19"/>
      <c r="Q626" s="20"/>
      <c r="R626" s="25"/>
      <c r="S626" s="20"/>
      <c r="X626" s="19"/>
      <c r="Y626" s="20"/>
      <c r="AD626" s="19"/>
      <c r="AE626" s="20"/>
    </row>
    <row r="627" spans="16:31">
      <c r="P627" s="19"/>
      <c r="Q627" s="20"/>
      <c r="R627" s="25"/>
      <c r="S627" s="20"/>
      <c r="X627" s="19"/>
      <c r="Y627" s="20"/>
      <c r="AD627" s="19"/>
      <c r="AE627" s="20"/>
    </row>
    <row r="628" spans="16:31">
      <c r="P628" s="19"/>
      <c r="Q628" s="20"/>
      <c r="R628" s="25"/>
      <c r="S628" s="20"/>
      <c r="X628" s="19"/>
      <c r="Y628" s="20"/>
      <c r="AD628" s="19"/>
      <c r="AE628" s="20"/>
    </row>
    <row r="629" spans="16:31">
      <c r="P629" s="19"/>
      <c r="Q629" s="20"/>
      <c r="R629" s="25"/>
      <c r="S629" s="20"/>
      <c r="X629" s="19"/>
      <c r="Y629" s="20"/>
      <c r="AD629" s="19"/>
      <c r="AE629" s="20"/>
    </row>
    <row r="630" spans="16:31">
      <c r="P630" s="19"/>
      <c r="Q630" s="20"/>
      <c r="R630" s="25"/>
      <c r="S630" s="20"/>
      <c r="X630" s="19"/>
      <c r="Y630" s="20"/>
      <c r="AD630" s="19"/>
      <c r="AE630" s="20"/>
    </row>
    <row r="631" spans="16:31">
      <c r="P631" s="19"/>
      <c r="Q631" s="20"/>
      <c r="R631" s="25"/>
      <c r="S631" s="20"/>
      <c r="X631" s="19"/>
      <c r="Y631" s="20"/>
      <c r="AD631" s="19"/>
      <c r="AE631" s="20"/>
    </row>
    <row r="632" spans="16:31">
      <c r="P632" s="19"/>
      <c r="Q632" s="20"/>
      <c r="R632" s="25"/>
      <c r="S632" s="20"/>
      <c r="X632" s="19"/>
      <c r="Y632" s="20"/>
      <c r="AD632" s="19"/>
      <c r="AE632" s="20"/>
    </row>
    <row r="633" spans="16:31">
      <c r="P633" s="19"/>
      <c r="Q633" s="20"/>
      <c r="R633" s="25"/>
      <c r="S633" s="20"/>
      <c r="X633" s="19"/>
      <c r="Y633" s="20"/>
      <c r="AD633" s="19"/>
      <c r="AE633" s="20"/>
    </row>
    <row r="634" spans="16:31">
      <c r="P634" s="19"/>
      <c r="Q634" s="20"/>
      <c r="R634" s="25"/>
      <c r="S634" s="20"/>
      <c r="X634" s="19"/>
      <c r="Y634" s="20"/>
      <c r="AD634" s="19"/>
      <c r="AE634" s="20"/>
    </row>
    <row r="635" spans="16:31">
      <c r="P635" s="19"/>
      <c r="Q635" s="20"/>
      <c r="R635" s="25"/>
      <c r="S635" s="20"/>
      <c r="X635" s="19"/>
      <c r="Y635" s="20"/>
      <c r="AD635" s="19"/>
      <c r="AE635" s="20"/>
    </row>
    <row r="636" spans="16:31">
      <c r="P636" s="19"/>
      <c r="Q636" s="20"/>
      <c r="R636" s="25"/>
      <c r="S636" s="20"/>
      <c r="X636" s="19"/>
      <c r="Y636" s="20"/>
      <c r="AD636" s="19"/>
      <c r="AE636" s="20"/>
    </row>
    <row r="637" spans="16:31">
      <c r="P637" s="19"/>
      <c r="Q637" s="20"/>
      <c r="R637" s="25"/>
      <c r="S637" s="20"/>
      <c r="X637" s="19"/>
      <c r="Y637" s="20"/>
      <c r="AD637" s="19"/>
      <c r="AE637" s="20"/>
    </row>
    <row r="638" spans="16:31">
      <c r="P638" s="19"/>
      <c r="Q638" s="20"/>
      <c r="R638" s="25"/>
      <c r="S638" s="20"/>
      <c r="X638" s="19"/>
      <c r="Y638" s="20"/>
      <c r="AD638" s="19"/>
      <c r="AE638" s="20"/>
    </row>
    <row r="639" spans="16:31">
      <c r="P639" s="19"/>
      <c r="Q639" s="20"/>
      <c r="R639" s="25"/>
      <c r="S639" s="20"/>
      <c r="X639" s="19"/>
      <c r="Y639" s="20"/>
      <c r="AD639" s="19"/>
      <c r="AE639" s="20"/>
    </row>
    <row r="640" spans="16:31">
      <c r="P640" s="19"/>
      <c r="Q640" s="20"/>
      <c r="R640" s="25"/>
      <c r="S640" s="20"/>
      <c r="X640" s="19"/>
      <c r="Y640" s="20"/>
      <c r="AD640" s="21"/>
      <c r="AE640" s="22"/>
    </row>
    <row r="641" spans="16:25">
      <c r="P641" s="19"/>
      <c r="Q641" s="20"/>
      <c r="R641" s="25"/>
      <c r="S641" s="20"/>
      <c r="X641" s="19"/>
      <c r="Y641" s="20"/>
    </row>
    <row r="642" spans="16:25">
      <c r="P642" s="19"/>
      <c r="Q642" s="20"/>
      <c r="R642" s="25"/>
      <c r="S642" s="20"/>
      <c r="X642" s="19"/>
      <c r="Y642" s="20"/>
    </row>
    <row r="643" spans="16:25">
      <c r="P643" s="19"/>
      <c r="Q643" s="20"/>
      <c r="R643" s="25"/>
      <c r="S643" s="20"/>
      <c r="X643" s="19"/>
      <c r="Y643" s="20"/>
    </row>
    <row r="644" spans="16:25">
      <c r="P644" s="19"/>
      <c r="Q644" s="20"/>
      <c r="R644" s="25"/>
      <c r="S644" s="20"/>
      <c r="X644" s="19"/>
      <c r="Y644" s="20"/>
    </row>
    <row r="645" spans="16:25">
      <c r="P645" s="19"/>
      <c r="Q645" s="20"/>
      <c r="R645" s="25"/>
      <c r="S645" s="20"/>
      <c r="X645" s="19"/>
      <c r="Y645" s="20"/>
    </row>
    <row r="646" spans="16:25">
      <c r="P646" s="19"/>
      <c r="Q646" s="20"/>
      <c r="R646" s="25"/>
      <c r="S646" s="20"/>
      <c r="X646" s="19"/>
      <c r="Y646" s="20"/>
    </row>
    <row r="647" spans="16:25">
      <c r="P647" s="19"/>
      <c r="Q647" s="20"/>
      <c r="R647" s="25"/>
      <c r="S647" s="20"/>
      <c r="X647" s="19"/>
      <c r="Y647" s="20"/>
    </row>
    <row r="648" spans="16:25">
      <c r="P648" s="19"/>
      <c r="Q648" s="20"/>
      <c r="R648" s="25"/>
      <c r="S648" s="20"/>
      <c r="X648" s="19"/>
      <c r="Y648" s="20"/>
    </row>
    <row r="649" spans="16:25">
      <c r="P649" s="19"/>
      <c r="Q649" s="20"/>
      <c r="R649" s="25"/>
      <c r="S649" s="20"/>
      <c r="X649" s="19"/>
      <c r="Y649" s="20"/>
    </row>
    <row r="650" spans="16:25">
      <c r="P650" s="19"/>
      <c r="Q650" s="20"/>
      <c r="R650" s="25"/>
      <c r="S650" s="20"/>
      <c r="X650" s="19"/>
      <c r="Y650" s="20"/>
    </row>
    <row r="651" spans="16:25">
      <c r="P651" s="19"/>
      <c r="Q651" s="20"/>
      <c r="R651" s="25"/>
      <c r="S651" s="20"/>
      <c r="X651" s="19"/>
      <c r="Y651" s="20"/>
    </row>
    <row r="652" spans="16:25">
      <c r="P652" s="19"/>
      <c r="Q652" s="20"/>
      <c r="R652" s="25"/>
      <c r="S652" s="20"/>
      <c r="X652" s="19"/>
      <c r="Y652" s="20"/>
    </row>
    <row r="653" spans="16:25">
      <c r="P653" s="19"/>
      <c r="Q653" s="20"/>
      <c r="R653" s="25"/>
      <c r="S653" s="20"/>
      <c r="X653" s="19"/>
      <c r="Y653" s="20"/>
    </row>
    <row r="654" spans="16:25">
      <c r="P654" s="19"/>
      <c r="Q654" s="20"/>
      <c r="R654" s="25"/>
      <c r="S654" s="20"/>
      <c r="X654" s="19"/>
      <c r="Y654" s="20"/>
    </row>
    <row r="655" spans="16:25">
      <c r="P655" s="19"/>
      <c r="Q655" s="20"/>
      <c r="R655" s="25"/>
      <c r="S655" s="20"/>
      <c r="X655" s="19"/>
      <c r="Y655" s="20"/>
    </row>
    <row r="656" spans="16:25">
      <c r="P656" s="19"/>
      <c r="Q656" s="20"/>
      <c r="R656" s="25"/>
      <c r="S656" s="20"/>
      <c r="X656" s="19"/>
      <c r="Y656" s="20"/>
    </row>
    <row r="657" spans="16:25">
      <c r="P657" s="19"/>
      <c r="Q657" s="20"/>
      <c r="R657" s="25"/>
      <c r="S657" s="20"/>
      <c r="X657" s="19"/>
      <c r="Y657" s="20"/>
    </row>
    <row r="658" spans="16:25">
      <c r="P658" s="19"/>
      <c r="Q658" s="20"/>
      <c r="R658" s="25"/>
      <c r="S658" s="20"/>
      <c r="X658" s="19"/>
      <c r="Y658" s="20"/>
    </row>
    <row r="659" spans="16:25">
      <c r="P659" s="19"/>
      <c r="Q659" s="20"/>
      <c r="R659" s="25"/>
      <c r="S659" s="20"/>
      <c r="X659" s="19"/>
      <c r="Y659" s="20"/>
    </row>
    <row r="660" spans="16:25">
      <c r="P660" s="19"/>
      <c r="Q660" s="20"/>
      <c r="R660" s="25"/>
      <c r="S660" s="20"/>
      <c r="X660" s="19"/>
      <c r="Y660" s="20"/>
    </row>
    <row r="661" spans="16:25">
      <c r="P661" s="19"/>
      <c r="Q661" s="20"/>
      <c r="R661" s="25"/>
      <c r="S661" s="20"/>
      <c r="X661" s="19"/>
      <c r="Y661" s="20"/>
    </row>
    <row r="662" spans="16:25">
      <c r="P662" s="19"/>
      <c r="Q662" s="20"/>
      <c r="R662" s="25"/>
      <c r="S662" s="20"/>
      <c r="X662" s="19"/>
      <c r="Y662" s="20"/>
    </row>
    <row r="663" spans="16:25">
      <c r="P663" s="19"/>
      <c r="Q663" s="20"/>
      <c r="R663" s="25"/>
      <c r="S663" s="20"/>
      <c r="X663" s="19"/>
      <c r="Y663" s="20"/>
    </row>
    <row r="664" spans="16:25">
      <c r="P664" s="19"/>
      <c r="Q664" s="20"/>
      <c r="R664" s="25"/>
      <c r="S664" s="20"/>
      <c r="X664" s="19"/>
      <c r="Y664" s="20"/>
    </row>
    <row r="665" spans="16:25">
      <c r="P665" s="19"/>
      <c r="Q665" s="20"/>
      <c r="R665" s="25"/>
      <c r="S665" s="20"/>
      <c r="X665" s="19"/>
      <c r="Y665" s="20"/>
    </row>
    <row r="666" spans="16:25">
      <c r="P666" s="19"/>
      <c r="Q666" s="20"/>
      <c r="R666" s="25"/>
      <c r="S666" s="20"/>
      <c r="X666" s="19"/>
      <c r="Y666" s="20"/>
    </row>
    <row r="667" spans="16:25">
      <c r="P667" s="19"/>
      <c r="Q667" s="20"/>
      <c r="R667" s="25"/>
      <c r="S667" s="20"/>
      <c r="X667" s="19"/>
      <c r="Y667" s="20"/>
    </row>
    <row r="668" spans="16:25">
      <c r="P668" s="19"/>
      <c r="Q668" s="20"/>
      <c r="R668" s="25"/>
      <c r="S668" s="20"/>
      <c r="X668" s="19"/>
      <c r="Y668" s="20"/>
    </row>
    <row r="669" spans="16:25">
      <c r="P669" s="19"/>
      <c r="Q669" s="20"/>
      <c r="R669" s="25"/>
      <c r="S669" s="20"/>
      <c r="X669" s="19"/>
      <c r="Y669" s="20"/>
    </row>
    <row r="670" spans="16:25">
      <c r="P670" s="19"/>
      <c r="Q670" s="20"/>
      <c r="R670" s="25"/>
      <c r="S670" s="20"/>
      <c r="X670" s="19"/>
      <c r="Y670" s="20"/>
    </row>
    <row r="671" spans="16:25">
      <c r="P671" s="19"/>
      <c r="Q671" s="20"/>
      <c r="R671" s="25"/>
      <c r="S671" s="20"/>
      <c r="X671" s="19"/>
      <c r="Y671" s="20"/>
    </row>
    <row r="672" spans="16:25">
      <c r="P672" s="19"/>
      <c r="Q672" s="20"/>
      <c r="R672" s="25"/>
      <c r="S672" s="20"/>
      <c r="X672" s="19"/>
      <c r="Y672" s="20"/>
    </row>
    <row r="673" spans="16:25">
      <c r="P673" s="19"/>
      <c r="Q673" s="20"/>
      <c r="R673" s="25"/>
      <c r="S673" s="20"/>
      <c r="X673" s="19"/>
      <c r="Y673" s="20"/>
    </row>
    <row r="674" spans="16:25">
      <c r="P674" s="19"/>
      <c r="Q674" s="20"/>
      <c r="R674" s="25"/>
      <c r="S674" s="20"/>
      <c r="X674" s="19"/>
      <c r="Y674" s="20"/>
    </row>
    <row r="675" spans="16:25">
      <c r="P675" s="19"/>
      <c r="Q675" s="20"/>
      <c r="R675" s="25"/>
      <c r="S675" s="20"/>
      <c r="X675" s="19"/>
      <c r="Y675" s="20"/>
    </row>
    <row r="676" spans="16:25">
      <c r="P676" s="19"/>
      <c r="Q676" s="20"/>
      <c r="R676" s="25"/>
      <c r="S676" s="20"/>
      <c r="X676" s="19"/>
      <c r="Y676" s="20"/>
    </row>
    <row r="677" spans="16:25">
      <c r="P677" s="19"/>
      <c r="Q677" s="20"/>
      <c r="R677" s="25"/>
      <c r="S677" s="20"/>
      <c r="X677" s="19"/>
      <c r="Y677" s="20"/>
    </row>
    <row r="678" spans="16:25">
      <c r="P678" s="19"/>
      <c r="Q678" s="20"/>
      <c r="R678" s="25"/>
      <c r="S678" s="20"/>
      <c r="X678" s="19"/>
      <c r="Y678" s="20"/>
    </row>
    <row r="679" spans="16:25">
      <c r="P679" s="19"/>
      <c r="Q679" s="20"/>
      <c r="R679" s="25"/>
      <c r="S679" s="20"/>
      <c r="X679" s="19"/>
      <c r="Y679" s="20"/>
    </row>
    <row r="680" spans="16:25">
      <c r="P680" s="19"/>
      <c r="Q680" s="20"/>
      <c r="R680" s="25"/>
      <c r="S680" s="20"/>
      <c r="X680" s="19"/>
      <c r="Y680" s="20"/>
    </row>
    <row r="681" spans="16:25">
      <c r="P681" s="19"/>
      <c r="Q681" s="20"/>
      <c r="R681" s="25"/>
      <c r="S681" s="20"/>
      <c r="X681" s="19"/>
      <c r="Y681" s="20"/>
    </row>
    <row r="682" spans="16:25">
      <c r="P682" s="19"/>
      <c r="Q682" s="20"/>
      <c r="R682" s="25"/>
      <c r="S682" s="20"/>
      <c r="X682" s="19"/>
      <c r="Y682" s="20"/>
    </row>
    <row r="683" spans="16:25">
      <c r="P683" s="19"/>
      <c r="Q683" s="20"/>
      <c r="R683" s="25"/>
      <c r="S683" s="20"/>
      <c r="X683" s="19"/>
      <c r="Y683" s="20"/>
    </row>
    <row r="684" spans="16:25">
      <c r="P684" s="19"/>
      <c r="Q684" s="20"/>
      <c r="R684" s="25"/>
      <c r="S684" s="20"/>
      <c r="X684" s="19"/>
      <c r="Y684" s="20"/>
    </row>
    <row r="685" spans="16:25">
      <c r="P685" s="19"/>
      <c r="Q685" s="20"/>
      <c r="R685" s="25"/>
      <c r="S685" s="20"/>
      <c r="X685" s="19"/>
      <c r="Y685" s="20"/>
    </row>
    <row r="686" spans="16:25">
      <c r="P686" s="19"/>
      <c r="Q686" s="20"/>
      <c r="R686" s="25"/>
      <c r="S686" s="20"/>
      <c r="X686" s="19"/>
      <c r="Y686" s="20"/>
    </row>
    <row r="687" spans="16:25">
      <c r="P687" s="19"/>
      <c r="Q687" s="20"/>
      <c r="R687" s="25"/>
      <c r="S687" s="20"/>
      <c r="X687" s="19"/>
      <c r="Y687" s="20"/>
    </row>
    <row r="688" spans="16:25">
      <c r="P688" s="19"/>
      <c r="Q688" s="20"/>
      <c r="R688" s="25"/>
      <c r="S688" s="20"/>
      <c r="X688" s="19"/>
      <c r="Y688" s="20"/>
    </row>
    <row r="689" spans="16:25">
      <c r="P689" s="19"/>
      <c r="Q689" s="20"/>
      <c r="R689" s="25"/>
      <c r="S689" s="20"/>
      <c r="X689" s="19"/>
      <c r="Y689" s="20"/>
    </row>
    <row r="690" spans="16:25">
      <c r="P690" s="19"/>
      <c r="Q690" s="20"/>
      <c r="R690" s="25"/>
      <c r="S690" s="20"/>
      <c r="X690" s="19"/>
      <c r="Y690" s="20"/>
    </row>
    <row r="691" spans="16:25">
      <c r="P691" s="19"/>
      <c r="Q691" s="20"/>
      <c r="R691" s="25"/>
      <c r="S691" s="20"/>
      <c r="X691" s="19"/>
      <c r="Y691" s="20"/>
    </row>
    <row r="692" spans="16:25">
      <c r="P692" s="19"/>
      <c r="Q692" s="20"/>
      <c r="R692" s="25"/>
      <c r="S692" s="20"/>
      <c r="X692" s="19"/>
      <c r="Y692" s="20"/>
    </row>
    <row r="693" spans="16:25">
      <c r="P693" s="19"/>
      <c r="Q693" s="20"/>
      <c r="R693" s="25"/>
      <c r="S693" s="20"/>
      <c r="X693" s="19"/>
      <c r="Y693" s="20"/>
    </row>
    <row r="694" spans="16:25">
      <c r="P694" s="19"/>
      <c r="Q694" s="20"/>
      <c r="R694" s="25"/>
      <c r="S694" s="20"/>
      <c r="X694" s="19"/>
      <c r="Y694" s="20"/>
    </row>
    <row r="695" spans="16:25">
      <c r="P695" s="19"/>
      <c r="Q695" s="20"/>
      <c r="R695" s="25"/>
      <c r="S695" s="20"/>
      <c r="X695" s="19"/>
      <c r="Y695" s="20"/>
    </row>
    <row r="696" spans="16:25">
      <c r="P696" s="19"/>
      <c r="Q696" s="20"/>
      <c r="R696" s="25"/>
      <c r="S696" s="20"/>
      <c r="X696" s="19"/>
      <c r="Y696" s="20"/>
    </row>
    <row r="697" spans="16:25">
      <c r="P697" s="19"/>
      <c r="Q697" s="20"/>
      <c r="R697" s="25"/>
      <c r="S697" s="20"/>
      <c r="X697" s="19"/>
      <c r="Y697" s="20"/>
    </row>
    <row r="698" spans="16:25">
      <c r="P698" s="19"/>
      <c r="Q698" s="20"/>
      <c r="R698" s="25"/>
      <c r="S698" s="20"/>
      <c r="X698" s="19"/>
      <c r="Y698" s="20"/>
    </row>
    <row r="699" spans="16:25">
      <c r="P699" s="19"/>
      <c r="Q699" s="20"/>
      <c r="R699" s="25"/>
      <c r="S699" s="20"/>
      <c r="X699" s="19"/>
      <c r="Y699" s="20"/>
    </row>
    <row r="700" spans="16:25">
      <c r="P700" s="19"/>
      <c r="Q700" s="20"/>
      <c r="R700" s="25"/>
      <c r="S700" s="20"/>
      <c r="X700" s="19"/>
      <c r="Y700" s="20"/>
    </row>
    <row r="701" spans="16:25">
      <c r="P701" s="19"/>
      <c r="Q701" s="20"/>
      <c r="R701" s="25"/>
      <c r="S701" s="20"/>
      <c r="X701" s="19"/>
      <c r="Y701" s="20"/>
    </row>
    <row r="702" spans="16:25">
      <c r="P702" s="19"/>
      <c r="Q702" s="20"/>
      <c r="R702" s="25"/>
      <c r="S702" s="20"/>
      <c r="X702" s="19"/>
      <c r="Y702" s="20"/>
    </row>
    <row r="703" spans="16:25">
      <c r="P703" s="19"/>
      <c r="Q703" s="20"/>
      <c r="R703" s="25"/>
      <c r="S703" s="20"/>
      <c r="X703" s="19"/>
      <c r="Y703" s="20"/>
    </row>
    <row r="704" spans="16:25">
      <c r="P704" s="19"/>
      <c r="Q704" s="20"/>
      <c r="R704" s="25"/>
      <c r="S704" s="20"/>
      <c r="X704" s="19"/>
      <c r="Y704" s="20"/>
    </row>
    <row r="705" spans="16:25">
      <c r="P705" s="19"/>
      <c r="Q705" s="20"/>
      <c r="R705" s="25"/>
      <c r="S705" s="20"/>
      <c r="X705" s="19"/>
      <c r="Y705" s="20"/>
    </row>
    <row r="706" spans="16:25">
      <c r="P706" s="19"/>
      <c r="Q706" s="20"/>
      <c r="R706" s="25"/>
      <c r="S706" s="20"/>
      <c r="X706" s="19"/>
      <c r="Y706" s="20"/>
    </row>
    <row r="707" spans="16:25">
      <c r="P707" s="19"/>
      <c r="Q707" s="20"/>
      <c r="R707" s="25"/>
      <c r="S707" s="20"/>
      <c r="X707" s="19"/>
      <c r="Y707" s="20"/>
    </row>
    <row r="708" spans="16:25">
      <c r="P708" s="19"/>
      <c r="Q708" s="20"/>
      <c r="R708" s="25"/>
      <c r="S708" s="20"/>
      <c r="X708" s="19"/>
      <c r="Y708" s="20"/>
    </row>
    <row r="709" spans="16:25">
      <c r="P709" s="19"/>
      <c r="Q709" s="20"/>
      <c r="R709" s="25"/>
      <c r="S709" s="20"/>
      <c r="X709" s="19"/>
      <c r="Y709" s="20"/>
    </row>
    <row r="710" spans="16:25">
      <c r="P710" s="19"/>
      <c r="Q710" s="20"/>
      <c r="R710" s="25"/>
      <c r="S710" s="20"/>
      <c r="X710" s="19"/>
      <c r="Y710" s="20"/>
    </row>
    <row r="711" spans="16:25">
      <c r="P711" s="19"/>
      <c r="Q711" s="20"/>
      <c r="R711" s="25"/>
      <c r="S711" s="20"/>
      <c r="X711" s="19"/>
      <c r="Y711" s="20"/>
    </row>
    <row r="712" spans="16:25">
      <c r="P712" s="19"/>
      <c r="Q712" s="20"/>
      <c r="R712" s="25"/>
      <c r="S712" s="20"/>
      <c r="X712" s="19"/>
      <c r="Y712" s="20"/>
    </row>
    <row r="713" spans="16:25">
      <c r="P713" s="19"/>
      <c r="Q713" s="20"/>
      <c r="R713" s="25"/>
      <c r="S713" s="20"/>
      <c r="X713" s="19"/>
      <c r="Y713" s="20"/>
    </row>
    <row r="714" spans="16:25">
      <c r="P714" s="19"/>
      <c r="Q714" s="20"/>
      <c r="R714" s="25"/>
      <c r="S714" s="20"/>
      <c r="X714" s="19"/>
      <c r="Y714" s="20"/>
    </row>
    <row r="715" spans="16:25">
      <c r="P715" s="19"/>
      <c r="Q715" s="20"/>
      <c r="R715" s="25"/>
      <c r="S715" s="20"/>
      <c r="X715" s="19"/>
      <c r="Y715" s="20"/>
    </row>
    <row r="716" spans="16:25">
      <c r="P716" s="19"/>
      <c r="Q716" s="20"/>
      <c r="R716" s="25"/>
      <c r="S716" s="20"/>
      <c r="X716" s="19"/>
      <c r="Y716" s="20"/>
    </row>
    <row r="717" spans="16:25">
      <c r="P717" s="19"/>
      <c r="Q717" s="20"/>
      <c r="R717" s="25"/>
      <c r="S717" s="20"/>
      <c r="X717" s="19"/>
      <c r="Y717" s="20"/>
    </row>
    <row r="718" spans="16:25">
      <c r="P718" s="19"/>
      <c r="Q718" s="20"/>
      <c r="R718" s="25"/>
      <c r="S718" s="20"/>
      <c r="X718" s="19"/>
      <c r="Y718" s="20"/>
    </row>
    <row r="719" spans="16:25">
      <c r="P719" s="19"/>
      <c r="Q719" s="20"/>
      <c r="R719" s="25"/>
      <c r="S719" s="20"/>
      <c r="X719" s="19"/>
      <c r="Y719" s="20"/>
    </row>
    <row r="720" spans="16:25">
      <c r="P720" s="19"/>
      <c r="Q720" s="20"/>
      <c r="R720" s="25"/>
      <c r="S720" s="20"/>
      <c r="X720" s="19"/>
      <c r="Y720" s="20"/>
    </row>
    <row r="721" spans="16:25">
      <c r="P721" s="19"/>
      <c r="Q721" s="20"/>
      <c r="R721" s="25"/>
      <c r="S721" s="20"/>
      <c r="X721" s="19"/>
      <c r="Y721" s="20"/>
    </row>
    <row r="722" spans="16:25">
      <c r="P722" s="19"/>
      <c r="Q722" s="20"/>
      <c r="R722" s="25"/>
      <c r="S722" s="20"/>
      <c r="X722" s="19"/>
      <c r="Y722" s="20"/>
    </row>
    <row r="723" spans="16:25">
      <c r="P723" s="19"/>
      <c r="Q723" s="20"/>
      <c r="R723" s="25"/>
      <c r="S723" s="20"/>
      <c r="X723" s="19"/>
      <c r="Y723" s="20"/>
    </row>
    <row r="724" spans="16:25">
      <c r="P724" s="19"/>
      <c r="Q724" s="20"/>
      <c r="R724" s="25"/>
      <c r="S724" s="20"/>
      <c r="X724" s="19"/>
      <c r="Y724" s="20"/>
    </row>
    <row r="725" spans="16:25">
      <c r="P725" s="19"/>
      <c r="Q725" s="20"/>
      <c r="R725" s="25"/>
      <c r="S725" s="20"/>
      <c r="X725" s="19"/>
      <c r="Y725" s="20"/>
    </row>
    <row r="726" spans="16:25">
      <c r="P726" s="19"/>
      <c r="Q726" s="20"/>
      <c r="R726" s="25"/>
      <c r="S726" s="20"/>
      <c r="X726" s="19"/>
      <c r="Y726" s="20"/>
    </row>
    <row r="727" spans="16:25">
      <c r="P727" s="19"/>
      <c r="Q727" s="20"/>
      <c r="R727" s="25"/>
      <c r="S727" s="20"/>
      <c r="X727" s="19"/>
      <c r="Y727" s="20"/>
    </row>
    <row r="728" spans="16:25">
      <c r="P728" s="19"/>
      <c r="Q728" s="20"/>
      <c r="R728" s="25"/>
      <c r="S728" s="20"/>
      <c r="X728" s="19"/>
      <c r="Y728" s="20"/>
    </row>
    <row r="729" spans="16:25">
      <c r="P729" s="19"/>
      <c r="Q729" s="20"/>
      <c r="R729" s="25"/>
      <c r="S729" s="20"/>
      <c r="X729" s="19"/>
      <c r="Y729" s="20"/>
    </row>
    <row r="730" spans="16:25">
      <c r="P730" s="19"/>
      <c r="Q730" s="20"/>
      <c r="R730" s="25"/>
      <c r="S730" s="20"/>
      <c r="X730" s="19"/>
      <c r="Y730" s="20"/>
    </row>
    <row r="731" spans="16:25">
      <c r="P731" s="19"/>
      <c r="Q731" s="20"/>
      <c r="R731" s="25"/>
      <c r="S731" s="20"/>
      <c r="X731" s="19"/>
      <c r="Y731" s="20"/>
    </row>
    <row r="732" spans="16:25">
      <c r="P732" s="19"/>
      <c r="Q732" s="20"/>
      <c r="R732" s="25"/>
      <c r="S732" s="20"/>
      <c r="X732" s="19"/>
      <c r="Y732" s="20"/>
    </row>
    <row r="733" spans="16:25">
      <c r="P733" s="19"/>
      <c r="Q733" s="20"/>
      <c r="R733" s="25"/>
      <c r="S733" s="20"/>
      <c r="X733" s="19"/>
      <c r="Y733" s="20"/>
    </row>
    <row r="734" spans="16:25">
      <c r="P734" s="19"/>
      <c r="Q734" s="20"/>
      <c r="R734" s="25"/>
      <c r="S734" s="20"/>
      <c r="X734" s="19"/>
      <c r="Y734" s="20"/>
    </row>
    <row r="735" spans="16:25">
      <c r="P735" s="19"/>
      <c r="Q735" s="20"/>
      <c r="R735" s="25"/>
      <c r="S735" s="20"/>
      <c r="X735" s="19"/>
      <c r="Y735" s="20"/>
    </row>
    <row r="736" spans="16:25">
      <c r="P736" s="19"/>
      <c r="Q736" s="20"/>
      <c r="R736" s="25"/>
      <c r="S736" s="20"/>
      <c r="X736" s="19"/>
      <c r="Y736" s="20"/>
    </row>
    <row r="737" spans="16:25">
      <c r="P737" s="19"/>
      <c r="Q737" s="20"/>
      <c r="R737" s="25"/>
      <c r="S737" s="20"/>
      <c r="X737" s="19"/>
      <c r="Y737" s="20"/>
    </row>
    <row r="738" spans="16:25">
      <c r="P738" s="19"/>
      <c r="Q738" s="20"/>
      <c r="R738" s="25"/>
      <c r="S738" s="20"/>
      <c r="X738" s="19"/>
      <c r="Y738" s="20"/>
    </row>
    <row r="739" spans="16:25">
      <c r="P739" s="19"/>
      <c r="Q739" s="20"/>
      <c r="R739" s="25"/>
      <c r="S739" s="20"/>
      <c r="X739" s="19"/>
      <c r="Y739" s="20"/>
    </row>
    <row r="740" spans="16:25">
      <c r="P740" s="19"/>
      <c r="Q740" s="20"/>
      <c r="R740" s="25"/>
      <c r="S740" s="20"/>
      <c r="X740" s="19"/>
      <c r="Y740" s="20"/>
    </row>
    <row r="741" spans="16:25">
      <c r="P741" s="19"/>
      <c r="Q741" s="20"/>
      <c r="R741" s="25"/>
      <c r="S741" s="20"/>
      <c r="X741" s="19"/>
      <c r="Y741" s="20"/>
    </row>
    <row r="742" spans="16:25">
      <c r="P742" s="19"/>
      <c r="Q742" s="20"/>
      <c r="R742" s="25"/>
      <c r="S742" s="20"/>
      <c r="X742" s="19"/>
      <c r="Y742" s="20"/>
    </row>
    <row r="743" spans="16:25">
      <c r="P743" s="19"/>
      <c r="Q743" s="20"/>
      <c r="R743" s="25"/>
      <c r="S743" s="20"/>
      <c r="X743" s="19"/>
      <c r="Y743" s="20"/>
    </row>
    <row r="744" spans="16:25">
      <c r="P744" s="19"/>
      <c r="Q744" s="20"/>
      <c r="R744" s="25"/>
      <c r="S744" s="20"/>
      <c r="X744" s="19"/>
      <c r="Y744" s="20"/>
    </row>
    <row r="745" spans="16:25">
      <c r="P745" s="19"/>
      <c r="Q745" s="20"/>
      <c r="R745" s="25"/>
      <c r="S745" s="20"/>
      <c r="X745" s="19"/>
      <c r="Y745" s="20"/>
    </row>
    <row r="746" spans="16:25">
      <c r="P746" s="19"/>
      <c r="Q746" s="20"/>
      <c r="R746" s="25"/>
      <c r="S746" s="20"/>
      <c r="X746" s="19"/>
      <c r="Y746" s="20"/>
    </row>
    <row r="747" spans="16:25">
      <c r="P747" s="19"/>
      <c r="Q747" s="20"/>
      <c r="R747" s="25"/>
      <c r="S747" s="20"/>
      <c r="X747" s="19"/>
      <c r="Y747" s="20"/>
    </row>
    <row r="748" spans="16:25">
      <c r="P748" s="19"/>
      <c r="Q748" s="20"/>
      <c r="R748" s="25"/>
      <c r="S748" s="20"/>
      <c r="X748" s="19"/>
      <c r="Y748" s="20"/>
    </row>
    <row r="749" spans="16:25">
      <c r="P749" s="19"/>
      <c r="Q749" s="20"/>
      <c r="R749" s="25"/>
      <c r="S749" s="20"/>
      <c r="X749" s="19"/>
      <c r="Y749" s="20"/>
    </row>
    <row r="750" spans="16:25">
      <c r="P750" s="19"/>
      <c r="Q750" s="20"/>
      <c r="R750" s="25"/>
      <c r="S750" s="20"/>
      <c r="X750" s="19"/>
      <c r="Y750" s="20"/>
    </row>
    <row r="751" spans="16:25">
      <c r="P751" s="19"/>
      <c r="Q751" s="20"/>
      <c r="R751" s="25"/>
      <c r="S751" s="20"/>
      <c r="X751" s="19"/>
      <c r="Y751" s="20"/>
    </row>
    <row r="752" spans="16:25">
      <c r="P752" s="19"/>
      <c r="Q752" s="20"/>
      <c r="R752" s="25"/>
      <c r="S752" s="20"/>
      <c r="X752" s="19"/>
      <c r="Y752" s="20"/>
    </row>
    <row r="753" spans="16:25">
      <c r="P753" s="19"/>
      <c r="Q753" s="20"/>
      <c r="R753" s="25"/>
      <c r="S753" s="20"/>
      <c r="X753" s="19"/>
      <c r="Y753" s="20"/>
    </row>
    <row r="754" spans="16:25">
      <c r="P754" s="19"/>
      <c r="Q754" s="20"/>
      <c r="R754" s="25"/>
      <c r="S754" s="20"/>
      <c r="X754" s="19"/>
      <c r="Y754" s="20"/>
    </row>
    <row r="755" spans="16:25">
      <c r="P755" s="19"/>
      <c r="Q755" s="20"/>
      <c r="R755" s="25"/>
      <c r="S755" s="20"/>
      <c r="X755" s="19"/>
      <c r="Y755" s="20"/>
    </row>
    <row r="756" spans="16:25">
      <c r="P756" s="19"/>
      <c r="Q756" s="20"/>
      <c r="R756" s="25"/>
      <c r="S756" s="20"/>
      <c r="X756" s="19"/>
      <c r="Y756" s="20"/>
    </row>
    <row r="757" spans="16:25">
      <c r="P757" s="19"/>
      <c r="Q757" s="20"/>
      <c r="R757" s="25"/>
      <c r="S757" s="20"/>
      <c r="X757" s="19"/>
      <c r="Y757" s="20"/>
    </row>
    <row r="758" spans="16:25">
      <c r="P758" s="19"/>
      <c r="Q758" s="20"/>
      <c r="R758" s="25"/>
      <c r="S758" s="20"/>
      <c r="X758" s="19"/>
      <c r="Y758" s="20"/>
    </row>
    <row r="759" spans="16:25">
      <c r="P759" s="19"/>
      <c r="Q759" s="20"/>
      <c r="R759" s="25"/>
      <c r="S759" s="20"/>
      <c r="X759" s="19"/>
      <c r="Y759" s="20"/>
    </row>
    <row r="760" spans="16:25">
      <c r="P760" s="19"/>
      <c r="Q760" s="20"/>
      <c r="R760" s="25"/>
      <c r="S760" s="20"/>
      <c r="X760" s="19"/>
      <c r="Y760" s="20"/>
    </row>
    <row r="761" spans="16:25">
      <c r="P761" s="19"/>
      <c r="Q761" s="20"/>
      <c r="R761" s="25"/>
      <c r="S761" s="20"/>
      <c r="X761" s="19"/>
      <c r="Y761" s="20"/>
    </row>
    <row r="762" spans="16:25">
      <c r="P762" s="19"/>
      <c r="Q762" s="20"/>
      <c r="R762" s="25"/>
      <c r="S762" s="20"/>
      <c r="X762" s="19"/>
      <c r="Y762" s="20"/>
    </row>
    <row r="763" spans="16:25">
      <c r="P763" s="19"/>
      <c r="Q763" s="20"/>
      <c r="R763" s="25"/>
      <c r="S763" s="20"/>
      <c r="X763" s="19"/>
      <c r="Y763" s="20"/>
    </row>
    <row r="764" spans="16:25">
      <c r="P764" s="19"/>
      <c r="Q764" s="20"/>
      <c r="R764" s="25"/>
      <c r="S764" s="20"/>
      <c r="X764" s="19"/>
      <c r="Y764" s="20"/>
    </row>
    <row r="765" spans="16:25">
      <c r="P765" s="19"/>
      <c r="Q765" s="20"/>
      <c r="R765" s="25"/>
      <c r="S765" s="20"/>
      <c r="X765" s="19"/>
      <c r="Y765" s="20"/>
    </row>
    <row r="766" spans="16:25">
      <c r="P766" s="19"/>
      <c r="Q766" s="20"/>
      <c r="R766" s="25"/>
      <c r="S766" s="20"/>
      <c r="X766" s="19"/>
      <c r="Y766" s="20"/>
    </row>
    <row r="767" spans="16:25">
      <c r="P767" s="19"/>
      <c r="Q767" s="20"/>
      <c r="R767" s="25"/>
      <c r="S767" s="20"/>
      <c r="X767" s="19"/>
      <c r="Y767" s="20"/>
    </row>
    <row r="768" spans="16:25">
      <c r="P768" s="19"/>
      <c r="Q768" s="20"/>
      <c r="R768" s="25"/>
      <c r="S768" s="20"/>
      <c r="X768" s="19"/>
      <c r="Y768" s="20"/>
    </row>
    <row r="769" spans="16:25">
      <c r="P769" s="19"/>
      <c r="Q769" s="20"/>
      <c r="R769" s="25"/>
      <c r="S769" s="20"/>
      <c r="X769" s="19"/>
      <c r="Y769" s="20"/>
    </row>
    <row r="770" spans="16:25">
      <c r="P770" s="19"/>
      <c r="Q770" s="20"/>
      <c r="R770" s="25"/>
      <c r="S770" s="20"/>
      <c r="X770" s="19"/>
      <c r="Y770" s="20"/>
    </row>
    <row r="771" spans="16:25">
      <c r="P771" s="19"/>
      <c r="Q771" s="20"/>
      <c r="R771" s="25"/>
      <c r="S771" s="20"/>
      <c r="X771" s="19"/>
      <c r="Y771" s="20"/>
    </row>
    <row r="772" spans="16:25">
      <c r="P772" s="19"/>
      <c r="Q772" s="20"/>
      <c r="R772" s="25"/>
      <c r="S772" s="20"/>
      <c r="X772" s="19"/>
      <c r="Y772" s="20"/>
    </row>
    <row r="773" spans="16:25">
      <c r="P773" s="19"/>
      <c r="Q773" s="20"/>
      <c r="R773" s="25"/>
      <c r="S773" s="20"/>
      <c r="X773" s="19"/>
      <c r="Y773" s="20"/>
    </row>
    <row r="774" spans="16:25">
      <c r="P774" s="19"/>
      <c r="Q774" s="20"/>
      <c r="R774" s="25"/>
      <c r="S774" s="20"/>
      <c r="X774" s="19"/>
      <c r="Y774" s="20"/>
    </row>
    <row r="775" spans="16:25">
      <c r="P775" s="19"/>
      <c r="Q775" s="20"/>
      <c r="R775" s="25"/>
      <c r="S775" s="20"/>
      <c r="X775" s="19"/>
      <c r="Y775" s="20"/>
    </row>
    <row r="776" spans="16:25">
      <c r="P776" s="19"/>
      <c r="Q776" s="20"/>
      <c r="R776" s="25"/>
      <c r="S776" s="20"/>
      <c r="X776" s="19"/>
      <c r="Y776" s="20"/>
    </row>
    <row r="777" spans="16:25">
      <c r="P777" s="19"/>
      <c r="Q777" s="20"/>
      <c r="R777" s="25"/>
      <c r="S777" s="20"/>
      <c r="X777" s="19"/>
      <c r="Y777" s="20"/>
    </row>
    <row r="778" spans="16:25">
      <c r="P778" s="19"/>
      <c r="Q778" s="20"/>
      <c r="R778" s="25"/>
      <c r="S778" s="20"/>
      <c r="X778" s="19"/>
      <c r="Y778" s="20"/>
    </row>
    <row r="779" spans="16:25">
      <c r="P779" s="19"/>
      <c r="Q779" s="20"/>
      <c r="R779" s="25"/>
      <c r="S779" s="20"/>
      <c r="X779" s="19"/>
      <c r="Y779" s="20"/>
    </row>
    <row r="780" spans="16:25">
      <c r="P780" s="19"/>
      <c r="Q780" s="20"/>
      <c r="R780" s="25"/>
      <c r="S780" s="20"/>
      <c r="X780" s="19"/>
      <c r="Y780" s="20"/>
    </row>
    <row r="781" spans="16:25">
      <c r="P781" s="19"/>
      <c r="Q781" s="20"/>
      <c r="R781" s="25"/>
      <c r="S781" s="20"/>
      <c r="X781" s="19"/>
      <c r="Y781" s="20"/>
    </row>
    <row r="782" spans="16:25">
      <c r="P782" s="19"/>
      <c r="Q782" s="20"/>
      <c r="R782" s="25"/>
      <c r="S782" s="20"/>
      <c r="X782" s="19"/>
      <c r="Y782" s="20"/>
    </row>
    <row r="783" spans="16:25">
      <c r="P783" s="19"/>
      <c r="Q783" s="20"/>
      <c r="R783" s="25"/>
      <c r="S783" s="20"/>
      <c r="X783" s="19"/>
      <c r="Y783" s="20"/>
    </row>
    <row r="784" spans="16:25">
      <c r="P784" s="19"/>
      <c r="Q784" s="20"/>
      <c r="R784" s="25"/>
      <c r="S784" s="20"/>
      <c r="X784" s="19"/>
      <c r="Y784" s="20"/>
    </row>
    <row r="785" spans="16:25">
      <c r="P785" s="19"/>
      <c r="Q785" s="20"/>
      <c r="R785" s="25"/>
      <c r="S785" s="20"/>
      <c r="X785" s="19"/>
      <c r="Y785" s="20"/>
    </row>
    <row r="786" spans="16:25">
      <c r="P786" s="19"/>
      <c r="Q786" s="20"/>
      <c r="R786" s="25"/>
      <c r="S786" s="20"/>
      <c r="X786" s="19"/>
      <c r="Y786" s="20"/>
    </row>
    <row r="787" spans="16:25">
      <c r="P787" s="19"/>
      <c r="Q787" s="20"/>
      <c r="R787" s="25"/>
      <c r="S787" s="20"/>
      <c r="X787" s="19"/>
      <c r="Y787" s="20"/>
    </row>
    <row r="788" spans="16:25">
      <c r="P788" s="19"/>
      <c r="Q788" s="20"/>
      <c r="R788" s="25"/>
      <c r="S788" s="20"/>
      <c r="X788" s="19"/>
      <c r="Y788" s="20"/>
    </row>
    <row r="789" spans="16:25">
      <c r="P789" s="19"/>
      <c r="Q789" s="20"/>
      <c r="R789" s="25"/>
      <c r="S789" s="20"/>
      <c r="X789" s="19"/>
      <c r="Y789" s="20"/>
    </row>
    <row r="790" spans="16:25">
      <c r="P790" s="19"/>
      <c r="Q790" s="20"/>
      <c r="R790" s="25"/>
      <c r="S790" s="20"/>
      <c r="X790" s="19"/>
      <c r="Y790" s="20"/>
    </row>
    <row r="791" spans="16:25">
      <c r="P791" s="19"/>
      <c r="Q791" s="20"/>
      <c r="R791" s="25"/>
      <c r="S791" s="20"/>
      <c r="X791" s="19"/>
      <c r="Y791" s="20"/>
    </row>
    <row r="792" spans="16:25">
      <c r="P792" s="19"/>
      <c r="Q792" s="20"/>
      <c r="R792" s="25"/>
      <c r="S792" s="20"/>
      <c r="X792" s="19"/>
      <c r="Y792" s="20"/>
    </row>
    <row r="793" spans="16:25">
      <c r="P793" s="19"/>
      <c r="Q793" s="20"/>
      <c r="R793" s="25"/>
      <c r="S793" s="20"/>
      <c r="X793" s="19"/>
      <c r="Y793" s="20"/>
    </row>
    <row r="794" spans="16:25">
      <c r="P794" s="19"/>
      <c r="Q794" s="20"/>
      <c r="R794" s="25"/>
      <c r="S794" s="20"/>
      <c r="X794" s="19"/>
      <c r="Y794" s="20"/>
    </row>
    <row r="795" spans="16:25">
      <c r="P795" s="19"/>
      <c r="Q795" s="20"/>
      <c r="R795" s="25"/>
      <c r="S795" s="20"/>
      <c r="X795" s="19"/>
      <c r="Y795" s="20"/>
    </row>
    <row r="796" spans="16:25">
      <c r="P796" s="19"/>
      <c r="Q796" s="20"/>
      <c r="R796" s="25"/>
      <c r="S796" s="20"/>
      <c r="X796" s="19"/>
      <c r="Y796" s="20"/>
    </row>
    <row r="797" spans="16:25">
      <c r="P797" s="19"/>
      <c r="Q797" s="20"/>
      <c r="R797" s="25"/>
      <c r="S797" s="20"/>
      <c r="X797" s="19"/>
      <c r="Y797" s="20"/>
    </row>
    <row r="798" spans="16:25">
      <c r="P798" s="19"/>
      <c r="Q798" s="20"/>
      <c r="R798" s="25"/>
      <c r="S798" s="20"/>
      <c r="X798" s="19"/>
      <c r="Y798" s="20"/>
    </row>
    <row r="799" spans="16:25">
      <c r="P799" s="19"/>
      <c r="Q799" s="20"/>
      <c r="R799" s="25"/>
      <c r="S799" s="20"/>
      <c r="X799" s="19"/>
      <c r="Y799" s="20"/>
    </row>
    <row r="800" spans="16:25">
      <c r="P800" s="19"/>
      <c r="Q800" s="20"/>
      <c r="R800" s="25"/>
      <c r="S800" s="20"/>
      <c r="X800" s="19"/>
      <c r="Y800" s="20"/>
    </row>
    <row r="801" spans="16:25">
      <c r="P801" s="19"/>
      <c r="Q801" s="20"/>
      <c r="R801" s="25"/>
      <c r="S801" s="20"/>
      <c r="X801" s="19"/>
      <c r="Y801" s="20"/>
    </row>
    <row r="802" spans="16:25">
      <c r="P802" s="19"/>
      <c r="Q802" s="20"/>
      <c r="R802" s="25"/>
      <c r="S802" s="20"/>
      <c r="X802" s="19"/>
      <c r="Y802" s="20"/>
    </row>
    <row r="803" spans="16:25">
      <c r="P803" s="19"/>
      <c r="Q803" s="20"/>
      <c r="R803" s="25"/>
      <c r="S803" s="20"/>
      <c r="X803" s="19"/>
      <c r="Y803" s="20"/>
    </row>
    <row r="804" spans="16:25">
      <c r="P804" s="19"/>
      <c r="Q804" s="20"/>
      <c r="R804" s="25"/>
      <c r="S804" s="20"/>
      <c r="X804" s="19"/>
      <c r="Y804" s="20"/>
    </row>
    <row r="805" spans="16:25">
      <c r="P805" s="19"/>
      <c r="Q805" s="20"/>
      <c r="R805" s="25"/>
      <c r="S805" s="20"/>
      <c r="X805" s="19"/>
      <c r="Y805" s="20"/>
    </row>
    <row r="806" spans="16:25">
      <c r="P806" s="19"/>
      <c r="Q806" s="20"/>
      <c r="R806" s="25"/>
      <c r="S806" s="20"/>
      <c r="X806" s="19"/>
      <c r="Y806" s="20"/>
    </row>
    <row r="807" spans="16:25">
      <c r="P807" s="19"/>
      <c r="Q807" s="20"/>
      <c r="R807" s="25"/>
      <c r="S807" s="20"/>
      <c r="X807" s="19"/>
      <c r="Y807" s="20"/>
    </row>
    <row r="808" spans="16:25">
      <c r="P808" s="19"/>
      <c r="Q808" s="20"/>
      <c r="R808" s="25"/>
      <c r="S808" s="20"/>
      <c r="X808" s="19"/>
      <c r="Y808" s="20"/>
    </row>
    <row r="809" spans="16:25">
      <c r="P809" s="19"/>
      <c r="Q809" s="20"/>
      <c r="R809" s="25"/>
      <c r="S809" s="20"/>
      <c r="X809" s="19"/>
      <c r="Y809" s="20"/>
    </row>
    <row r="810" spans="16:25">
      <c r="P810" s="19"/>
      <c r="Q810" s="20"/>
      <c r="R810" s="25"/>
      <c r="S810" s="20"/>
      <c r="X810" s="19"/>
      <c r="Y810" s="20"/>
    </row>
    <row r="811" spans="16:25">
      <c r="P811" s="19"/>
      <c r="Q811" s="20"/>
      <c r="R811" s="25"/>
      <c r="S811" s="20"/>
      <c r="X811" s="19"/>
      <c r="Y811" s="20"/>
    </row>
    <row r="812" spans="16:25">
      <c r="P812" s="19"/>
      <c r="Q812" s="20"/>
      <c r="R812" s="25"/>
      <c r="S812" s="20"/>
      <c r="X812" s="19"/>
      <c r="Y812" s="20"/>
    </row>
    <row r="813" spans="16:25">
      <c r="P813" s="19"/>
      <c r="Q813" s="20"/>
      <c r="R813" s="25"/>
      <c r="S813" s="20"/>
      <c r="X813" s="19"/>
      <c r="Y813" s="20"/>
    </row>
    <row r="814" spans="16:25">
      <c r="P814" s="19"/>
      <c r="Q814" s="20"/>
      <c r="R814" s="25"/>
      <c r="S814" s="20"/>
      <c r="X814" s="19"/>
      <c r="Y814" s="20"/>
    </row>
    <row r="815" spans="16:25">
      <c r="P815" s="19"/>
      <c r="Q815" s="20"/>
      <c r="R815" s="25"/>
      <c r="S815" s="20"/>
      <c r="X815" s="19"/>
      <c r="Y815" s="20"/>
    </row>
    <row r="816" spans="16:25">
      <c r="P816" s="19"/>
      <c r="Q816" s="20"/>
      <c r="R816" s="25"/>
      <c r="S816" s="20"/>
      <c r="X816" s="19"/>
      <c r="Y816" s="20"/>
    </row>
    <row r="817" spans="16:25">
      <c r="P817" s="19"/>
      <c r="Q817" s="20"/>
      <c r="R817" s="25"/>
      <c r="S817" s="20"/>
      <c r="X817" s="19"/>
      <c r="Y817" s="20"/>
    </row>
    <row r="818" spans="16:25">
      <c r="P818" s="19"/>
      <c r="Q818" s="20"/>
      <c r="R818" s="25"/>
      <c r="S818" s="20"/>
      <c r="X818" s="19"/>
      <c r="Y818" s="20"/>
    </row>
    <row r="819" spans="16:25">
      <c r="P819" s="19"/>
      <c r="Q819" s="20"/>
      <c r="R819" s="25"/>
      <c r="S819" s="20"/>
      <c r="X819" s="19"/>
      <c r="Y819" s="20"/>
    </row>
    <row r="820" spans="16:25">
      <c r="P820" s="19"/>
      <c r="Q820" s="20"/>
      <c r="R820" s="25"/>
      <c r="S820" s="20"/>
      <c r="X820" s="19"/>
      <c r="Y820" s="20"/>
    </row>
    <row r="821" spans="16:25">
      <c r="P821" s="19"/>
      <c r="Q821" s="20"/>
      <c r="R821" s="25"/>
      <c r="S821" s="20"/>
      <c r="X821" s="19"/>
      <c r="Y821" s="20"/>
    </row>
    <row r="822" spans="16:25">
      <c r="P822" s="19"/>
      <c r="Q822" s="20"/>
      <c r="R822" s="25"/>
      <c r="S822" s="20"/>
      <c r="X822" s="19"/>
      <c r="Y822" s="20"/>
    </row>
    <row r="823" spans="16:25">
      <c r="P823" s="19"/>
      <c r="Q823" s="20"/>
      <c r="R823" s="25"/>
      <c r="S823" s="20"/>
      <c r="X823" s="19"/>
      <c r="Y823" s="20"/>
    </row>
    <row r="824" spans="16:25">
      <c r="P824" s="19"/>
      <c r="Q824" s="20"/>
      <c r="R824" s="25"/>
      <c r="S824" s="20"/>
      <c r="X824" s="19"/>
      <c r="Y824" s="20"/>
    </row>
    <row r="825" spans="16:25">
      <c r="P825" s="19"/>
      <c r="Q825" s="20"/>
      <c r="R825" s="25"/>
      <c r="S825" s="20"/>
      <c r="X825" s="19"/>
      <c r="Y825" s="20"/>
    </row>
    <row r="826" spans="16:25">
      <c r="P826" s="19"/>
      <c r="Q826" s="20"/>
      <c r="R826" s="25"/>
      <c r="S826" s="20"/>
      <c r="X826" s="19"/>
      <c r="Y826" s="20"/>
    </row>
    <row r="827" spans="16:25">
      <c r="P827" s="19"/>
      <c r="Q827" s="20"/>
      <c r="R827" s="25"/>
      <c r="S827" s="20"/>
      <c r="X827" s="19"/>
      <c r="Y827" s="20"/>
    </row>
    <row r="828" spans="16:25">
      <c r="P828" s="19"/>
      <c r="Q828" s="20"/>
      <c r="R828" s="25"/>
      <c r="S828" s="20"/>
      <c r="X828" s="19"/>
      <c r="Y828" s="20"/>
    </row>
    <row r="829" spans="16:25">
      <c r="P829" s="19"/>
      <c r="Q829" s="20"/>
      <c r="R829" s="25"/>
      <c r="S829" s="20"/>
      <c r="X829" s="19"/>
      <c r="Y829" s="20"/>
    </row>
    <row r="830" spans="16:25">
      <c r="P830" s="19"/>
      <c r="Q830" s="20"/>
      <c r="R830" s="25"/>
      <c r="S830" s="20"/>
      <c r="X830" s="19"/>
      <c r="Y830" s="20"/>
    </row>
    <row r="831" spans="16:25">
      <c r="P831" s="19"/>
      <c r="Q831" s="20"/>
      <c r="R831" s="25"/>
      <c r="S831" s="20"/>
      <c r="X831" s="19"/>
      <c r="Y831" s="20"/>
    </row>
    <row r="832" spans="16:25">
      <c r="P832" s="19"/>
      <c r="Q832" s="20"/>
      <c r="R832" s="25"/>
      <c r="S832" s="20"/>
      <c r="X832" s="19"/>
      <c r="Y832" s="20"/>
    </row>
    <row r="833" spans="16:25">
      <c r="P833" s="19"/>
      <c r="Q833" s="20"/>
      <c r="R833" s="25"/>
      <c r="S833" s="20"/>
      <c r="X833" s="19"/>
      <c r="Y833" s="20"/>
    </row>
    <row r="834" spans="16:25">
      <c r="P834" s="19"/>
      <c r="Q834" s="20"/>
      <c r="R834" s="25"/>
      <c r="S834" s="20"/>
      <c r="X834" s="19"/>
      <c r="Y834" s="20"/>
    </row>
    <row r="835" spans="16:25">
      <c r="P835" s="19"/>
      <c r="Q835" s="20"/>
      <c r="R835" s="25"/>
      <c r="S835" s="20"/>
      <c r="X835" s="19"/>
      <c r="Y835" s="20"/>
    </row>
    <row r="836" spans="16:25">
      <c r="P836" s="19"/>
      <c r="Q836" s="20"/>
      <c r="R836" s="25"/>
      <c r="S836" s="20"/>
      <c r="X836" s="19"/>
      <c r="Y836" s="20"/>
    </row>
    <row r="837" spans="16:25">
      <c r="P837" s="19"/>
      <c r="Q837" s="20"/>
      <c r="R837" s="25"/>
      <c r="S837" s="20"/>
      <c r="X837" s="19"/>
      <c r="Y837" s="20"/>
    </row>
    <row r="838" spans="16:25">
      <c r="P838" s="19"/>
      <c r="Q838" s="20"/>
      <c r="R838" s="25"/>
      <c r="S838" s="20"/>
      <c r="X838" s="19"/>
      <c r="Y838" s="20"/>
    </row>
    <row r="839" spans="16:25">
      <c r="P839" s="19"/>
      <c r="Q839" s="20"/>
      <c r="R839" s="25"/>
      <c r="S839" s="20"/>
      <c r="X839" s="19"/>
      <c r="Y839" s="20"/>
    </row>
    <row r="840" spans="16:25">
      <c r="P840" s="19"/>
      <c r="Q840" s="20"/>
      <c r="R840" s="25"/>
      <c r="S840" s="20"/>
      <c r="X840" s="19"/>
      <c r="Y840" s="20"/>
    </row>
    <row r="841" spans="16:25">
      <c r="P841" s="19"/>
      <c r="Q841" s="20"/>
      <c r="R841" s="25"/>
      <c r="S841" s="20"/>
      <c r="X841" s="19"/>
      <c r="Y841" s="20"/>
    </row>
    <row r="842" spans="16:25">
      <c r="P842" s="19"/>
      <c r="Q842" s="20"/>
      <c r="R842" s="25"/>
      <c r="S842" s="20"/>
      <c r="X842" s="19"/>
      <c r="Y842" s="20"/>
    </row>
    <row r="843" spans="16:25">
      <c r="P843" s="19"/>
      <c r="Q843" s="20"/>
      <c r="R843" s="25"/>
      <c r="S843" s="20"/>
      <c r="X843" s="19"/>
      <c r="Y843" s="20"/>
    </row>
    <row r="844" spans="16:25">
      <c r="P844" s="19"/>
      <c r="Q844" s="20"/>
      <c r="R844" s="25"/>
      <c r="S844" s="20"/>
      <c r="X844" s="19"/>
      <c r="Y844" s="20"/>
    </row>
    <row r="845" spans="16:25">
      <c r="P845" s="19"/>
      <c r="Q845" s="20"/>
      <c r="R845" s="25"/>
      <c r="S845" s="20"/>
      <c r="X845" s="19"/>
      <c r="Y845" s="20"/>
    </row>
    <row r="846" spans="16:25">
      <c r="P846" s="19"/>
      <c r="Q846" s="20"/>
      <c r="R846" s="25"/>
      <c r="S846" s="20"/>
      <c r="X846" s="19"/>
      <c r="Y846" s="20"/>
    </row>
    <row r="847" spans="16:25">
      <c r="P847" s="19"/>
      <c r="Q847" s="20"/>
      <c r="R847" s="25"/>
      <c r="S847" s="20"/>
      <c r="X847" s="19"/>
      <c r="Y847" s="20"/>
    </row>
    <row r="848" spans="16:25">
      <c r="P848" s="19"/>
      <c r="Q848" s="20"/>
      <c r="R848" s="25"/>
      <c r="S848" s="20"/>
      <c r="X848" s="19"/>
      <c r="Y848" s="20"/>
    </row>
    <row r="849" spans="16:25">
      <c r="P849" s="19"/>
      <c r="Q849" s="20"/>
      <c r="R849" s="25"/>
      <c r="S849" s="20"/>
      <c r="X849" s="19"/>
      <c r="Y849" s="20"/>
    </row>
    <row r="850" spans="16:25">
      <c r="P850" s="19"/>
      <c r="Q850" s="20"/>
      <c r="R850" s="25"/>
      <c r="S850" s="20"/>
      <c r="X850" s="19"/>
      <c r="Y850" s="20"/>
    </row>
    <row r="851" spans="16:25">
      <c r="P851" s="19"/>
      <c r="Q851" s="20"/>
      <c r="R851" s="25"/>
      <c r="S851" s="20"/>
      <c r="X851" s="19"/>
      <c r="Y851" s="20"/>
    </row>
    <row r="852" spans="16:25">
      <c r="P852" s="19"/>
      <c r="Q852" s="20"/>
      <c r="R852" s="25"/>
      <c r="S852" s="20"/>
      <c r="X852" s="19"/>
      <c r="Y852" s="20"/>
    </row>
    <row r="853" spans="16:25">
      <c r="P853" s="19"/>
      <c r="Q853" s="20"/>
      <c r="R853" s="25"/>
      <c r="S853" s="20"/>
      <c r="X853" s="19"/>
      <c r="Y853" s="20"/>
    </row>
    <row r="854" spans="16:25">
      <c r="P854" s="19"/>
      <c r="Q854" s="20"/>
      <c r="R854" s="25"/>
      <c r="S854" s="20"/>
      <c r="X854" s="19"/>
      <c r="Y854" s="20"/>
    </row>
    <row r="855" spans="16:25">
      <c r="P855" s="19"/>
      <c r="Q855" s="20"/>
      <c r="R855" s="25"/>
      <c r="S855" s="20"/>
      <c r="X855" s="19"/>
      <c r="Y855" s="20"/>
    </row>
    <row r="856" spans="16:25">
      <c r="P856" s="19"/>
      <c r="Q856" s="20"/>
      <c r="R856" s="25"/>
      <c r="S856" s="20"/>
      <c r="X856" s="19"/>
      <c r="Y856" s="20"/>
    </row>
    <row r="857" spans="16:25">
      <c r="P857" s="19"/>
      <c r="Q857" s="20"/>
      <c r="R857" s="25"/>
      <c r="S857" s="20"/>
      <c r="X857" s="19"/>
      <c r="Y857" s="20"/>
    </row>
    <row r="858" spans="16:25">
      <c r="P858" s="19"/>
      <c r="Q858" s="20"/>
      <c r="R858" s="25"/>
      <c r="S858" s="20"/>
      <c r="X858" s="19"/>
      <c r="Y858" s="20"/>
    </row>
    <row r="859" spans="16:25">
      <c r="P859" s="19"/>
      <c r="Q859" s="20"/>
      <c r="R859" s="25"/>
      <c r="S859" s="20"/>
      <c r="X859" s="19"/>
      <c r="Y859" s="20"/>
    </row>
    <row r="860" spans="16:25">
      <c r="P860" s="19"/>
      <c r="Q860" s="20"/>
      <c r="R860" s="25"/>
      <c r="S860" s="20"/>
      <c r="X860" s="19"/>
      <c r="Y860" s="20"/>
    </row>
    <row r="861" spans="16:25">
      <c r="P861" s="19"/>
      <c r="Q861" s="20"/>
      <c r="R861" s="25"/>
      <c r="S861" s="20"/>
      <c r="X861" s="19"/>
      <c r="Y861" s="20"/>
    </row>
    <row r="862" spans="16:25">
      <c r="P862" s="19"/>
      <c r="Q862" s="20"/>
      <c r="R862" s="25"/>
      <c r="S862" s="20"/>
      <c r="X862" s="19"/>
      <c r="Y862" s="20"/>
    </row>
    <row r="863" spans="16:25">
      <c r="P863" s="19"/>
      <c r="Q863" s="20"/>
      <c r="R863" s="25"/>
      <c r="S863" s="20"/>
      <c r="X863" s="19"/>
      <c r="Y863" s="20"/>
    </row>
    <row r="864" spans="16:25">
      <c r="P864" s="19"/>
      <c r="Q864" s="20"/>
      <c r="R864" s="25"/>
      <c r="S864" s="20"/>
      <c r="X864" s="19"/>
      <c r="Y864" s="20"/>
    </row>
    <row r="865" spans="16:25">
      <c r="P865" s="19"/>
      <c r="Q865" s="20"/>
      <c r="R865" s="25"/>
      <c r="S865" s="20"/>
      <c r="X865" s="19"/>
      <c r="Y865" s="20"/>
    </row>
    <row r="866" spans="16:25">
      <c r="P866" s="19"/>
      <c r="Q866" s="20"/>
      <c r="R866" s="25"/>
      <c r="S866" s="20"/>
      <c r="X866" s="19"/>
      <c r="Y866" s="20"/>
    </row>
    <row r="867" spans="16:25">
      <c r="P867" s="19"/>
      <c r="Q867" s="20"/>
      <c r="R867" s="25"/>
      <c r="S867" s="20"/>
      <c r="X867" s="19"/>
      <c r="Y867" s="20"/>
    </row>
    <row r="868" spans="16:25">
      <c r="P868" s="19"/>
      <c r="Q868" s="20"/>
      <c r="R868" s="25"/>
      <c r="S868" s="20"/>
      <c r="X868" s="19"/>
      <c r="Y868" s="20"/>
    </row>
    <row r="869" spans="16:25">
      <c r="P869" s="19"/>
      <c r="Q869" s="20"/>
      <c r="R869" s="25"/>
      <c r="S869" s="20"/>
      <c r="X869" s="19"/>
      <c r="Y869" s="20"/>
    </row>
    <row r="870" spans="16:25">
      <c r="P870" s="19"/>
      <c r="Q870" s="20"/>
      <c r="R870" s="25"/>
      <c r="S870" s="20"/>
      <c r="X870" s="19"/>
      <c r="Y870" s="20"/>
    </row>
    <row r="871" spans="16:25">
      <c r="P871" s="19"/>
      <c r="Q871" s="20"/>
      <c r="R871" s="25"/>
      <c r="S871" s="20"/>
      <c r="X871" s="19"/>
      <c r="Y871" s="20"/>
    </row>
    <row r="872" spans="16:25">
      <c r="P872" s="19"/>
      <c r="Q872" s="20"/>
      <c r="R872" s="25"/>
      <c r="S872" s="20"/>
      <c r="X872" s="19"/>
      <c r="Y872" s="20"/>
    </row>
    <row r="873" spans="16:25">
      <c r="P873" s="19"/>
      <c r="Q873" s="20"/>
      <c r="R873" s="25"/>
      <c r="S873" s="20"/>
      <c r="X873" s="19"/>
      <c r="Y873" s="20"/>
    </row>
    <row r="874" spans="16:25">
      <c r="P874" s="19"/>
      <c r="Q874" s="20"/>
      <c r="R874" s="25"/>
      <c r="S874" s="20"/>
      <c r="X874" s="19"/>
      <c r="Y874" s="20"/>
    </row>
    <row r="875" spans="16:25">
      <c r="P875" s="19"/>
      <c r="Q875" s="20"/>
      <c r="R875" s="25"/>
      <c r="S875" s="20"/>
      <c r="X875" s="19"/>
      <c r="Y875" s="20"/>
    </row>
    <row r="876" spans="16:25">
      <c r="P876" s="19"/>
      <c r="Q876" s="20"/>
      <c r="R876" s="25"/>
      <c r="S876" s="20"/>
      <c r="X876" s="19"/>
      <c r="Y876" s="20"/>
    </row>
    <row r="877" spans="16:25">
      <c r="P877" s="19"/>
      <c r="Q877" s="20"/>
      <c r="R877" s="25"/>
      <c r="S877" s="20"/>
      <c r="X877" s="19"/>
      <c r="Y877" s="20"/>
    </row>
    <row r="878" spans="16:25">
      <c r="P878" s="19"/>
      <c r="Q878" s="20"/>
      <c r="R878" s="25"/>
      <c r="S878" s="20"/>
      <c r="X878" s="19"/>
      <c r="Y878" s="20"/>
    </row>
    <row r="879" spans="16:25">
      <c r="P879" s="19"/>
      <c r="Q879" s="20"/>
      <c r="R879" s="25"/>
      <c r="S879" s="20"/>
      <c r="X879" s="19"/>
      <c r="Y879" s="20"/>
    </row>
    <row r="880" spans="16:25">
      <c r="P880" s="19"/>
      <c r="Q880" s="20"/>
      <c r="R880" s="25"/>
      <c r="S880" s="20"/>
      <c r="X880" s="19"/>
      <c r="Y880" s="20"/>
    </row>
    <row r="881" spans="16:25">
      <c r="P881" s="19"/>
      <c r="Q881" s="20"/>
      <c r="R881" s="25"/>
      <c r="S881" s="20"/>
      <c r="X881" s="19"/>
      <c r="Y881" s="20"/>
    </row>
    <row r="882" spans="16:25">
      <c r="P882" s="19"/>
      <c r="Q882" s="20"/>
      <c r="R882" s="25"/>
      <c r="S882" s="20"/>
      <c r="X882" s="19"/>
      <c r="Y882" s="20"/>
    </row>
    <row r="883" spans="16:25">
      <c r="P883" s="19"/>
      <c r="Q883" s="20"/>
      <c r="R883" s="25"/>
      <c r="S883" s="20"/>
      <c r="X883" s="19"/>
      <c r="Y883" s="20"/>
    </row>
    <row r="884" spans="16:25">
      <c r="P884" s="19"/>
      <c r="Q884" s="20"/>
      <c r="R884" s="25"/>
      <c r="S884" s="20"/>
      <c r="X884" s="19"/>
      <c r="Y884" s="20"/>
    </row>
    <row r="885" spans="16:25">
      <c r="P885" s="19"/>
      <c r="Q885" s="20"/>
      <c r="R885" s="25"/>
      <c r="S885" s="20"/>
      <c r="X885" s="19"/>
      <c r="Y885" s="20"/>
    </row>
    <row r="886" spans="16:25">
      <c r="P886" s="19"/>
      <c r="Q886" s="20"/>
      <c r="R886" s="25"/>
      <c r="S886" s="20"/>
      <c r="X886" s="19"/>
      <c r="Y886" s="20"/>
    </row>
    <row r="887" spans="16:25">
      <c r="P887" s="19"/>
      <c r="Q887" s="20"/>
      <c r="R887" s="25"/>
      <c r="S887" s="20"/>
      <c r="X887" s="19"/>
      <c r="Y887" s="20"/>
    </row>
    <row r="888" spans="16:25">
      <c r="P888" s="19"/>
      <c r="Q888" s="20"/>
      <c r="R888" s="25"/>
      <c r="S888" s="20"/>
      <c r="X888" s="19"/>
      <c r="Y888" s="20"/>
    </row>
    <row r="889" spans="16:25">
      <c r="P889" s="19"/>
      <c r="Q889" s="20"/>
      <c r="R889" s="25"/>
      <c r="S889" s="20"/>
      <c r="X889" s="19"/>
      <c r="Y889" s="20"/>
    </row>
    <row r="890" spans="16:25">
      <c r="P890" s="19"/>
      <c r="Q890" s="20"/>
      <c r="R890" s="25"/>
      <c r="S890" s="20"/>
      <c r="X890" s="19"/>
      <c r="Y890" s="20"/>
    </row>
    <row r="891" spans="16:25">
      <c r="P891" s="19"/>
      <c r="Q891" s="20"/>
      <c r="R891" s="25"/>
      <c r="S891" s="20"/>
      <c r="X891" s="19"/>
      <c r="Y891" s="20"/>
    </row>
    <row r="892" spans="16:25">
      <c r="P892" s="19"/>
      <c r="Q892" s="20"/>
      <c r="R892" s="25"/>
      <c r="S892" s="20"/>
      <c r="X892" s="19"/>
      <c r="Y892" s="20"/>
    </row>
    <row r="893" spans="16:25">
      <c r="P893" s="19"/>
      <c r="Q893" s="20"/>
      <c r="R893" s="25"/>
      <c r="S893" s="20"/>
      <c r="X893" s="19"/>
      <c r="Y893" s="20"/>
    </row>
    <row r="894" spans="16:25">
      <c r="P894" s="19"/>
      <c r="Q894" s="20"/>
      <c r="R894" s="25"/>
      <c r="S894" s="20"/>
      <c r="X894" s="19"/>
      <c r="Y894" s="20"/>
    </row>
    <row r="895" spans="16:25">
      <c r="P895" s="19"/>
      <c r="Q895" s="20"/>
      <c r="R895" s="25"/>
      <c r="S895" s="20"/>
      <c r="X895" s="19"/>
      <c r="Y895" s="20"/>
    </row>
    <row r="896" spans="16:25">
      <c r="P896" s="19"/>
      <c r="Q896" s="20"/>
      <c r="R896" s="25"/>
      <c r="S896" s="20"/>
      <c r="X896" s="19"/>
      <c r="Y896" s="20"/>
    </row>
    <row r="897" spans="16:25">
      <c r="P897" s="19"/>
      <c r="Q897" s="20"/>
      <c r="R897" s="25"/>
      <c r="S897" s="20"/>
      <c r="X897" s="19"/>
      <c r="Y897" s="20"/>
    </row>
    <row r="898" spans="16:25">
      <c r="P898" s="19"/>
      <c r="Q898" s="20"/>
      <c r="R898" s="25"/>
      <c r="S898" s="20"/>
      <c r="X898" s="19"/>
      <c r="Y898" s="20"/>
    </row>
    <row r="899" spans="16:25">
      <c r="P899" s="19"/>
      <c r="Q899" s="20"/>
      <c r="R899" s="25"/>
      <c r="S899" s="20"/>
      <c r="X899" s="19"/>
      <c r="Y899" s="20"/>
    </row>
    <row r="900" spans="16:25">
      <c r="P900" s="19"/>
      <c r="Q900" s="20"/>
      <c r="R900" s="25"/>
      <c r="S900" s="20"/>
      <c r="X900" s="19"/>
      <c r="Y900" s="20"/>
    </row>
    <row r="901" spans="16:25">
      <c r="P901" s="19"/>
      <c r="Q901" s="20"/>
      <c r="R901" s="25"/>
      <c r="S901" s="20"/>
      <c r="X901" s="19"/>
      <c r="Y901" s="20"/>
    </row>
    <row r="902" spans="16:25">
      <c r="P902" s="19"/>
      <c r="Q902" s="20"/>
      <c r="R902" s="25"/>
      <c r="S902" s="20"/>
      <c r="X902" s="19"/>
      <c r="Y902" s="20"/>
    </row>
    <row r="903" spans="16:25">
      <c r="P903" s="19"/>
      <c r="Q903" s="20"/>
      <c r="R903" s="25"/>
      <c r="S903" s="20"/>
      <c r="X903" s="19"/>
      <c r="Y903" s="20"/>
    </row>
    <row r="904" spans="16:25">
      <c r="P904" s="19"/>
      <c r="Q904" s="20"/>
      <c r="R904" s="25"/>
      <c r="S904" s="20"/>
      <c r="X904" s="19"/>
      <c r="Y904" s="20"/>
    </row>
    <row r="905" spans="16:25">
      <c r="P905" s="19"/>
      <c r="Q905" s="20"/>
      <c r="R905" s="25"/>
      <c r="S905" s="20"/>
      <c r="X905" s="19"/>
      <c r="Y905" s="20"/>
    </row>
    <row r="906" spans="16:25">
      <c r="P906" s="19"/>
      <c r="Q906" s="20"/>
      <c r="R906" s="25"/>
      <c r="S906" s="20"/>
      <c r="X906" s="19"/>
      <c r="Y906" s="20"/>
    </row>
    <row r="907" spans="16:25">
      <c r="P907" s="19"/>
      <c r="Q907" s="20"/>
      <c r="R907" s="25"/>
      <c r="S907" s="20"/>
      <c r="X907" s="19"/>
      <c r="Y907" s="20"/>
    </row>
    <row r="908" spans="16:25">
      <c r="P908" s="19"/>
      <c r="Q908" s="20"/>
      <c r="R908" s="25"/>
      <c r="S908" s="20"/>
      <c r="X908" s="19"/>
      <c r="Y908" s="20"/>
    </row>
    <row r="909" spans="16:25">
      <c r="P909" s="19"/>
      <c r="Q909" s="20"/>
      <c r="R909" s="25"/>
      <c r="S909" s="20"/>
      <c r="X909" s="19"/>
      <c r="Y909" s="20"/>
    </row>
    <row r="910" spans="16:25">
      <c r="P910" s="19"/>
      <c r="Q910" s="20"/>
      <c r="R910" s="25"/>
      <c r="S910" s="20"/>
      <c r="X910" s="19"/>
      <c r="Y910" s="20"/>
    </row>
    <row r="911" spans="16:25">
      <c r="P911" s="19"/>
      <c r="Q911" s="20"/>
      <c r="R911" s="25"/>
      <c r="S911" s="20"/>
      <c r="X911" s="19"/>
      <c r="Y911" s="20"/>
    </row>
    <row r="912" spans="16:25">
      <c r="P912" s="19"/>
      <c r="Q912" s="20"/>
      <c r="R912" s="25"/>
      <c r="S912" s="20"/>
      <c r="X912" s="19"/>
      <c r="Y912" s="20"/>
    </row>
    <row r="913" spans="16:25">
      <c r="P913" s="19"/>
      <c r="Q913" s="20"/>
      <c r="R913" s="25"/>
      <c r="S913" s="20"/>
      <c r="X913" s="19"/>
      <c r="Y913" s="20"/>
    </row>
    <row r="914" spans="16:25">
      <c r="P914" s="19"/>
      <c r="Q914" s="20"/>
      <c r="R914" s="25"/>
      <c r="S914" s="20"/>
      <c r="X914" s="19"/>
      <c r="Y914" s="20"/>
    </row>
    <row r="915" spans="16:25">
      <c r="P915" s="19"/>
      <c r="Q915" s="20"/>
      <c r="R915" s="25"/>
      <c r="S915" s="20"/>
      <c r="X915" s="19"/>
      <c r="Y915" s="20"/>
    </row>
    <row r="916" spans="16:25">
      <c r="P916" s="19"/>
      <c r="Q916" s="20"/>
      <c r="R916" s="25"/>
      <c r="S916" s="20"/>
      <c r="X916" s="19"/>
      <c r="Y916" s="20"/>
    </row>
    <row r="917" spans="16:25">
      <c r="P917" s="19"/>
      <c r="Q917" s="20"/>
      <c r="R917" s="25"/>
      <c r="S917" s="20"/>
      <c r="X917" s="19"/>
      <c r="Y917" s="20"/>
    </row>
    <row r="918" spans="16:25">
      <c r="P918" s="19"/>
      <c r="Q918" s="20"/>
      <c r="R918" s="25"/>
      <c r="S918" s="20"/>
      <c r="X918" s="19"/>
      <c r="Y918" s="20"/>
    </row>
    <row r="919" spans="16:25">
      <c r="P919" s="19"/>
      <c r="Q919" s="20"/>
      <c r="R919" s="25"/>
      <c r="S919" s="20"/>
      <c r="X919" s="19"/>
      <c r="Y919" s="20"/>
    </row>
    <row r="920" spans="16:25">
      <c r="P920" s="19"/>
      <c r="Q920" s="20"/>
      <c r="R920" s="25"/>
      <c r="S920" s="20"/>
      <c r="X920" s="19"/>
      <c r="Y920" s="20"/>
    </row>
    <row r="921" spans="16:25">
      <c r="P921" s="19"/>
      <c r="Q921" s="20"/>
      <c r="R921" s="25"/>
      <c r="S921" s="20"/>
      <c r="X921" s="19"/>
      <c r="Y921" s="20"/>
    </row>
    <row r="922" spans="16:25">
      <c r="P922" s="19"/>
      <c r="Q922" s="20"/>
      <c r="R922" s="25"/>
      <c r="S922" s="20"/>
      <c r="X922" s="19"/>
      <c r="Y922" s="20"/>
    </row>
    <row r="923" spans="16:25">
      <c r="P923" s="19"/>
      <c r="Q923" s="20"/>
      <c r="R923" s="25"/>
      <c r="S923" s="20"/>
      <c r="X923" s="19"/>
      <c r="Y923" s="20"/>
    </row>
    <row r="924" spans="16:25">
      <c r="P924" s="19"/>
      <c r="Q924" s="20"/>
      <c r="R924" s="25"/>
      <c r="S924" s="20"/>
      <c r="X924" s="19"/>
      <c r="Y924" s="20"/>
    </row>
    <row r="925" spans="16:25">
      <c r="P925" s="19"/>
      <c r="Q925" s="20"/>
      <c r="R925" s="25"/>
      <c r="S925" s="20"/>
      <c r="X925" s="19"/>
      <c r="Y925" s="20"/>
    </row>
    <row r="926" spans="16:25">
      <c r="P926" s="19"/>
      <c r="Q926" s="20"/>
      <c r="R926" s="25"/>
      <c r="S926" s="20"/>
      <c r="X926" s="19"/>
      <c r="Y926" s="20"/>
    </row>
    <row r="927" spans="16:25">
      <c r="P927" s="19"/>
      <c r="Q927" s="20"/>
      <c r="R927" s="25"/>
      <c r="S927" s="20"/>
      <c r="X927" s="19"/>
      <c r="Y927" s="20"/>
    </row>
    <row r="928" spans="16:25">
      <c r="P928" s="19"/>
      <c r="Q928" s="20"/>
      <c r="R928" s="25"/>
      <c r="S928" s="20"/>
      <c r="X928" s="19"/>
      <c r="Y928" s="20"/>
    </row>
    <row r="929" spans="16:25">
      <c r="P929" s="19"/>
      <c r="Q929" s="20"/>
      <c r="R929" s="25"/>
      <c r="S929" s="20"/>
      <c r="X929" s="19"/>
      <c r="Y929" s="20"/>
    </row>
    <row r="930" spans="16:25">
      <c r="P930" s="19"/>
      <c r="Q930" s="20"/>
      <c r="R930" s="25"/>
      <c r="S930" s="20"/>
      <c r="X930" s="19"/>
      <c r="Y930" s="20"/>
    </row>
    <row r="931" spans="16:25">
      <c r="P931" s="19"/>
      <c r="Q931" s="20"/>
      <c r="R931" s="25"/>
      <c r="S931" s="20"/>
      <c r="X931" s="19"/>
      <c r="Y931" s="20"/>
    </row>
    <row r="932" spans="16:25">
      <c r="P932" s="19"/>
      <c r="Q932" s="20"/>
      <c r="R932" s="25"/>
      <c r="S932" s="20"/>
      <c r="X932" s="19"/>
      <c r="Y932" s="20"/>
    </row>
    <row r="933" spans="16:25">
      <c r="P933" s="19"/>
      <c r="Q933" s="20"/>
      <c r="R933" s="25"/>
      <c r="S933" s="20"/>
      <c r="X933" s="19"/>
      <c r="Y933" s="20"/>
    </row>
    <row r="934" spans="16:25">
      <c r="P934" s="19"/>
      <c r="Q934" s="20"/>
      <c r="R934" s="25"/>
      <c r="S934" s="20"/>
      <c r="X934" s="19"/>
      <c r="Y934" s="20"/>
    </row>
    <row r="935" spans="16:25">
      <c r="P935" s="19"/>
      <c r="Q935" s="20"/>
      <c r="R935" s="25"/>
      <c r="S935" s="20"/>
      <c r="X935" s="19"/>
      <c r="Y935" s="20"/>
    </row>
    <row r="936" spans="16:25">
      <c r="P936" s="19"/>
      <c r="Q936" s="20"/>
      <c r="R936" s="25"/>
      <c r="S936" s="20"/>
      <c r="X936" s="19"/>
      <c r="Y936" s="20"/>
    </row>
    <row r="937" spans="16:25">
      <c r="P937" s="19"/>
      <c r="Q937" s="20"/>
      <c r="R937" s="25"/>
      <c r="S937" s="20"/>
      <c r="X937" s="19"/>
      <c r="Y937" s="20"/>
    </row>
    <row r="938" spans="16:25">
      <c r="P938" s="19"/>
      <c r="Q938" s="20"/>
      <c r="R938" s="25"/>
      <c r="S938" s="20"/>
      <c r="X938" s="19"/>
      <c r="Y938" s="20"/>
    </row>
    <row r="939" spans="16:25">
      <c r="P939" s="19"/>
      <c r="Q939" s="20"/>
      <c r="R939" s="25"/>
      <c r="S939" s="20"/>
      <c r="X939" s="19"/>
      <c r="Y939" s="20"/>
    </row>
    <row r="940" spans="16:25">
      <c r="P940" s="19"/>
      <c r="Q940" s="20"/>
      <c r="R940" s="25"/>
      <c r="S940" s="20"/>
      <c r="X940" s="19"/>
      <c r="Y940" s="20"/>
    </row>
    <row r="941" spans="16:25">
      <c r="P941" s="19"/>
      <c r="Q941" s="20"/>
      <c r="R941" s="25"/>
      <c r="S941" s="20"/>
      <c r="X941" s="19"/>
      <c r="Y941" s="20"/>
    </row>
    <row r="942" spans="16:25">
      <c r="P942" s="19"/>
      <c r="Q942" s="20"/>
      <c r="R942" s="25"/>
      <c r="S942" s="20"/>
      <c r="X942" s="19"/>
      <c r="Y942" s="20"/>
    </row>
    <row r="943" spans="16:25">
      <c r="P943" s="19"/>
      <c r="Q943" s="20"/>
      <c r="R943" s="25"/>
      <c r="S943" s="20"/>
      <c r="X943" s="19"/>
      <c r="Y943" s="20"/>
    </row>
    <row r="944" spans="16:25">
      <c r="P944" s="19"/>
      <c r="Q944" s="20"/>
      <c r="R944" s="25"/>
      <c r="S944" s="20"/>
      <c r="X944" s="19"/>
      <c r="Y944" s="20"/>
    </row>
    <row r="945" spans="16:25">
      <c r="P945" s="19"/>
      <c r="Q945" s="20"/>
      <c r="R945" s="25"/>
      <c r="S945" s="20"/>
      <c r="X945" s="19"/>
      <c r="Y945" s="20"/>
    </row>
    <row r="946" spans="16:25">
      <c r="P946" s="19"/>
      <c r="Q946" s="20"/>
      <c r="R946" s="25"/>
      <c r="S946" s="20"/>
      <c r="X946" s="19"/>
      <c r="Y946" s="20"/>
    </row>
    <row r="947" spans="16:25">
      <c r="P947" s="19"/>
      <c r="Q947" s="20"/>
      <c r="R947" s="25"/>
      <c r="S947" s="20"/>
      <c r="X947" s="19"/>
      <c r="Y947" s="20"/>
    </row>
    <row r="948" spans="16:25">
      <c r="P948" s="19"/>
      <c r="Q948" s="20"/>
      <c r="R948" s="25"/>
      <c r="S948" s="20"/>
      <c r="X948" s="19"/>
      <c r="Y948" s="20"/>
    </row>
    <row r="949" spans="16:25">
      <c r="P949" s="19"/>
      <c r="Q949" s="20"/>
      <c r="R949" s="25"/>
      <c r="S949" s="20"/>
      <c r="X949" s="19"/>
      <c r="Y949" s="20"/>
    </row>
    <row r="950" spans="16:25">
      <c r="P950" s="19"/>
      <c r="Q950" s="20"/>
      <c r="R950" s="25"/>
      <c r="S950" s="20"/>
      <c r="X950" s="19"/>
      <c r="Y950" s="20"/>
    </row>
    <row r="951" spans="16:25">
      <c r="P951" s="19"/>
      <c r="Q951" s="20"/>
      <c r="R951" s="25"/>
      <c r="S951" s="20"/>
      <c r="X951" s="19"/>
      <c r="Y951" s="20"/>
    </row>
    <row r="952" spans="16:25">
      <c r="P952" s="19"/>
      <c r="Q952" s="20"/>
      <c r="R952" s="25"/>
      <c r="S952" s="20"/>
      <c r="X952" s="19"/>
      <c r="Y952" s="20"/>
    </row>
    <row r="953" spans="16:25">
      <c r="P953" s="19"/>
      <c r="Q953" s="20"/>
      <c r="R953" s="25"/>
      <c r="S953" s="20"/>
      <c r="X953" s="19"/>
      <c r="Y953" s="20"/>
    </row>
    <row r="954" spans="16:25">
      <c r="P954" s="19"/>
      <c r="Q954" s="20"/>
      <c r="R954" s="25"/>
      <c r="S954" s="20"/>
      <c r="X954" s="19"/>
      <c r="Y954" s="20"/>
    </row>
    <row r="955" spans="16:25">
      <c r="P955" s="19"/>
      <c r="Q955" s="20"/>
      <c r="R955" s="25"/>
      <c r="S955" s="20"/>
      <c r="X955" s="19"/>
      <c r="Y955" s="20"/>
    </row>
    <row r="956" spans="16:25">
      <c r="P956" s="19"/>
      <c r="Q956" s="20"/>
      <c r="R956" s="25"/>
      <c r="S956" s="20"/>
      <c r="X956" s="19"/>
      <c r="Y956" s="20"/>
    </row>
    <row r="957" spans="16:25">
      <c r="P957" s="19"/>
      <c r="Q957" s="20"/>
      <c r="R957" s="25"/>
      <c r="S957" s="20"/>
      <c r="X957" s="19"/>
      <c r="Y957" s="20"/>
    </row>
    <row r="958" spans="16:25">
      <c r="P958" s="19"/>
      <c r="Q958" s="20"/>
      <c r="R958" s="25"/>
      <c r="S958" s="20"/>
      <c r="X958" s="19"/>
      <c r="Y958" s="20"/>
    </row>
    <row r="959" spans="16:25">
      <c r="P959" s="19"/>
      <c r="Q959" s="20"/>
      <c r="R959" s="25"/>
      <c r="S959" s="20"/>
      <c r="X959" s="19"/>
      <c r="Y959" s="20"/>
    </row>
    <row r="960" spans="16:25">
      <c r="P960" s="19"/>
      <c r="Q960" s="20"/>
      <c r="R960" s="25"/>
      <c r="S960" s="20"/>
      <c r="X960" s="19"/>
      <c r="Y960" s="20"/>
    </row>
    <row r="961" spans="16:25">
      <c r="P961" s="19"/>
      <c r="Q961" s="20"/>
      <c r="R961" s="25"/>
      <c r="S961" s="20"/>
      <c r="X961" s="19"/>
      <c r="Y961" s="20"/>
    </row>
    <row r="962" spans="16:25">
      <c r="P962" s="19"/>
      <c r="Q962" s="20"/>
      <c r="R962" s="25"/>
      <c r="S962" s="20"/>
      <c r="X962" s="19"/>
      <c r="Y962" s="20"/>
    </row>
    <row r="963" spans="16:25">
      <c r="P963" s="19"/>
      <c r="Q963" s="20"/>
      <c r="R963" s="25"/>
      <c r="S963" s="20"/>
      <c r="X963" s="19"/>
      <c r="Y963" s="20"/>
    </row>
    <row r="964" spans="16:25">
      <c r="P964" s="19"/>
      <c r="Q964" s="20"/>
      <c r="R964" s="25"/>
      <c r="S964" s="20"/>
      <c r="X964" s="19"/>
      <c r="Y964" s="20"/>
    </row>
    <row r="965" spans="16:25">
      <c r="P965" s="19"/>
      <c r="Q965" s="20"/>
      <c r="R965" s="25"/>
      <c r="S965" s="20"/>
      <c r="X965" s="19"/>
      <c r="Y965" s="20"/>
    </row>
    <row r="966" spans="16:25">
      <c r="P966" s="19"/>
      <c r="Q966" s="20"/>
      <c r="R966" s="25"/>
      <c r="S966" s="20"/>
      <c r="X966" s="19"/>
      <c r="Y966" s="20"/>
    </row>
    <row r="967" spans="16:25">
      <c r="P967" s="19"/>
      <c r="Q967" s="20"/>
      <c r="R967" s="25"/>
      <c r="S967" s="20"/>
      <c r="X967" s="19"/>
      <c r="Y967" s="20"/>
    </row>
    <row r="968" spans="16:25">
      <c r="P968" s="19"/>
      <c r="Q968" s="20"/>
      <c r="R968" s="25"/>
      <c r="S968" s="20"/>
      <c r="X968" s="19"/>
      <c r="Y968" s="20"/>
    </row>
    <row r="969" spans="16:25">
      <c r="P969" s="19"/>
      <c r="Q969" s="20"/>
      <c r="R969" s="25"/>
      <c r="S969" s="20"/>
      <c r="X969" s="19"/>
      <c r="Y969" s="20"/>
    </row>
    <row r="970" spans="16:25">
      <c r="P970" s="19"/>
      <c r="Q970" s="20"/>
      <c r="R970" s="25"/>
      <c r="S970" s="20"/>
      <c r="X970" s="19"/>
      <c r="Y970" s="20"/>
    </row>
    <row r="971" spans="16:25">
      <c r="P971" s="19"/>
      <c r="Q971" s="20"/>
      <c r="R971" s="25"/>
      <c r="S971" s="20"/>
      <c r="X971" s="19"/>
      <c r="Y971" s="20"/>
    </row>
    <row r="972" spans="16:25">
      <c r="P972" s="19"/>
      <c r="Q972" s="20"/>
      <c r="R972" s="25"/>
      <c r="S972" s="20"/>
      <c r="X972" s="19"/>
      <c r="Y972" s="20"/>
    </row>
    <row r="973" spans="16:25">
      <c r="P973" s="19"/>
      <c r="Q973" s="20"/>
      <c r="R973" s="25"/>
      <c r="S973" s="20"/>
      <c r="X973" s="19"/>
      <c r="Y973" s="20"/>
    </row>
    <row r="974" spans="16:25">
      <c r="P974" s="19"/>
      <c r="Q974" s="20"/>
      <c r="R974" s="25"/>
      <c r="S974" s="20"/>
      <c r="X974" s="19"/>
      <c r="Y974" s="20"/>
    </row>
    <row r="975" spans="16:25">
      <c r="P975" s="19"/>
      <c r="Q975" s="20"/>
      <c r="R975" s="25"/>
      <c r="S975" s="20"/>
      <c r="X975" s="19"/>
      <c r="Y975" s="20"/>
    </row>
    <row r="976" spans="16:25">
      <c r="P976" s="19"/>
      <c r="Q976" s="20"/>
      <c r="R976" s="25"/>
      <c r="S976" s="20"/>
      <c r="X976" s="19"/>
      <c r="Y976" s="20"/>
    </row>
    <row r="977" spans="16:25">
      <c r="P977" s="19"/>
      <c r="Q977" s="20"/>
      <c r="R977" s="25"/>
      <c r="S977" s="20"/>
      <c r="X977" s="19"/>
      <c r="Y977" s="20"/>
    </row>
    <row r="978" spans="16:25">
      <c r="P978" s="19"/>
      <c r="Q978" s="20"/>
      <c r="R978" s="25"/>
      <c r="S978" s="20"/>
      <c r="X978" s="19"/>
      <c r="Y978" s="20"/>
    </row>
    <row r="979" spans="16:25">
      <c r="P979" s="19"/>
      <c r="Q979" s="20"/>
      <c r="R979" s="25"/>
      <c r="S979" s="20"/>
      <c r="X979" s="19"/>
      <c r="Y979" s="20"/>
    </row>
    <row r="980" spans="16:25">
      <c r="P980" s="19"/>
      <c r="Q980" s="20"/>
      <c r="R980" s="25"/>
      <c r="S980" s="20"/>
      <c r="X980" s="19"/>
      <c r="Y980" s="20"/>
    </row>
    <row r="981" spans="16:25">
      <c r="P981" s="19"/>
      <c r="Q981" s="20"/>
      <c r="R981" s="25"/>
      <c r="S981" s="20"/>
      <c r="X981" s="19"/>
      <c r="Y981" s="20"/>
    </row>
    <row r="982" spans="16:25">
      <c r="P982" s="19"/>
      <c r="Q982" s="20"/>
      <c r="R982" s="25"/>
      <c r="S982" s="20"/>
      <c r="X982" s="19"/>
      <c r="Y982" s="20"/>
    </row>
    <row r="983" spans="16:25">
      <c r="P983" s="19"/>
      <c r="Q983" s="20"/>
      <c r="R983" s="25"/>
      <c r="S983" s="20"/>
      <c r="X983" s="19"/>
      <c r="Y983" s="20"/>
    </row>
    <row r="984" spans="16:25">
      <c r="P984" s="19"/>
      <c r="Q984" s="20"/>
      <c r="R984" s="25"/>
      <c r="S984" s="20"/>
      <c r="X984" s="19"/>
      <c r="Y984" s="20"/>
    </row>
    <row r="985" spans="16:25">
      <c r="P985" s="19"/>
      <c r="Q985" s="20"/>
      <c r="R985" s="25"/>
      <c r="S985" s="20"/>
      <c r="X985" s="19"/>
      <c r="Y985" s="20"/>
    </row>
    <row r="986" spans="16:25">
      <c r="P986" s="19"/>
      <c r="Q986" s="20"/>
      <c r="R986" s="25"/>
      <c r="S986" s="20"/>
      <c r="X986" s="19"/>
      <c r="Y986" s="20"/>
    </row>
    <row r="987" spans="16:25">
      <c r="P987" s="19"/>
      <c r="Q987" s="20"/>
      <c r="R987" s="25"/>
      <c r="S987" s="20"/>
      <c r="X987" s="19"/>
      <c r="Y987" s="20"/>
    </row>
    <row r="988" spans="16:25">
      <c r="P988" s="19"/>
      <c r="Q988" s="20"/>
      <c r="R988" s="25"/>
      <c r="S988" s="20"/>
      <c r="X988" s="19"/>
      <c r="Y988" s="20"/>
    </row>
    <row r="989" spans="16:25">
      <c r="P989" s="19"/>
      <c r="Q989" s="20"/>
      <c r="R989" s="25"/>
      <c r="S989" s="20"/>
      <c r="X989" s="19"/>
      <c r="Y989" s="20"/>
    </row>
    <row r="990" spans="16:25">
      <c r="P990" s="19"/>
      <c r="Q990" s="20"/>
      <c r="R990" s="25"/>
      <c r="S990" s="20"/>
      <c r="X990" s="19"/>
      <c r="Y990" s="20"/>
    </row>
    <row r="991" spans="16:25">
      <c r="P991" s="19"/>
      <c r="Q991" s="20"/>
      <c r="R991" s="25"/>
      <c r="S991" s="20"/>
      <c r="X991" s="19"/>
      <c r="Y991" s="20"/>
    </row>
    <row r="992" spans="16:25">
      <c r="P992" s="19"/>
      <c r="Q992" s="20"/>
      <c r="R992" s="25"/>
      <c r="S992" s="20"/>
      <c r="X992" s="19"/>
      <c r="Y992" s="20"/>
    </row>
    <row r="993" spans="16:25">
      <c r="P993" s="19"/>
      <c r="Q993" s="20"/>
      <c r="R993" s="25"/>
      <c r="S993" s="20"/>
      <c r="X993" s="19"/>
      <c r="Y993" s="20"/>
    </row>
    <row r="994" spans="16:25">
      <c r="P994" s="19"/>
      <c r="Q994" s="20"/>
      <c r="R994" s="25"/>
      <c r="S994" s="20"/>
      <c r="X994" s="19"/>
      <c r="Y994" s="20"/>
    </row>
    <row r="995" spans="16:25">
      <c r="P995" s="19"/>
      <c r="Q995" s="20"/>
      <c r="R995" s="25"/>
      <c r="S995" s="20"/>
      <c r="X995" s="19"/>
      <c r="Y995" s="20"/>
    </row>
    <row r="996" spans="16:25">
      <c r="P996" s="19"/>
      <c r="Q996" s="20"/>
      <c r="R996" s="25"/>
      <c r="S996" s="20"/>
      <c r="X996" s="19"/>
      <c r="Y996" s="20"/>
    </row>
    <row r="997" spans="16:25">
      <c r="P997" s="19"/>
      <c r="Q997" s="20"/>
      <c r="R997" s="25"/>
      <c r="S997" s="20"/>
      <c r="X997" s="19"/>
      <c r="Y997" s="20"/>
    </row>
    <row r="998" spans="16:25">
      <c r="P998" s="19"/>
      <c r="Q998" s="20"/>
      <c r="R998" s="25"/>
      <c r="S998" s="20"/>
      <c r="X998" s="19"/>
      <c r="Y998" s="20"/>
    </row>
    <row r="999" spans="16:25">
      <c r="P999" s="19"/>
      <c r="Q999" s="20"/>
      <c r="R999" s="25"/>
      <c r="S999" s="20"/>
      <c r="X999" s="19"/>
      <c r="Y999" s="20"/>
    </row>
    <row r="1000" spans="16:25">
      <c r="P1000" s="19"/>
      <c r="Q1000" s="20"/>
      <c r="R1000" s="25"/>
      <c r="S1000" s="20"/>
      <c r="X1000" s="19"/>
      <c r="Y1000" s="20"/>
    </row>
    <row r="1001" spans="16:25">
      <c r="P1001" s="19"/>
      <c r="Q1001" s="20"/>
      <c r="R1001" s="25"/>
      <c r="S1001" s="20"/>
      <c r="X1001" s="19"/>
      <c r="Y1001" s="20"/>
    </row>
    <row r="1002" spans="16:25">
      <c r="P1002" s="19"/>
      <c r="Q1002" s="20"/>
      <c r="R1002" s="25"/>
      <c r="S1002" s="20"/>
      <c r="X1002" s="19"/>
      <c r="Y1002" s="20"/>
    </row>
    <row r="1003" spans="16:25">
      <c r="P1003" s="19"/>
      <c r="Q1003" s="20"/>
      <c r="R1003" s="25"/>
      <c r="S1003" s="20"/>
      <c r="X1003" s="19"/>
      <c r="Y1003" s="20"/>
    </row>
    <row r="1004" spans="16:25">
      <c r="P1004" s="19"/>
      <c r="Q1004" s="20"/>
      <c r="R1004" s="25"/>
      <c r="S1004" s="20"/>
      <c r="X1004" s="19"/>
      <c r="Y1004" s="20"/>
    </row>
    <row r="1005" spans="16:25">
      <c r="P1005" s="19"/>
      <c r="Q1005" s="20"/>
      <c r="R1005" s="25"/>
      <c r="S1005" s="20"/>
      <c r="X1005" s="19"/>
      <c r="Y1005" s="20"/>
    </row>
    <row r="1006" spans="16:25">
      <c r="P1006" s="19"/>
      <c r="Q1006" s="20"/>
      <c r="R1006" s="25"/>
      <c r="S1006" s="20"/>
      <c r="X1006" s="19"/>
      <c r="Y1006" s="20"/>
    </row>
    <row r="1007" spans="16:25">
      <c r="P1007" s="19"/>
      <c r="Q1007" s="20"/>
      <c r="R1007" s="25"/>
      <c r="S1007" s="20"/>
      <c r="X1007" s="19"/>
      <c r="Y1007" s="20"/>
    </row>
    <row r="1008" spans="16:25">
      <c r="P1008" s="19"/>
      <c r="Q1008" s="20"/>
      <c r="R1008" s="25"/>
      <c r="S1008" s="20"/>
      <c r="X1008" s="19"/>
      <c r="Y1008" s="20"/>
    </row>
    <row r="1009" spans="16:25">
      <c r="P1009" s="19"/>
      <c r="Q1009" s="20"/>
      <c r="R1009" s="25"/>
      <c r="S1009" s="20"/>
      <c r="X1009" s="19"/>
      <c r="Y1009" s="20"/>
    </row>
    <row r="1010" spans="16:25">
      <c r="P1010" s="19"/>
      <c r="Q1010" s="20"/>
      <c r="R1010" s="25"/>
      <c r="S1010" s="20"/>
      <c r="X1010" s="19"/>
      <c r="Y1010" s="20"/>
    </row>
    <row r="1011" spans="16:25">
      <c r="P1011" s="19"/>
      <c r="Q1011" s="20"/>
      <c r="R1011" s="25"/>
      <c r="S1011" s="20"/>
      <c r="X1011" s="19"/>
      <c r="Y1011" s="20"/>
    </row>
    <row r="1012" spans="16:25">
      <c r="P1012" s="19"/>
      <c r="Q1012" s="20"/>
      <c r="R1012" s="25"/>
      <c r="S1012" s="20"/>
      <c r="X1012" s="19"/>
      <c r="Y1012" s="20"/>
    </row>
    <row r="1013" spans="16:25">
      <c r="P1013" s="19"/>
      <c r="Q1013" s="20"/>
      <c r="R1013" s="25"/>
      <c r="S1013" s="20"/>
      <c r="X1013" s="19"/>
      <c r="Y1013" s="20"/>
    </row>
    <row r="1014" spans="16:25">
      <c r="P1014" s="19"/>
      <c r="Q1014" s="20"/>
      <c r="R1014" s="25"/>
      <c r="S1014" s="20"/>
      <c r="X1014" s="19"/>
      <c r="Y1014" s="20"/>
    </row>
    <row r="1015" spans="16:25">
      <c r="P1015" s="19"/>
      <c r="Q1015" s="20"/>
      <c r="R1015" s="25"/>
      <c r="S1015" s="20"/>
      <c r="X1015" s="19"/>
      <c r="Y1015" s="20"/>
    </row>
    <row r="1016" spans="16:25">
      <c r="P1016" s="19"/>
      <c r="Q1016" s="20"/>
      <c r="R1016" s="25"/>
      <c r="S1016" s="20"/>
      <c r="X1016" s="19"/>
      <c r="Y1016" s="20"/>
    </row>
    <row r="1017" spans="16:25">
      <c r="P1017" s="19"/>
      <c r="Q1017" s="20"/>
      <c r="R1017" s="25"/>
      <c r="S1017" s="20"/>
      <c r="X1017" s="19"/>
      <c r="Y1017" s="20"/>
    </row>
    <row r="1018" spans="16:25">
      <c r="P1018" s="19"/>
      <c r="Q1018" s="20"/>
      <c r="R1018" s="25"/>
      <c r="S1018" s="20"/>
      <c r="X1018" s="19"/>
      <c r="Y1018" s="20"/>
    </row>
    <row r="1019" spans="16:25">
      <c r="P1019" s="19"/>
      <c r="Q1019" s="20"/>
      <c r="R1019" s="25"/>
      <c r="S1019" s="20"/>
      <c r="X1019" s="19"/>
      <c r="Y1019" s="20"/>
    </row>
    <row r="1020" spans="16:25">
      <c r="P1020" s="19"/>
      <c r="Q1020" s="20"/>
      <c r="R1020" s="25"/>
      <c r="S1020" s="20"/>
      <c r="X1020" s="19"/>
      <c r="Y1020" s="20"/>
    </row>
    <row r="1021" spans="16:25">
      <c r="P1021" s="19"/>
      <c r="Q1021" s="20"/>
      <c r="R1021" s="25"/>
      <c r="S1021" s="20"/>
      <c r="X1021" s="19"/>
      <c r="Y1021" s="20"/>
    </row>
    <row r="1022" spans="16:25">
      <c r="P1022" s="19"/>
      <c r="Q1022" s="20"/>
      <c r="R1022" s="25"/>
      <c r="S1022" s="20"/>
      <c r="X1022" s="19"/>
      <c r="Y1022" s="20"/>
    </row>
    <row r="1023" spans="16:25">
      <c r="P1023" s="19"/>
      <c r="Q1023" s="20"/>
      <c r="R1023" s="25"/>
      <c r="S1023" s="20"/>
      <c r="X1023" s="19"/>
      <c r="Y1023" s="20"/>
    </row>
    <row r="1024" spans="16:25">
      <c r="P1024" s="19"/>
      <c r="Q1024" s="20"/>
      <c r="R1024" s="25"/>
      <c r="S1024" s="20"/>
      <c r="X1024" s="19"/>
      <c r="Y1024" s="20"/>
    </row>
    <row r="1025" spans="16:25">
      <c r="P1025" s="19"/>
      <c r="Q1025" s="20"/>
      <c r="R1025" s="25"/>
      <c r="S1025" s="20"/>
      <c r="X1025" s="19"/>
      <c r="Y1025" s="20"/>
    </row>
    <row r="1026" spans="16:25">
      <c r="P1026" s="19"/>
      <c r="Q1026" s="20"/>
      <c r="R1026" s="25"/>
      <c r="S1026" s="20"/>
      <c r="X1026" s="19"/>
      <c r="Y1026" s="20"/>
    </row>
    <row r="1027" spans="16:25">
      <c r="P1027" s="19"/>
      <c r="Q1027" s="20"/>
      <c r="R1027" s="25"/>
      <c r="S1027" s="20"/>
      <c r="X1027" s="19"/>
      <c r="Y1027" s="20"/>
    </row>
    <row r="1028" spans="16:25">
      <c r="P1028" s="19"/>
      <c r="Q1028" s="20"/>
      <c r="R1028" s="25"/>
      <c r="S1028" s="20"/>
      <c r="X1028" s="19"/>
      <c r="Y1028" s="20"/>
    </row>
    <row r="1029" spans="16:25">
      <c r="P1029" s="19"/>
      <c r="Q1029" s="20"/>
      <c r="R1029" s="25"/>
      <c r="S1029" s="20"/>
      <c r="X1029" s="19"/>
      <c r="Y1029" s="20"/>
    </row>
    <row r="1030" spans="16:25">
      <c r="P1030" s="19"/>
      <c r="Q1030" s="20"/>
      <c r="R1030" s="25"/>
      <c r="S1030" s="20"/>
      <c r="X1030" s="19"/>
      <c r="Y1030" s="20"/>
    </row>
    <row r="1031" spans="16:25">
      <c r="P1031" s="19"/>
      <c r="Q1031" s="20"/>
      <c r="R1031" s="25"/>
      <c r="S1031" s="20"/>
      <c r="X1031" s="19"/>
      <c r="Y1031" s="20"/>
    </row>
    <row r="1032" spans="16:25">
      <c r="P1032" s="19"/>
      <c r="Q1032" s="20"/>
      <c r="R1032" s="25"/>
      <c r="S1032" s="20"/>
      <c r="X1032" s="19"/>
      <c r="Y1032" s="20"/>
    </row>
    <row r="1033" spans="16:25">
      <c r="P1033" s="19"/>
      <c r="Q1033" s="20"/>
      <c r="R1033" s="25"/>
      <c r="S1033" s="20"/>
      <c r="X1033" s="19"/>
      <c r="Y1033" s="20"/>
    </row>
    <row r="1034" spans="16:25">
      <c r="P1034" s="19"/>
      <c r="Q1034" s="20"/>
      <c r="R1034" s="25"/>
      <c r="S1034" s="20"/>
      <c r="X1034" s="19"/>
      <c r="Y1034" s="20"/>
    </row>
    <row r="1035" spans="16:25">
      <c r="P1035" s="19"/>
      <c r="Q1035" s="20"/>
      <c r="R1035" s="25"/>
      <c r="S1035" s="20"/>
      <c r="X1035" s="19"/>
      <c r="Y1035" s="20"/>
    </row>
    <row r="1036" spans="16:25">
      <c r="P1036" s="19"/>
      <c r="Q1036" s="20"/>
      <c r="R1036" s="25"/>
      <c r="S1036" s="20"/>
      <c r="X1036" s="19"/>
      <c r="Y1036" s="20"/>
    </row>
    <row r="1037" spans="16:25">
      <c r="P1037" s="19"/>
      <c r="Q1037" s="20"/>
      <c r="R1037" s="25"/>
      <c r="S1037" s="20"/>
      <c r="X1037" s="19"/>
      <c r="Y1037" s="20"/>
    </row>
    <row r="1038" spans="16:25">
      <c r="P1038" s="19"/>
      <c r="Q1038" s="20"/>
      <c r="R1038" s="25"/>
      <c r="S1038" s="20"/>
      <c r="X1038" s="19"/>
      <c r="Y1038" s="20"/>
    </row>
    <row r="1039" spans="16:25">
      <c r="P1039" s="19"/>
      <c r="Q1039" s="20"/>
      <c r="R1039" s="25"/>
      <c r="S1039" s="20"/>
      <c r="X1039" s="19"/>
      <c r="Y1039" s="20"/>
    </row>
    <row r="1040" spans="16:25">
      <c r="P1040" s="19"/>
      <c r="Q1040" s="20"/>
      <c r="R1040" s="25"/>
      <c r="S1040" s="20"/>
      <c r="X1040" s="19"/>
      <c r="Y1040" s="20"/>
    </row>
    <row r="1041" spans="16:25">
      <c r="P1041" s="19"/>
      <c r="Q1041" s="20"/>
      <c r="R1041" s="25"/>
      <c r="S1041" s="20"/>
      <c r="X1041" s="19"/>
      <c r="Y1041" s="20"/>
    </row>
    <row r="1042" spans="16:25">
      <c r="P1042" s="19"/>
      <c r="Q1042" s="20"/>
      <c r="R1042" s="25"/>
      <c r="S1042" s="20"/>
      <c r="X1042" s="19"/>
      <c r="Y1042" s="20"/>
    </row>
    <row r="1043" spans="16:25">
      <c r="P1043" s="19"/>
      <c r="Q1043" s="20"/>
      <c r="R1043" s="25"/>
      <c r="S1043" s="20"/>
      <c r="X1043" s="19"/>
      <c r="Y1043" s="20"/>
    </row>
    <row r="1044" spans="16:25">
      <c r="P1044" s="19"/>
      <c r="Q1044" s="20"/>
      <c r="R1044" s="25"/>
      <c r="S1044" s="20"/>
      <c r="X1044" s="19"/>
      <c r="Y1044" s="20"/>
    </row>
    <row r="1045" spans="16:25">
      <c r="P1045" s="19"/>
      <c r="Q1045" s="20"/>
      <c r="R1045" s="25"/>
      <c r="S1045" s="20"/>
      <c r="X1045" s="19"/>
      <c r="Y1045" s="20"/>
    </row>
    <row r="1046" spans="16:25">
      <c r="P1046" s="19"/>
      <c r="Q1046" s="20"/>
      <c r="R1046" s="25"/>
      <c r="S1046" s="20"/>
      <c r="X1046" s="19"/>
      <c r="Y1046" s="20"/>
    </row>
    <row r="1047" spans="16:25">
      <c r="P1047" s="19"/>
      <c r="Q1047" s="20"/>
      <c r="R1047" s="25"/>
      <c r="S1047" s="20"/>
      <c r="X1047" s="19"/>
      <c r="Y1047" s="20"/>
    </row>
    <row r="1048" spans="16:25">
      <c r="P1048" s="19"/>
      <c r="Q1048" s="20"/>
      <c r="R1048" s="25"/>
      <c r="S1048" s="20"/>
      <c r="X1048" s="19"/>
      <c r="Y1048" s="20"/>
    </row>
    <row r="1049" spans="16:25">
      <c r="P1049" s="19"/>
      <c r="Q1049" s="20"/>
      <c r="R1049" s="25"/>
      <c r="S1049" s="20"/>
      <c r="X1049" s="19"/>
      <c r="Y1049" s="20"/>
    </row>
    <row r="1050" spans="16:25">
      <c r="P1050" s="19"/>
      <c r="Q1050" s="20"/>
      <c r="R1050" s="25"/>
      <c r="S1050" s="20"/>
      <c r="X1050" s="19"/>
      <c r="Y1050" s="20"/>
    </row>
    <row r="1051" spans="16:25">
      <c r="P1051" s="19"/>
      <c r="Q1051" s="20"/>
      <c r="R1051" s="25"/>
      <c r="S1051" s="20"/>
      <c r="X1051" s="19"/>
      <c r="Y1051" s="20"/>
    </row>
    <row r="1052" spans="16:25">
      <c r="P1052" s="19"/>
      <c r="Q1052" s="20"/>
      <c r="R1052" s="25"/>
      <c r="S1052" s="20"/>
      <c r="X1052" s="19"/>
      <c r="Y1052" s="20"/>
    </row>
    <row r="1053" spans="16:25">
      <c r="P1053" s="19"/>
      <c r="Q1053" s="20"/>
      <c r="R1053" s="25"/>
      <c r="S1053" s="20"/>
      <c r="X1053" s="19"/>
      <c r="Y1053" s="20"/>
    </row>
    <row r="1054" spans="16:25">
      <c r="P1054" s="19"/>
      <c r="Q1054" s="20"/>
      <c r="R1054" s="25"/>
      <c r="S1054" s="20"/>
      <c r="X1054" s="19"/>
      <c r="Y1054" s="20"/>
    </row>
    <row r="1055" spans="16:25">
      <c r="P1055" s="19"/>
      <c r="Q1055" s="20"/>
      <c r="R1055" s="25"/>
      <c r="S1055" s="20"/>
      <c r="X1055" s="19"/>
      <c r="Y1055" s="20"/>
    </row>
    <row r="1056" spans="16:25">
      <c r="P1056" s="19"/>
      <c r="Q1056" s="20"/>
      <c r="R1056" s="25"/>
      <c r="S1056" s="20"/>
      <c r="X1056" s="19"/>
      <c r="Y1056" s="20"/>
    </row>
    <row r="1057" spans="16:25">
      <c r="P1057" s="19"/>
      <c r="Q1057" s="20"/>
      <c r="R1057" s="25"/>
      <c r="S1057" s="20"/>
      <c r="X1057" s="19"/>
      <c r="Y1057" s="20"/>
    </row>
    <row r="1058" spans="16:25">
      <c r="P1058" s="19"/>
      <c r="Q1058" s="20"/>
      <c r="R1058" s="25"/>
      <c r="S1058" s="20"/>
      <c r="X1058" s="19"/>
      <c r="Y1058" s="20"/>
    </row>
    <row r="1059" spans="16:25">
      <c r="P1059" s="19"/>
      <c r="Q1059" s="20"/>
      <c r="R1059" s="25"/>
      <c r="S1059" s="20"/>
      <c r="X1059" s="19"/>
      <c r="Y1059" s="20"/>
    </row>
    <row r="1060" spans="16:25">
      <c r="P1060" s="19"/>
      <c r="Q1060" s="20"/>
      <c r="R1060" s="25"/>
      <c r="S1060" s="20"/>
      <c r="X1060" s="19"/>
      <c r="Y1060" s="20"/>
    </row>
    <row r="1061" spans="16:25">
      <c r="P1061" s="19"/>
      <c r="Q1061" s="20"/>
      <c r="R1061" s="25"/>
      <c r="S1061" s="20"/>
      <c r="X1061" s="19"/>
      <c r="Y1061" s="20"/>
    </row>
    <row r="1062" spans="16:25">
      <c r="P1062" s="19"/>
      <c r="Q1062" s="20"/>
      <c r="R1062" s="25"/>
      <c r="S1062" s="20"/>
      <c r="X1062" s="19"/>
      <c r="Y1062" s="20"/>
    </row>
    <row r="1063" spans="16:25">
      <c r="P1063" s="19"/>
      <c r="Q1063" s="20"/>
      <c r="R1063" s="25"/>
      <c r="S1063" s="20"/>
      <c r="X1063" s="19"/>
      <c r="Y1063" s="20"/>
    </row>
    <row r="1064" spans="16:25">
      <c r="P1064" s="19"/>
      <c r="Q1064" s="20"/>
      <c r="R1064" s="25"/>
      <c r="S1064" s="20"/>
      <c r="X1064" s="19"/>
      <c r="Y1064" s="20"/>
    </row>
    <row r="1065" spans="16:25">
      <c r="P1065" s="19"/>
      <c r="Q1065" s="20"/>
      <c r="R1065" s="25"/>
      <c r="S1065" s="20"/>
      <c r="X1065" s="19"/>
      <c r="Y1065" s="20"/>
    </row>
    <row r="1066" spans="16:25">
      <c r="P1066" s="19"/>
      <c r="Q1066" s="20"/>
      <c r="R1066" s="25"/>
      <c r="S1066" s="20"/>
      <c r="X1066" s="19"/>
      <c r="Y1066" s="20"/>
    </row>
    <row r="1067" spans="16:25">
      <c r="P1067" s="19"/>
      <c r="Q1067" s="20"/>
      <c r="R1067" s="25"/>
      <c r="S1067" s="20"/>
      <c r="X1067" s="19"/>
      <c r="Y1067" s="20"/>
    </row>
    <row r="1068" spans="16:25">
      <c r="P1068" s="19"/>
      <c r="Q1068" s="20"/>
      <c r="R1068" s="25"/>
      <c r="S1068" s="20"/>
      <c r="X1068" s="19"/>
      <c r="Y1068" s="20"/>
    </row>
    <row r="1069" spans="16:25">
      <c r="P1069" s="19"/>
      <c r="Q1069" s="20"/>
      <c r="R1069" s="25"/>
      <c r="S1069" s="20"/>
      <c r="X1069" s="19"/>
      <c r="Y1069" s="20"/>
    </row>
    <row r="1070" spans="16:25">
      <c r="P1070" s="19"/>
      <c r="Q1070" s="20"/>
      <c r="R1070" s="25"/>
      <c r="S1070" s="20"/>
      <c r="X1070" s="19"/>
      <c r="Y1070" s="20"/>
    </row>
    <row r="1071" spans="16:25">
      <c r="P1071" s="19"/>
      <c r="Q1071" s="20"/>
      <c r="R1071" s="25"/>
      <c r="S1071" s="20"/>
      <c r="X1071" s="19"/>
      <c r="Y1071" s="20"/>
    </row>
    <row r="1072" spans="16:25">
      <c r="P1072" s="19"/>
      <c r="Q1072" s="20"/>
      <c r="R1072" s="25"/>
      <c r="S1072" s="20"/>
      <c r="X1072" s="19"/>
      <c r="Y1072" s="20"/>
    </row>
    <row r="1073" spans="16:25">
      <c r="P1073" s="19"/>
      <c r="Q1073" s="20"/>
      <c r="R1073" s="25"/>
      <c r="S1073" s="20"/>
      <c r="X1073" s="19"/>
      <c r="Y1073" s="20"/>
    </row>
    <row r="1074" spans="16:25">
      <c r="P1074" s="19"/>
      <c r="Q1074" s="20"/>
      <c r="R1074" s="25"/>
      <c r="S1074" s="20"/>
      <c r="X1074" s="19"/>
      <c r="Y1074" s="20"/>
    </row>
    <row r="1075" spans="16:25">
      <c r="P1075" s="19"/>
      <c r="Q1075" s="20"/>
      <c r="R1075" s="25"/>
      <c r="S1075" s="20"/>
      <c r="X1075" s="19"/>
      <c r="Y1075" s="20"/>
    </row>
    <row r="1076" spans="16:25">
      <c r="P1076" s="19"/>
      <c r="Q1076" s="20"/>
      <c r="R1076" s="25"/>
      <c r="S1076" s="20"/>
      <c r="X1076" s="19"/>
      <c r="Y1076" s="20"/>
    </row>
    <row r="1077" spans="16:25">
      <c r="P1077" s="19"/>
      <c r="Q1077" s="20"/>
      <c r="R1077" s="25"/>
      <c r="S1077" s="20"/>
      <c r="X1077" s="19"/>
      <c r="Y1077" s="20"/>
    </row>
    <row r="1078" spans="16:25">
      <c r="P1078" s="19"/>
      <c r="Q1078" s="20"/>
      <c r="R1078" s="25"/>
      <c r="S1078" s="20"/>
      <c r="X1078" s="19"/>
      <c r="Y1078" s="20"/>
    </row>
    <row r="1079" spans="16:25">
      <c r="P1079" s="19"/>
      <c r="Q1079" s="20"/>
      <c r="R1079" s="25"/>
      <c r="S1079" s="20"/>
      <c r="X1079" s="19"/>
      <c r="Y1079" s="20"/>
    </row>
    <row r="1080" spans="16:25">
      <c r="P1080" s="19"/>
      <c r="Q1080" s="20"/>
      <c r="R1080" s="25"/>
      <c r="S1080" s="20"/>
      <c r="X1080" s="19"/>
      <c r="Y1080" s="20"/>
    </row>
    <row r="1081" spans="16:25">
      <c r="P1081" s="19"/>
      <c r="Q1081" s="20"/>
      <c r="R1081" s="25"/>
      <c r="S1081" s="20"/>
      <c r="X1081" s="19"/>
      <c r="Y1081" s="20"/>
    </row>
    <row r="1082" spans="16:25">
      <c r="P1082" s="19"/>
      <c r="Q1082" s="20"/>
      <c r="R1082" s="25"/>
      <c r="S1082" s="20"/>
      <c r="X1082" s="19"/>
      <c r="Y1082" s="20"/>
    </row>
    <row r="1083" spans="16:25">
      <c r="P1083" s="19"/>
      <c r="Q1083" s="20"/>
      <c r="R1083" s="25"/>
      <c r="S1083" s="20"/>
      <c r="X1083" s="19"/>
      <c r="Y1083" s="20"/>
    </row>
    <row r="1084" spans="16:25">
      <c r="P1084" s="19"/>
      <c r="Q1084" s="20"/>
      <c r="R1084" s="25"/>
      <c r="S1084" s="20"/>
      <c r="X1084" s="19"/>
      <c r="Y1084" s="20"/>
    </row>
    <row r="1085" spans="16:25">
      <c r="P1085" s="19"/>
      <c r="Q1085" s="20"/>
      <c r="R1085" s="25"/>
      <c r="S1085" s="20"/>
      <c r="X1085" s="19"/>
      <c r="Y1085" s="20"/>
    </row>
    <row r="1086" spans="16:25">
      <c r="P1086" s="19"/>
      <c r="Q1086" s="20"/>
      <c r="R1086" s="25"/>
      <c r="S1086" s="20"/>
      <c r="X1086" s="19"/>
      <c r="Y1086" s="20"/>
    </row>
    <row r="1087" spans="16:25">
      <c r="P1087" s="19"/>
      <c r="Q1087" s="20"/>
      <c r="R1087" s="25"/>
      <c r="S1087" s="20"/>
      <c r="X1087" s="19"/>
      <c r="Y1087" s="20"/>
    </row>
    <row r="1088" spans="16:25">
      <c r="P1088" s="19"/>
      <c r="Q1088" s="20"/>
      <c r="R1088" s="25"/>
      <c r="S1088" s="20"/>
      <c r="X1088" s="19"/>
      <c r="Y1088" s="20"/>
    </row>
    <row r="1089" spans="16:25">
      <c r="P1089" s="19"/>
      <c r="Q1089" s="20"/>
      <c r="R1089" s="25"/>
      <c r="S1089" s="20"/>
      <c r="X1089" s="19"/>
      <c r="Y1089" s="20"/>
    </row>
    <row r="1090" spans="16:25">
      <c r="P1090" s="19"/>
      <c r="Q1090" s="20"/>
      <c r="R1090" s="25"/>
      <c r="S1090" s="20"/>
      <c r="X1090" s="19"/>
      <c r="Y1090" s="20"/>
    </row>
    <row r="1091" spans="16:25">
      <c r="P1091" s="19"/>
      <c r="Q1091" s="20"/>
      <c r="R1091" s="25"/>
      <c r="S1091" s="20"/>
      <c r="X1091" s="19"/>
      <c r="Y1091" s="20"/>
    </row>
    <row r="1092" spans="16:25">
      <c r="P1092" s="19"/>
      <c r="Q1092" s="20"/>
      <c r="R1092" s="25"/>
      <c r="S1092" s="20"/>
      <c r="X1092" s="19"/>
      <c r="Y1092" s="20"/>
    </row>
    <row r="1093" spans="16:25">
      <c r="P1093" s="19"/>
      <c r="Q1093" s="20"/>
      <c r="R1093" s="25"/>
      <c r="S1093" s="20"/>
      <c r="X1093" s="19"/>
      <c r="Y1093" s="20"/>
    </row>
    <row r="1094" spans="16:25">
      <c r="P1094" s="19"/>
      <c r="Q1094" s="20"/>
      <c r="R1094" s="25"/>
      <c r="S1094" s="20"/>
      <c r="X1094" s="19"/>
      <c r="Y1094" s="20"/>
    </row>
    <row r="1095" spans="16:25">
      <c r="P1095" s="19"/>
      <c r="Q1095" s="20"/>
      <c r="R1095" s="25"/>
      <c r="S1095" s="20"/>
      <c r="X1095" s="19"/>
      <c r="Y1095" s="20"/>
    </row>
    <row r="1096" spans="16:25">
      <c r="P1096" s="19"/>
      <c r="Q1096" s="20"/>
      <c r="R1096" s="25"/>
      <c r="S1096" s="20"/>
      <c r="X1096" s="19"/>
      <c r="Y1096" s="20"/>
    </row>
    <row r="1097" spans="16:25">
      <c r="P1097" s="19"/>
      <c r="Q1097" s="20"/>
      <c r="R1097" s="25"/>
      <c r="S1097" s="20"/>
      <c r="X1097" s="19"/>
      <c r="Y1097" s="20"/>
    </row>
    <row r="1098" spans="16:25">
      <c r="P1098" s="19"/>
      <c r="Q1098" s="20"/>
      <c r="R1098" s="25"/>
      <c r="S1098" s="20"/>
      <c r="X1098" s="19"/>
      <c r="Y1098" s="20"/>
    </row>
    <row r="1099" spans="16:25">
      <c r="P1099" s="19"/>
      <c r="Q1099" s="20"/>
      <c r="R1099" s="25"/>
      <c r="S1099" s="20"/>
      <c r="X1099" s="19"/>
      <c r="Y1099" s="20"/>
    </row>
    <row r="1100" spans="16:25">
      <c r="P1100" s="19"/>
      <c r="Q1100" s="20"/>
      <c r="R1100" s="25"/>
      <c r="S1100" s="20"/>
      <c r="X1100" s="19"/>
      <c r="Y1100" s="20"/>
    </row>
    <row r="1101" spans="16:25">
      <c r="P1101" s="19"/>
      <c r="Q1101" s="20"/>
      <c r="R1101" s="25"/>
      <c r="S1101" s="20"/>
      <c r="X1101" s="19"/>
      <c r="Y1101" s="20"/>
    </row>
    <row r="1102" spans="16:25">
      <c r="P1102" s="19"/>
      <c r="Q1102" s="20"/>
      <c r="R1102" s="25"/>
      <c r="S1102" s="20"/>
      <c r="X1102" s="19"/>
      <c r="Y1102" s="20"/>
    </row>
    <row r="1103" spans="16:25">
      <c r="P1103" s="19"/>
      <c r="Q1103" s="20"/>
      <c r="R1103" s="25"/>
      <c r="S1103" s="20"/>
      <c r="X1103" s="19"/>
      <c r="Y1103" s="20"/>
    </row>
    <row r="1104" spans="16:25">
      <c r="P1104" s="19"/>
      <c r="Q1104" s="20"/>
      <c r="R1104" s="25"/>
      <c r="S1104" s="20"/>
      <c r="X1104" s="19"/>
      <c r="Y1104" s="20"/>
    </row>
    <row r="1105" spans="16:25">
      <c r="P1105" s="19"/>
      <c r="Q1105" s="20"/>
      <c r="R1105" s="25"/>
      <c r="S1105" s="20"/>
      <c r="X1105" s="19"/>
      <c r="Y1105" s="20"/>
    </row>
    <row r="1106" spans="16:25">
      <c r="P1106" s="19"/>
      <c r="Q1106" s="20"/>
      <c r="R1106" s="25"/>
      <c r="S1106" s="20"/>
      <c r="X1106" s="19"/>
      <c r="Y1106" s="20"/>
    </row>
    <row r="1107" spans="16:25">
      <c r="P1107" s="19"/>
      <c r="Q1107" s="20"/>
      <c r="R1107" s="25"/>
      <c r="S1107" s="20"/>
      <c r="X1107" s="19"/>
      <c r="Y1107" s="20"/>
    </row>
    <row r="1108" spans="16:25">
      <c r="P1108" s="19"/>
      <c r="Q1108" s="20"/>
      <c r="R1108" s="25"/>
      <c r="S1108" s="20"/>
      <c r="X1108" s="19"/>
      <c r="Y1108" s="20"/>
    </row>
    <row r="1109" spans="16:25">
      <c r="P1109" s="19"/>
      <c r="Q1109" s="20"/>
      <c r="R1109" s="25"/>
      <c r="S1109" s="20"/>
      <c r="X1109" s="19"/>
      <c r="Y1109" s="20"/>
    </row>
    <row r="1110" spans="16:25">
      <c r="P1110" s="19"/>
      <c r="Q1110" s="20"/>
      <c r="R1110" s="25"/>
      <c r="S1110" s="20"/>
      <c r="X1110" s="19"/>
      <c r="Y1110" s="20"/>
    </row>
    <row r="1111" spans="16:25">
      <c r="P1111" s="19"/>
      <c r="Q1111" s="20"/>
      <c r="R1111" s="25"/>
      <c r="S1111" s="20"/>
      <c r="X1111" s="19"/>
      <c r="Y1111" s="20"/>
    </row>
    <row r="1112" spans="16:25">
      <c r="P1112" s="19"/>
      <c r="Q1112" s="20"/>
      <c r="R1112" s="25"/>
      <c r="S1112" s="20"/>
      <c r="X1112" s="19"/>
      <c r="Y1112" s="20"/>
    </row>
    <row r="1113" spans="16:25">
      <c r="P1113" s="19"/>
      <c r="Q1113" s="20"/>
      <c r="R1113" s="25"/>
      <c r="S1113" s="20"/>
      <c r="X1113" s="19"/>
      <c r="Y1113" s="20"/>
    </row>
    <row r="1114" spans="16:25">
      <c r="P1114" s="19"/>
      <c r="Q1114" s="20"/>
      <c r="R1114" s="25"/>
      <c r="S1114" s="20"/>
      <c r="X1114" s="19"/>
      <c r="Y1114" s="20"/>
    </row>
    <row r="1115" spans="16:25">
      <c r="P1115" s="19"/>
      <c r="Q1115" s="20"/>
      <c r="R1115" s="25"/>
      <c r="S1115" s="20"/>
      <c r="X1115" s="19"/>
      <c r="Y1115" s="20"/>
    </row>
    <row r="1116" spans="16:25">
      <c r="P1116" s="19"/>
      <c r="Q1116" s="20"/>
      <c r="R1116" s="25"/>
      <c r="S1116" s="20"/>
      <c r="X1116" s="19"/>
      <c r="Y1116" s="20"/>
    </row>
    <row r="1117" spans="16:25">
      <c r="P1117" s="19"/>
      <c r="Q1117" s="20"/>
      <c r="R1117" s="25"/>
      <c r="S1117" s="20"/>
      <c r="X1117" s="19"/>
      <c r="Y1117" s="20"/>
    </row>
    <row r="1118" spans="16:25">
      <c r="P1118" s="19"/>
      <c r="Q1118" s="20"/>
      <c r="R1118" s="25"/>
      <c r="S1118" s="20"/>
      <c r="X1118" s="19"/>
      <c r="Y1118" s="20"/>
    </row>
    <row r="1119" spans="16:25">
      <c r="P1119" s="19"/>
      <c r="Q1119" s="20"/>
      <c r="R1119" s="25"/>
      <c r="S1119" s="20"/>
      <c r="X1119" s="19"/>
      <c r="Y1119" s="20"/>
    </row>
    <row r="1120" spans="16:25">
      <c r="P1120" s="19"/>
      <c r="Q1120" s="20"/>
      <c r="R1120" s="25"/>
      <c r="S1120" s="20"/>
      <c r="X1120" s="19"/>
      <c r="Y1120" s="20"/>
    </row>
    <row r="1121" spans="16:25">
      <c r="P1121" s="19"/>
      <c r="Q1121" s="20"/>
      <c r="R1121" s="25"/>
      <c r="S1121" s="20"/>
      <c r="X1121" s="19"/>
      <c r="Y1121" s="20"/>
    </row>
    <row r="1122" spans="16:25">
      <c r="P1122" s="19"/>
      <c r="Q1122" s="20"/>
      <c r="R1122" s="25"/>
      <c r="S1122" s="20"/>
      <c r="X1122" s="19"/>
      <c r="Y1122" s="20"/>
    </row>
    <row r="1123" spans="16:25">
      <c r="P1123" s="19"/>
      <c r="Q1123" s="20"/>
      <c r="R1123" s="25"/>
      <c r="S1123" s="20"/>
      <c r="X1123" s="19"/>
      <c r="Y1123" s="20"/>
    </row>
    <row r="1124" spans="16:25">
      <c r="P1124" s="19"/>
      <c r="Q1124" s="20"/>
      <c r="R1124" s="25"/>
      <c r="S1124" s="20"/>
      <c r="X1124" s="19"/>
      <c r="Y1124" s="20"/>
    </row>
    <row r="1125" spans="16:25">
      <c r="P1125" s="19"/>
      <c r="Q1125" s="20"/>
      <c r="R1125" s="25"/>
      <c r="S1125" s="20"/>
      <c r="X1125" s="19"/>
      <c r="Y1125" s="20"/>
    </row>
    <row r="1126" spans="16:25">
      <c r="P1126" s="19"/>
      <c r="Q1126" s="20"/>
      <c r="R1126" s="25"/>
      <c r="S1126" s="20"/>
      <c r="X1126" s="19"/>
      <c r="Y1126" s="20"/>
    </row>
    <row r="1127" spans="16:25">
      <c r="P1127" s="19"/>
      <c r="Q1127" s="20"/>
      <c r="R1127" s="25"/>
      <c r="S1127" s="20"/>
      <c r="X1127" s="19"/>
      <c r="Y1127" s="20"/>
    </row>
    <row r="1128" spans="16:25">
      <c r="P1128" s="19"/>
      <c r="Q1128" s="20"/>
      <c r="R1128" s="25"/>
      <c r="S1128" s="20"/>
      <c r="X1128" s="19"/>
      <c r="Y1128" s="20"/>
    </row>
    <row r="1129" spans="16:25">
      <c r="P1129" s="19"/>
      <c r="Q1129" s="20"/>
      <c r="R1129" s="25"/>
      <c r="S1129" s="20"/>
      <c r="X1129" s="19"/>
      <c r="Y1129" s="20"/>
    </row>
    <row r="1130" spans="16:25">
      <c r="P1130" s="19"/>
      <c r="Q1130" s="20"/>
      <c r="R1130" s="25"/>
      <c r="S1130" s="20"/>
      <c r="X1130" s="19"/>
      <c r="Y1130" s="20"/>
    </row>
    <row r="1131" spans="16:25">
      <c r="P1131" s="19"/>
      <c r="Q1131" s="20"/>
      <c r="R1131" s="25"/>
      <c r="S1131" s="20"/>
      <c r="X1131" s="19"/>
      <c r="Y1131" s="20"/>
    </row>
    <row r="1132" spans="16:25">
      <c r="P1132" s="19"/>
      <c r="Q1132" s="20"/>
      <c r="R1132" s="25"/>
      <c r="S1132" s="20"/>
      <c r="X1132" s="19"/>
      <c r="Y1132" s="20"/>
    </row>
    <row r="1133" spans="16:25">
      <c r="P1133" s="19"/>
      <c r="Q1133" s="20"/>
      <c r="R1133" s="25"/>
      <c r="S1133" s="20"/>
      <c r="X1133" s="19"/>
      <c r="Y1133" s="20"/>
    </row>
    <row r="1134" spans="16:25">
      <c r="P1134" s="19"/>
      <c r="Q1134" s="20"/>
      <c r="R1134" s="25"/>
      <c r="S1134" s="20"/>
      <c r="X1134" s="19"/>
      <c r="Y1134" s="20"/>
    </row>
    <row r="1135" spans="16:25">
      <c r="P1135" s="19"/>
      <c r="Q1135" s="20"/>
      <c r="R1135" s="25"/>
      <c r="S1135" s="20"/>
      <c r="X1135" s="19"/>
      <c r="Y1135" s="20"/>
    </row>
    <row r="1136" spans="16:25">
      <c r="P1136" s="19"/>
      <c r="Q1136" s="20"/>
      <c r="R1136" s="25"/>
      <c r="S1136" s="20"/>
      <c r="X1136" s="19"/>
      <c r="Y1136" s="20"/>
    </row>
    <row r="1137" spans="16:25">
      <c r="P1137" s="19"/>
      <c r="Q1137" s="20"/>
      <c r="R1137" s="25"/>
      <c r="S1137" s="20"/>
      <c r="X1137" s="19"/>
      <c r="Y1137" s="20"/>
    </row>
    <row r="1138" spans="16:25">
      <c r="P1138" s="19"/>
      <c r="Q1138" s="20"/>
      <c r="R1138" s="25"/>
      <c r="S1138" s="20"/>
      <c r="X1138" s="19"/>
      <c r="Y1138" s="20"/>
    </row>
    <row r="1139" spans="16:25">
      <c r="P1139" s="19"/>
      <c r="Q1139" s="20"/>
      <c r="R1139" s="25"/>
      <c r="S1139" s="20"/>
      <c r="X1139" s="19"/>
      <c r="Y1139" s="20"/>
    </row>
    <row r="1140" spans="16:25">
      <c r="P1140" s="19"/>
      <c r="Q1140" s="20"/>
      <c r="R1140" s="25"/>
      <c r="S1140" s="20"/>
      <c r="X1140" s="19"/>
      <c r="Y1140" s="20"/>
    </row>
    <row r="1141" spans="16:25">
      <c r="P1141" s="19"/>
      <c r="Q1141" s="20"/>
      <c r="R1141" s="25"/>
      <c r="S1141" s="20"/>
      <c r="X1141" s="19"/>
      <c r="Y1141" s="20"/>
    </row>
    <row r="1142" spans="16:25">
      <c r="P1142" s="19"/>
      <c r="Q1142" s="20"/>
      <c r="R1142" s="25"/>
      <c r="S1142" s="20"/>
      <c r="X1142" s="19"/>
      <c r="Y1142" s="20"/>
    </row>
    <row r="1143" spans="16:25">
      <c r="P1143" s="19"/>
      <c r="Q1143" s="20"/>
      <c r="R1143" s="25"/>
      <c r="S1143" s="20"/>
      <c r="X1143" s="19"/>
      <c r="Y1143" s="20"/>
    </row>
    <row r="1144" spans="16:25">
      <c r="P1144" s="19"/>
      <c r="Q1144" s="20"/>
      <c r="R1144" s="25"/>
      <c r="S1144" s="20"/>
      <c r="X1144" s="19"/>
      <c r="Y1144" s="20"/>
    </row>
    <row r="1145" spans="16:25">
      <c r="P1145" s="19"/>
      <c r="Q1145" s="20"/>
      <c r="R1145" s="25"/>
      <c r="S1145" s="20"/>
      <c r="X1145" s="19"/>
      <c r="Y1145" s="20"/>
    </row>
    <row r="1146" spans="16:25">
      <c r="P1146" s="19"/>
      <c r="Q1146" s="20"/>
      <c r="R1146" s="25"/>
      <c r="S1146" s="20"/>
      <c r="X1146" s="19"/>
      <c r="Y1146" s="20"/>
    </row>
    <row r="1147" spans="16:25">
      <c r="P1147" s="19"/>
      <c r="Q1147" s="20"/>
      <c r="R1147" s="25"/>
      <c r="S1147" s="20"/>
      <c r="X1147" s="19"/>
      <c r="Y1147" s="20"/>
    </row>
    <row r="1148" spans="16:25">
      <c r="P1148" s="19"/>
      <c r="Q1148" s="20"/>
      <c r="R1148" s="25"/>
      <c r="S1148" s="20"/>
      <c r="X1148" s="19"/>
      <c r="Y1148" s="20"/>
    </row>
    <row r="1149" spans="16:25">
      <c r="P1149" s="19"/>
      <c r="Q1149" s="20"/>
      <c r="R1149" s="25"/>
      <c r="S1149" s="20"/>
      <c r="X1149" s="19"/>
      <c r="Y1149" s="20"/>
    </row>
    <row r="1150" spans="16:25">
      <c r="P1150" s="19"/>
      <c r="Q1150" s="20"/>
      <c r="R1150" s="25"/>
      <c r="S1150" s="20"/>
      <c r="X1150" s="19"/>
      <c r="Y1150" s="20"/>
    </row>
    <row r="1151" spans="16:25">
      <c r="P1151" s="19"/>
      <c r="Q1151" s="20"/>
      <c r="R1151" s="25"/>
      <c r="S1151" s="20"/>
      <c r="X1151" s="19"/>
      <c r="Y1151" s="20"/>
    </row>
    <row r="1152" spans="16:25">
      <c r="P1152" s="19"/>
      <c r="Q1152" s="20"/>
      <c r="R1152" s="25"/>
      <c r="S1152" s="20"/>
      <c r="X1152" s="19"/>
      <c r="Y1152" s="20"/>
    </row>
    <row r="1153" spans="16:25">
      <c r="P1153" s="19"/>
      <c r="Q1153" s="20"/>
      <c r="R1153" s="25"/>
      <c r="S1153" s="20"/>
      <c r="X1153" s="19"/>
      <c r="Y1153" s="20"/>
    </row>
    <row r="1154" spans="16:25">
      <c r="P1154" s="19"/>
      <c r="Q1154" s="20"/>
      <c r="R1154" s="25"/>
      <c r="S1154" s="20"/>
      <c r="X1154" s="19"/>
      <c r="Y1154" s="20"/>
    </row>
    <row r="1155" spans="16:25">
      <c r="P1155" s="19"/>
      <c r="Q1155" s="20"/>
      <c r="R1155" s="25"/>
      <c r="S1155" s="20"/>
      <c r="X1155" s="19"/>
      <c r="Y1155" s="20"/>
    </row>
    <row r="1156" spans="16:25">
      <c r="P1156" s="19"/>
      <c r="Q1156" s="20"/>
      <c r="R1156" s="25"/>
      <c r="S1156" s="20"/>
      <c r="X1156" s="19"/>
      <c r="Y1156" s="20"/>
    </row>
    <row r="1157" spans="16:25">
      <c r="P1157" s="19"/>
      <c r="Q1157" s="20"/>
      <c r="R1157" s="25"/>
      <c r="S1157" s="20"/>
      <c r="X1157" s="19"/>
      <c r="Y1157" s="20"/>
    </row>
    <row r="1158" spans="16:25">
      <c r="P1158" s="19"/>
      <c r="Q1158" s="20"/>
      <c r="R1158" s="25"/>
      <c r="S1158" s="20"/>
      <c r="X1158" s="19"/>
      <c r="Y1158" s="20"/>
    </row>
    <row r="1159" spans="16:25">
      <c r="P1159" s="19"/>
      <c r="Q1159" s="20"/>
      <c r="R1159" s="25"/>
      <c r="S1159" s="20"/>
      <c r="X1159" s="19"/>
      <c r="Y1159" s="20"/>
    </row>
    <row r="1160" spans="16:25">
      <c r="P1160" s="19"/>
      <c r="Q1160" s="20"/>
      <c r="R1160" s="25"/>
      <c r="S1160" s="20"/>
      <c r="X1160" s="19"/>
      <c r="Y1160" s="20"/>
    </row>
    <row r="1161" spans="16:25">
      <c r="P1161" s="19"/>
      <c r="Q1161" s="20"/>
      <c r="R1161" s="25"/>
      <c r="S1161" s="20"/>
      <c r="X1161" s="19"/>
      <c r="Y1161" s="20"/>
    </row>
    <row r="1162" spans="16:25">
      <c r="P1162" s="19"/>
      <c r="Q1162" s="20"/>
      <c r="R1162" s="25"/>
      <c r="S1162" s="20"/>
      <c r="X1162" s="19"/>
      <c r="Y1162" s="20"/>
    </row>
    <row r="1163" spans="16:25">
      <c r="P1163" s="19"/>
      <c r="Q1163" s="20"/>
      <c r="R1163" s="25"/>
      <c r="S1163" s="20"/>
      <c r="X1163" s="19"/>
      <c r="Y1163" s="20"/>
    </row>
    <row r="1164" spans="16:25">
      <c r="P1164" s="19"/>
      <c r="Q1164" s="20"/>
      <c r="R1164" s="25"/>
      <c r="S1164" s="20"/>
      <c r="X1164" s="19"/>
      <c r="Y1164" s="20"/>
    </row>
    <row r="1165" spans="16:25">
      <c r="P1165" s="19"/>
      <c r="Q1165" s="20"/>
      <c r="R1165" s="25"/>
      <c r="S1165" s="20"/>
      <c r="X1165" s="19"/>
      <c r="Y1165" s="20"/>
    </row>
    <row r="1166" spans="16:25">
      <c r="P1166" s="19"/>
      <c r="Q1166" s="20"/>
      <c r="R1166" s="25"/>
      <c r="S1166" s="20"/>
      <c r="X1166" s="19"/>
      <c r="Y1166" s="20"/>
    </row>
    <row r="1167" spans="16:25">
      <c r="P1167" s="19"/>
      <c r="Q1167" s="20"/>
      <c r="R1167" s="25"/>
      <c r="S1167" s="20"/>
      <c r="X1167" s="19"/>
      <c r="Y1167" s="20"/>
    </row>
    <row r="1168" spans="16:25">
      <c r="P1168" s="19"/>
      <c r="Q1168" s="20"/>
      <c r="R1168" s="25"/>
      <c r="S1168" s="20"/>
      <c r="X1168" s="19"/>
      <c r="Y1168" s="20"/>
    </row>
    <row r="1169" spans="16:25">
      <c r="P1169" s="19"/>
      <c r="Q1169" s="20"/>
      <c r="R1169" s="25"/>
      <c r="S1169" s="20"/>
      <c r="X1169" s="19"/>
      <c r="Y1169" s="20"/>
    </row>
    <row r="1170" spans="16:25">
      <c r="P1170" s="19"/>
      <c r="Q1170" s="20"/>
      <c r="R1170" s="25"/>
      <c r="S1170" s="20"/>
      <c r="X1170" s="19"/>
      <c r="Y1170" s="20"/>
    </row>
    <row r="1171" spans="16:25">
      <c r="P1171" s="19"/>
      <c r="Q1171" s="20"/>
      <c r="R1171" s="25"/>
      <c r="S1171" s="20"/>
      <c r="X1171" s="19"/>
      <c r="Y1171" s="20"/>
    </row>
    <row r="1172" spans="16:25">
      <c r="P1172" s="19"/>
      <c r="Q1172" s="20"/>
      <c r="R1172" s="25"/>
      <c r="S1172" s="20"/>
      <c r="X1172" s="19"/>
      <c r="Y1172" s="20"/>
    </row>
    <row r="1173" spans="16:25">
      <c r="P1173" s="19"/>
      <c r="Q1173" s="20"/>
      <c r="R1173" s="25"/>
      <c r="S1173" s="20"/>
      <c r="X1173" s="19"/>
      <c r="Y1173" s="20"/>
    </row>
    <row r="1174" spans="16:25">
      <c r="P1174" s="19"/>
      <c r="Q1174" s="20"/>
      <c r="R1174" s="25"/>
      <c r="S1174" s="20"/>
      <c r="X1174" s="19"/>
      <c r="Y1174" s="20"/>
    </row>
    <row r="1175" spans="16:25">
      <c r="P1175" s="19"/>
      <c r="Q1175" s="20"/>
      <c r="R1175" s="25"/>
      <c r="S1175" s="20"/>
      <c r="X1175" s="19"/>
      <c r="Y1175" s="20"/>
    </row>
    <row r="1176" spans="16:25">
      <c r="P1176" s="19"/>
      <c r="Q1176" s="20"/>
      <c r="R1176" s="25"/>
      <c r="S1176" s="20"/>
      <c r="X1176" s="19"/>
      <c r="Y1176" s="20"/>
    </row>
    <row r="1177" spans="16:25">
      <c r="P1177" s="19"/>
      <c r="Q1177" s="20"/>
      <c r="R1177" s="25"/>
      <c r="S1177" s="20"/>
      <c r="X1177" s="19"/>
      <c r="Y1177" s="20"/>
    </row>
    <row r="1178" spans="16:25">
      <c r="P1178" s="19"/>
      <c r="Q1178" s="20"/>
      <c r="R1178" s="25"/>
      <c r="S1178" s="20"/>
      <c r="X1178" s="19"/>
      <c r="Y1178" s="20"/>
    </row>
    <row r="1179" spans="16:25">
      <c r="P1179" s="19"/>
      <c r="Q1179" s="20"/>
      <c r="R1179" s="25"/>
      <c r="S1179" s="20"/>
      <c r="X1179" s="19"/>
      <c r="Y1179" s="20"/>
    </row>
    <row r="1180" spans="16:25">
      <c r="P1180" s="19"/>
      <c r="Q1180" s="20"/>
      <c r="R1180" s="25"/>
      <c r="S1180" s="20"/>
      <c r="X1180" s="19"/>
      <c r="Y1180" s="20"/>
    </row>
    <row r="1181" spans="16:25">
      <c r="P1181" s="19"/>
      <c r="Q1181" s="20"/>
      <c r="R1181" s="25"/>
      <c r="S1181" s="20"/>
      <c r="X1181" s="19"/>
      <c r="Y1181" s="20"/>
    </row>
    <row r="1182" spans="16:25">
      <c r="P1182" s="19"/>
      <c r="Q1182" s="20"/>
      <c r="R1182" s="25"/>
      <c r="S1182" s="20"/>
      <c r="X1182" s="19"/>
      <c r="Y1182" s="20"/>
    </row>
    <row r="1183" spans="16:25">
      <c r="P1183" s="19"/>
      <c r="Q1183" s="20"/>
      <c r="R1183" s="25"/>
      <c r="S1183" s="20"/>
      <c r="X1183" s="19"/>
      <c r="Y1183" s="20"/>
    </row>
    <row r="1184" spans="16:25">
      <c r="P1184" s="19"/>
      <c r="Q1184" s="20"/>
      <c r="R1184" s="25"/>
      <c r="S1184" s="20"/>
      <c r="X1184" s="19"/>
      <c r="Y1184" s="20"/>
    </row>
    <row r="1185" spans="16:25">
      <c r="P1185" s="19"/>
      <c r="Q1185" s="20"/>
      <c r="R1185" s="25"/>
      <c r="S1185" s="20"/>
      <c r="X1185" s="19"/>
      <c r="Y1185" s="20"/>
    </row>
    <row r="1186" spans="16:25">
      <c r="P1186" s="19"/>
      <c r="Q1186" s="20"/>
      <c r="R1186" s="25"/>
      <c r="S1186" s="20"/>
      <c r="X1186" s="19"/>
      <c r="Y1186" s="20"/>
    </row>
    <row r="1187" spans="16:25">
      <c r="P1187" s="19"/>
      <c r="Q1187" s="20"/>
      <c r="R1187" s="25"/>
      <c r="S1187" s="20"/>
      <c r="X1187" s="19"/>
      <c r="Y1187" s="20"/>
    </row>
    <row r="1188" spans="16:25">
      <c r="P1188" s="19"/>
      <c r="Q1188" s="20"/>
      <c r="R1188" s="25"/>
      <c r="S1188" s="20"/>
      <c r="X1188" s="19"/>
      <c r="Y1188" s="20"/>
    </row>
    <row r="1189" spans="16:25">
      <c r="P1189" s="19"/>
      <c r="Q1189" s="20"/>
      <c r="R1189" s="25"/>
      <c r="S1189" s="20"/>
      <c r="X1189" s="19"/>
      <c r="Y1189" s="20"/>
    </row>
    <row r="1190" spans="16:25">
      <c r="P1190" s="19"/>
      <c r="Q1190" s="20"/>
      <c r="R1190" s="25"/>
      <c r="S1190" s="20"/>
      <c r="X1190" s="19"/>
      <c r="Y1190" s="20"/>
    </row>
    <row r="1191" spans="16:25">
      <c r="P1191" s="19"/>
      <c r="Q1191" s="20"/>
      <c r="R1191" s="25"/>
      <c r="S1191" s="20"/>
      <c r="X1191" s="19"/>
      <c r="Y1191" s="20"/>
    </row>
    <row r="1192" spans="16:25">
      <c r="P1192" s="19"/>
      <c r="Q1192" s="20"/>
      <c r="R1192" s="25"/>
      <c r="S1192" s="20"/>
      <c r="X1192" s="19"/>
      <c r="Y1192" s="20"/>
    </row>
    <row r="1193" spans="16:25">
      <c r="P1193" s="19"/>
      <c r="Q1193" s="20"/>
      <c r="R1193" s="25"/>
      <c r="S1193" s="20"/>
      <c r="X1193" s="19"/>
      <c r="Y1193" s="20"/>
    </row>
    <row r="1194" spans="16:25">
      <c r="P1194" s="19"/>
      <c r="Q1194" s="20"/>
      <c r="R1194" s="25"/>
      <c r="S1194" s="20"/>
      <c r="X1194" s="19"/>
      <c r="Y1194" s="20"/>
    </row>
    <row r="1195" spans="16:25">
      <c r="P1195" s="19"/>
      <c r="Q1195" s="20"/>
      <c r="R1195" s="25"/>
      <c r="S1195" s="20"/>
      <c r="X1195" s="19"/>
      <c r="Y1195" s="20"/>
    </row>
    <row r="1196" spans="16:25">
      <c r="P1196" s="19"/>
      <c r="Q1196" s="20"/>
      <c r="R1196" s="25"/>
      <c r="S1196" s="20"/>
      <c r="X1196" s="19"/>
      <c r="Y1196" s="20"/>
    </row>
    <row r="1197" spans="16:25">
      <c r="P1197" s="19"/>
      <c r="Q1197" s="20"/>
      <c r="R1197" s="25"/>
      <c r="S1197" s="20"/>
      <c r="X1197" s="19"/>
      <c r="Y1197" s="20"/>
    </row>
    <row r="1198" spans="16:25">
      <c r="P1198" s="19"/>
      <c r="Q1198" s="20"/>
      <c r="R1198" s="25"/>
      <c r="S1198" s="20"/>
      <c r="X1198" s="19"/>
      <c r="Y1198" s="20"/>
    </row>
    <row r="1199" spans="16:25">
      <c r="P1199" s="19"/>
      <c r="Q1199" s="20"/>
      <c r="R1199" s="25"/>
      <c r="S1199" s="20"/>
      <c r="X1199" s="19"/>
      <c r="Y1199" s="20"/>
    </row>
    <row r="1200" spans="16:25">
      <c r="P1200" s="19"/>
      <c r="Q1200" s="20"/>
      <c r="R1200" s="25"/>
      <c r="S1200" s="20"/>
      <c r="X1200" s="19"/>
      <c r="Y1200" s="20"/>
    </row>
    <row r="1201" spans="16:25">
      <c r="P1201" s="19"/>
      <c r="Q1201" s="20"/>
      <c r="R1201" s="25"/>
      <c r="S1201" s="20"/>
      <c r="X1201" s="19"/>
      <c r="Y1201" s="20"/>
    </row>
    <row r="1202" spans="16:25">
      <c r="P1202" s="19"/>
      <c r="Q1202" s="20"/>
      <c r="R1202" s="25"/>
      <c r="S1202" s="20"/>
      <c r="X1202" s="19"/>
      <c r="Y1202" s="20"/>
    </row>
    <row r="1203" spans="16:25">
      <c r="P1203" s="19"/>
      <c r="Q1203" s="20"/>
      <c r="R1203" s="25"/>
      <c r="S1203" s="20"/>
      <c r="X1203" s="19"/>
      <c r="Y1203" s="20"/>
    </row>
    <row r="1204" spans="16:25">
      <c r="P1204" s="19"/>
      <c r="Q1204" s="20"/>
      <c r="R1204" s="25"/>
      <c r="S1204" s="20"/>
      <c r="X1204" s="19"/>
      <c r="Y1204" s="20"/>
    </row>
    <row r="1205" spans="16:25">
      <c r="P1205" s="19"/>
      <c r="Q1205" s="20"/>
      <c r="R1205" s="25"/>
      <c r="S1205" s="20"/>
      <c r="X1205" s="19"/>
      <c r="Y1205" s="20"/>
    </row>
    <row r="1206" spans="16:25">
      <c r="P1206" s="19"/>
      <c r="Q1206" s="20"/>
      <c r="R1206" s="25"/>
      <c r="S1206" s="20"/>
      <c r="X1206" s="19"/>
      <c r="Y1206" s="20"/>
    </row>
    <row r="1207" spans="16:25">
      <c r="P1207" s="19"/>
      <c r="Q1207" s="20"/>
      <c r="R1207" s="25"/>
      <c r="S1207" s="20"/>
      <c r="X1207" s="19"/>
      <c r="Y1207" s="20"/>
    </row>
    <row r="1208" spans="16:25">
      <c r="P1208" s="19"/>
      <c r="Q1208" s="20"/>
      <c r="R1208" s="25"/>
      <c r="S1208" s="20"/>
      <c r="X1208" s="19"/>
      <c r="Y1208" s="20"/>
    </row>
    <row r="1209" spans="16:25">
      <c r="P1209" s="19"/>
      <c r="Q1209" s="20"/>
      <c r="R1209" s="25"/>
      <c r="S1209" s="20"/>
      <c r="X1209" s="19"/>
      <c r="Y1209" s="20"/>
    </row>
    <row r="1210" spans="16:25">
      <c r="P1210" s="19"/>
      <c r="Q1210" s="20"/>
      <c r="R1210" s="25"/>
      <c r="S1210" s="20"/>
      <c r="X1210" s="19"/>
      <c r="Y1210" s="20"/>
    </row>
    <row r="1211" spans="16:25">
      <c r="P1211" s="19"/>
      <c r="Q1211" s="20"/>
      <c r="R1211" s="25"/>
      <c r="S1211" s="20"/>
      <c r="X1211" s="19"/>
      <c r="Y1211" s="20"/>
    </row>
    <row r="1212" spans="16:25">
      <c r="P1212" s="19"/>
      <c r="Q1212" s="20"/>
      <c r="R1212" s="25"/>
      <c r="S1212" s="20"/>
      <c r="X1212" s="19"/>
      <c r="Y1212" s="20"/>
    </row>
    <row r="1213" spans="16:25">
      <c r="P1213" s="19"/>
      <c r="Q1213" s="20"/>
      <c r="R1213" s="25"/>
      <c r="S1213" s="20"/>
      <c r="X1213" s="19"/>
      <c r="Y1213" s="20"/>
    </row>
    <row r="1214" spans="16:25">
      <c r="P1214" s="19"/>
      <c r="Q1214" s="20"/>
      <c r="R1214" s="25"/>
      <c r="S1214" s="20"/>
      <c r="X1214" s="19"/>
      <c r="Y1214" s="20"/>
    </row>
    <row r="1215" spans="16:25">
      <c r="P1215" s="19"/>
      <c r="Q1215" s="20"/>
      <c r="R1215" s="25"/>
      <c r="S1215" s="20"/>
      <c r="X1215" s="19"/>
      <c r="Y1215" s="20"/>
    </row>
    <row r="1216" spans="16:25">
      <c r="P1216" s="19"/>
      <c r="Q1216" s="20"/>
      <c r="R1216" s="25"/>
      <c r="S1216" s="20"/>
      <c r="X1216" s="19"/>
      <c r="Y1216" s="20"/>
    </row>
    <row r="1217" spans="16:25">
      <c r="P1217" s="19"/>
      <c r="Q1217" s="20"/>
      <c r="R1217" s="25"/>
      <c r="S1217" s="20"/>
      <c r="X1217" s="19"/>
      <c r="Y1217" s="20"/>
    </row>
    <row r="1218" spans="16:25">
      <c r="P1218" s="19"/>
      <c r="Q1218" s="20"/>
      <c r="R1218" s="25"/>
      <c r="S1218" s="20"/>
      <c r="X1218" s="19"/>
      <c r="Y1218" s="20"/>
    </row>
    <row r="1219" spans="16:25">
      <c r="P1219" s="19"/>
      <c r="Q1219" s="20"/>
      <c r="R1219" s="25"/>
      <c r="S1219" s="20"/>
      <c r="X1219" s="19"/>
      <c r="Y1219" s="20"/>
    </row>
    <row r="1220" spans="16:25">
      <c r="P1220" s="19"/>
      <c r="Q1220" s="20"/>
      <c r="R1220" s="25"/>
      <c r="S1220" s="20"/>
      <c r="X1220" s="19"/>
      <c r="Y1220" s="20"/>
    </row>
    <row r="1221" spans="16:25">
      <c r="P1221" s="19"/>
      <c r="Q1221" s="20"/>
      <c r="R1221" s="25"/>
      <c r="S1221" s="20"/>
      <c r="X1221" s="19"/>
      <c r="Y1221" s="20"/>
    </row>
    <row r="1222" spans="16:25">
      <c r="P1222" s="19"/>
      <c r="Q1222" s="20"/>
      <c r="R1222" s="25"/>
      <c r="S1222" s="20"/>
      <c r="X1222" s="19"/>
      <c r="Y1222" s="20"/>
    </row>
    <row r="1223" spans="16:25">
      <c r="P1223" s="19"/>
      <c r="Q1223" s="20"/>
      <c r="R1223" s="25"/>
      <c r="S1223" s="20"/>
      <c r="X1223" s="19"/>
      <c r="Y1223" s="20"/>
    </row>
    <row r="1224" spans="16:25">
      <c r="P1224" s="19"/>
      <c r="Q1224" s="20"/>
      <c r="R1224" s="25"/>
      <c r="S1224" s="20"/>
      <c r="X1224" s="19"/>
      <c r="Y1224" s="20"/>
    </row>
    <row r="1225" spans="16:25">
      <c r="P1225" s="19"/>
      <c r="Q1225" s="20"/>
      <c r="R1225" s="25"/>
      <c r="S1225" s="20"/>
      <c r="X1225" s="19"/>
      <c r="Y1225" s="20"/>
    </row>
    <row r="1226" spans="16:25">
      <c r="P1226" s="19"/>
      <c r="Q1226" s="20"/>
      <c r="R1226" s="25"/>
      <c r="S1226" s="20"/>
      <c r="X1226" s="19"/>
      <c r="Y1226" s="20"/>
    </row>
    <row r="1227" spans="16:25">
      <c r="P1227" s="19"/>
      <c r="Q1227" s="20"/>
      <c r="R1227" s="25"/>
      <c r="S1227" s="20"/>
      <c r="X1227" s="19"/>
      <c r="Y1227" s="20"/>
    </row>
    <row r="1228" spans="16:25">
      <c r="P1228" s="19"/>
      <c r="Q1228" s="20"/>
      <c r="R1228" s="25"/>
      <c r="S1228" s="20"/>
      <c r="X1228" s="19"/>
      <c r="Y1228" s="20"/>
    </row>
    <row r="1229" spans="16:25">
      <c r="P1229" s="19"/>
      <c r="Q1229" s="20"/>
      <c r="R1229" s="25"/>
      <c r="S1229" s="20"/>
      <c r="X1229" s="19"/>
      <c r="Y1229" s="20"/>
    </row>
    <row r="1230" spans="16:25">
      <c r="P1230" s="19"/>
      <c r="Q1230" s="20"/>
      <c r="R1230" s="25"/>
      <c r="S1230" s="20"/>
      <c r="X1230" s="19"/>
      <c r="Y1230" s="20"/>
    </row>
    <row r="1231" spans="16:25">
      <c r="P1231" s="19"/>
      <c r="Q1231" s="20"/>
      <c r="R1231" s="25"/>
      <c r="S1231" s="20"/>
      <c r="X1231" s="19"/>
      <c r="Y1231" s="20"/>
    </row>
    <row r="1232" spans="16:25">
      <c r="P1232" s="19"/>
      <c r="Q1232" s="20"/>
      <c r="R1232" s="25"/>
      <c r="S1232" s="20"/>
      <c r="X1232" s="19"/>
      <c r="Y1232" s="20"/>
    </row>
    <row r="1233" spans="16:25">
      <c r="P1233" s="19"/>
      <c r="Q1233" s="20"/>
      <c r="R1233" s="25"/>
      <c r="S1233" s="20"/>
      <c r="X1233" s="19"/>
      <c r="Y1233" s="20"/>
    </row>
    <row r="1234" spans="16:25">
      <c r="P1234" s="19"/>
      <c r="Q1234" s="20"/>
      <c r="R1234" s="25"/>
      <c r="S1234" s="20"/>
      <c r="X1234" s="19"/>
      <c r="Y1234" s="20"/>
    </row>
    <row r="1235" spans="16:25">
      <c r="P1235" s="19"/>
      <c r="Q1235" s="20"/>
      <c r="R1235" s="25"/>
      <c r="S1235" s="20"/>
      <c r="X1235" s="19"/>
      <c r="Y1235" s="20"/>
    </row>
    <row r="1236" spans="16:25">
      <c r="P1236" s="19"/>
      <c r="Q1236" s="20"/>
      <c r="R1236" s="25"/>
      <c r="S1236" s="20"/>
      <c r="X1236" s="19"/>
      <c r="Y1236" s="20"/>
    </row>
    <row r="1237" spans="16:25">
      <c r="P1237" s="19"/>
      <c r="Q1237" s="20"/>
      <c r="R1237" s="25"/>
      <c r="S1237" s="20"/>
      <c r="X1237" s="19"/>
      <c r="Y1237" s="20"/>
    </row>
    <row r="1238" spans="16:25">
      <c r="P1238" s="19"/>
      <c r="Q1238" s="20"/>
      <c r="R1238" s="25"/>
      <c r="S1238" s="20"/>
      <c r="X1238" s="19"/>
      <c r="Y1238" s="20"/>
    </row>
    <row r="1239" spans="16:25">
      <c r="P1239" s="19"/>
      <c r="Q1239" s="20"/>
      <c r="R1239" s="25"/>
      <c r="S1239" s="20"/>
      <c r="X1239" s="19"/>
      <c r="Y1239" s="20"/>
    </row>
    <row r="1240" spans="16:25">
      <c r="P1240" s="19"/>
      <c r="Q1240" s="20"/>
      <c r="R1240" s="25"/>
      <c r="S1240" s="20"/>
      <c r="X1240" s="19"/>
      <c r="Y1240" s="20"/>
    </row>
    <row r="1241" spans="16:25">
      <c r="P1241" s="19"/>
      <c r="Q1241" s="20"/>
      <c r="R1241" s="25"/>
      <c r="S1241" s="20"/>
      <c r="X1241" s="19"/>
      <c r="Y1241" s="20"/>
    </row>
    <row r="1242" spans="16:25">
      <c r="P1242" s="19"/>
      <c r="Q1242" s="20"/>
      <c r="R1242" s="25"/>
      <c r="S1242" s="20"/>
      <c r="X1242" s="19"/>
      <c r="Y1242" s="20"/>
    </row>
    <row r="1243" spans="16:25">
      <c r="P1243" s="19"/>
      <c r="Q1243" s="20"/>
      <c r="R1243" s="25"/>
      <c r="S1243" s="20"/>
      <c r="X1243" s="19"/>
      <c r="Y1243" s="20"/>
    </row>
    <row r="1244" spans="16:25">
      <c r="P1244" s="19"/>
      <c r="Q1244" s="20"/>
      <c r="R1244" s="25"/>
      <c r="S1244" s="20"/>
      <c r="X1244" s="19"/>
      <c r="Y1244" s="20"/>
    </row>
    <row r="1245" spans="16:25">
      <c r="P1245" s="19"/>
      <c r="Q1245" s="20"/>
      <c r="R1245" s="25"/>
      <c r="S1245" s="20"/>
      <c r="X1245" s="19"/>
      <c r="Y1245" s="20"/>
    </row>
    <row r="1246" spans="16:25">
      <c r="P1246" s="19"/>
      <c r="Q1246" s="20"/>
      <c r="R1246" s="25"/>
      <c r="S1246" s="20"/>
      <c r="X1246" s="19"/>
      <c r="Y1246" s="20"/>
    </row>
    <row r="1247" spans="16:25">
      <c r="P1247" s="19"/>
      <c r="Q1247" s="20"/>
      <c r="R1247" s="25"/>
      <c r="S1247" s="20"/>
      <c r="X1247" s="19"/>
      <c r="Y1247" s="20"/>
    </row>
    <row r="1248" spans="16:25">
      <c r="P1248" s="19"/>
      <c r="Q1248" s="20"/>
      <c r="R1248" s="25"/>
      <c r="S1248" s="20"/>
      <c r="X1248" s="19"/>
      <c r="Y1248" s="20"/>
    </row>
    <row r="1249" spans="16:25">
      <c r="P1249" s="19"/>
      <c r="Q1249" s="20"/>
      <c r="R1249" s="25"/>
      <c r="S1249" s="20"/>
      <c r="X1249" s="19"/>
      <c r="Y1249" s="20"/>
    </row>
    <row r="1250" spans="16:25">
      <c r="P1250" s="19"/>
      <c r="Q1250" s="20"/>
      <c r="R1250" s="25"/>
      <c r="S1250" s="20"/>
      <c r="X1250" s="19"/>
      <c r="Y1250" s="20"/>
    </row>
    <row r="1251" spans="16:25">
      <c r="P1251" s="19"/>
      <c r="Q1251" s="20"/>
      <c r="R1251" s="25"/>
      <c r="S1251" s="20"/>
      <c r="X1251" s="19"/>
      <c r="Y1251" s="20"/>
    </row>
    <row r="1252" spans="16:25">
      <c r="P1252" s="19"/>
      <c r="Q1252" s="20"/>
      <c r="R1252" s="25"/>
      <c r="S1252" s="20"/>
      <c r="X1252" s="19"/>
      <c r="Y1252" s="20"/>
    </row>
    <row r="1253" spans="16:25">
      <c r="P1253" s="19"/>
      <c r="Q1253" s="20"/>
      <c r="R1253" s="25"/>
      <c r="S1253" s="20"/>
      <c r="X1253" s="19"/>
      <c r="Y1253" s="20"/>
    </row>
    <row r="1254" spans="16:25">
      <c r="P1254" s="19"/>
      <c r="Q1254" s="20"/>
      <c r="R1254" s="25"/>
      <c r="S1254" s="20"/>
      <c r="X1254" s="19"/>
      <c r="Y1254" s="20"/>
    </row>
    <row r="1255" spans="16:25">
      <c r="P1255" s="19"/>
      <c r="Q1255" s="20"/>
      <c r="R1255" s="25"/>
      <c r="S1255" s="20"/>
      <c r="X1255" s="19"/>
      <c r="Y1255" s="20"/>
    </row>
    <row r="1256" spans="16:25">
      <c r="P1256" s="19"/>
      <c r="Q1256" s="20"/>
      <c r="R1256" s="25"/>
      <c r="S1256" s="20"/>
      <c r="X1256" s="19"/>
      <c r="Y1256" s="20"/>
    </row>
    <row r="1257" spans="16:25">
      <c r="P1257" s="19"/>
      <c r="Q1257" s="20"/>
      <c r="R1257" s="25"/>
      <c r="S1257" s="20"/>
      <c r="X1257" s="19"/>
      <c r="Y1257" s="20"/>
    </row>
    <row r="1258" spans="16:25">
      <c r="P1258" s="19"/>
      <c r="Q1258" s="20"/>
      <c r="R1258" s="25"/>
      <c r="S1258" s="20"/>
      <c r="X1258" s="19"/>
      <c r="Y1258" s="20"/>
    </row>
    <row r="1259" spans="16:25">
      <c r="P1259" s="19"/>
      <c r="Q1259" s="20"/>
      <c r="R1259" s="25"/>
      <c r="S1259" s="20"/>
      <c r="X1259" s="19"/>
      <c r="Y1259" s="20"/>
    </row>
    <row r="1260" spans="16:25">
      <c r="P1260" s="19"/>
      <c r="Q1260" s="20"/>
      <c r="R1260" s="25"/>
      <c r="S1260" s="20"/>
      <c r="X1260" s="19"/>
      <c r="Y1260" s="20"/>
    </row>
    <row r="1261" spans="16:25">
      <c r="P1261" s="19"/>
      <c r="Q1261" s="20"/>
      <c r="R1261" s="25"/>
      <c r="S1261" s="20"/>
      <c r="X1261" s="19"/>
      <c r="Y1261" s="20"/>
    </row>
    <row r="1262" spans="16:25">
      <c r="P1262" s="19"/>
      <c r="Q1262" s="20"/>
      <c r="R1262" s="25"/>
      <c r="S1262" s="20"/>
      <c r="X1262" s="19"/>
      <c r="Y1262" s="20"/>
    </row>
    <row r="1263" spans="16:25">
      <c r="P1263" s="19"/>
      <c r="Q1263" s="20"/>
      <c r="R1263" s="25"/>
      <c r="S1263" s="20"/>
      <c r="X1263" s="19"/>
      <c r="Y1263" s="20"/>
    </row>
    <row r="1264" spans="16:25">
      <c r="P1264" s="19"/>
      <c r="Q1264" s="20"/>
      <c r="R1264" s="25"/>
      <c r="S1264" s="20"/>
      <c r="X1264" s="19"/>
      <c r="Y1264" s="20"/>
    </row>
    <row r="1265" spans="16:25">
      <c r="P1265" s="19"/>
      <c r="Q1265" s="20"/>
      <c r="R1265" s="25"/>
      <c r="S1265" s="20"/>
      <c r="X1265" s="19"/>
      <c r="Y1265" s="20"/>
    </row>
    <row r="1266" spans="16:25">
      <c r="P1266" s="19"/>
      <c r="Q1266" s="20"/>
      <c r="R1266" s="25"/>
      <c r="S1266" s="20"/>
      <c r="X1266" s="19"/>
      <c r="Y1266" s="20"/>
    </row>
    <row r="1267" spans="16:25">
      <c r="P1267" s="19"/>
      <c r="Q1267" s="20"/>
      <c r="R1267" s="25"/>
      <c r="S1267" s="20"/>
      <c r="X1267" s="19"/>
      <c r="Y1267" s="20"/>
    </row>
    <row r="1268" spans="16:25">
      <c r="P1268" s="19"/>
      <c r="Q1268" s="20"/>
      <c r="R1268" s="25"/>
      <c r="S1268" s="20"/>
      <c r="X1268" s="19"/>
      <c r="Y1268" s="20"/>
    </row>
    <row r="1269" spans="16:25">
      <c r="P1269" s="19"/>
      <c r="Q1269" s="20"/>
      <c r="R1269" s="25"/>
      <c r="S1269" s="20"/>
      <c r="X1269" s="19"/>
      <c r="Y1269" s="20"/>
    </row>
    <row r="1270" spans="16:25">
      <c r="P1270" s="19"/>
      <c r="Q1270" s="20"/>
      <c r="R1270" s="25"/>
      <c r="S1270" s="20"/>
      <c r="X1270" s="19"/>
      <c r="Y1270" s="20"/>
    </row>
    <row r="1271" spans="16:25">
      <c r="P1271" s="19"/>
      <c r="Q1271" s="20"/>
      <c r="R1271" s="25"/>
      <c r="S1271" s="20"/>
      <c r="X1271" s="19"/>
      <c r="Y1271" s="20"/>
    </row>
    <row r="1272" spans="16:25">
      <c r="P1272" s="19"/>
      <c r="Q1272" s="20"/>
      <c r="R1272" s="25"/>
      <c r="S1272" s="20"/>
      <c r="X1272" s="19"/>
      <c r="Y1272" s="20"/>
    </row>
    <row r="1273" spans="16:25">
      <c r="P1273" s="19"/>
      <c r="Q1273" s="20"/>
      <c r="R1273" s="25"/>
      <c r="S1273" s="20"/>
      <c r="X1273" s="19"/>
      <c r="Y1273" s="20"/>
    </row>
    <row r="1274" spans="16:25">
      <c r="P1274" s="19"/>
      <c r="Q1274" s="20"/>
      <c r="R1274" s="25"/>
      <c r="S1274" s="20"/>
      <c r="X1274" s="19"/>
      <c r="Y1274" s="20"/>
    </row>
    <row r="1275" spans="16:25">
      <c r="P1275" s="19"/>
      <c r="Q1275" s="20"/>
      <c r="R1275" s="25"/>
      <c r="S1275" s="20"/>
      <c r="X1275" s="19"/>
      <c r="Y1275" s="20"/>
    </row>
    <row r="1276" spans="16:25">
      <c r="P1276" s="19"/>
      <c r="Q1276" s="20"/>
      <c r="R1276" s="25"/>
      <c r="S1276" s="20"/>
      <c r="X1276" s="19"/>
      <c r="Y1276" s="20"/>
    </row>
    <row r="1277" spans="16:25">
      <c r="P1277" s="19"/>
      <c r="Q1277" s="20"/>
      <c r="R1277" s="25"/>
      <c r="S1277" s="20"/>
      <c r="X1277" s="19"/>
      <c r="Y1277" s="20"/>
    </row>
    <row r="1278" spans="16:25">
      <c r="P1278" s="19"/>
      <c r="Q1278" s="20"/>
      <c r="R1278" s="25"/>
      <c r="S1278" s="20"/>
      <c r="X1278" s="19"/>
      <c r="Y1278" s="20"/>
    </row>
    <row r="1279" spans="16:25">
      <c r="P1279" s="19"/>
      <c r="Q1279" s="20"/>
      <c r="R1279" s="25"/>
      <c r="S1279" s="20"/>
      <c r="X1279" s="19"/>
      <c r="Y1279" s="20"/>
    </row>
    <row r="1280" spans="16:25">
      <c r="P1280" s="19"/>
      <c r="Q1280" s="20"/>
      <c r="R1280" s="25"/>
      <c r="S1280" s="20"/>
      <c r="X1280" s="19"/>
      <c r="Y1280" s="20"/>
    </row>
    <row r="1281" spans="16:25">
      <c r="P1281" s="19"/>
      <c r="Q1281" s="20"/>
      <c r="R1281" s="25"/>
      <c r="S1281" s="20"/>
      <c r="X1281" s="19"/>
      <c r="Y1281" s="20"/>
    </row>
    <row r="1282" spans="16:25">
      <c r="P1282" s="19"/>
      <c r="Q1282" s="20"/>
      <c r="R1282" s="25"/>
      <c r="S1282" s="20"/>
      <c r="X1282" s="19"/>
      <c r="Y1282" s="20"/>
    </row>
    <row r="1283" spans="16:25">
      <c r="P1283" s="19"/>
      <c r="Q1283" s="20"/>
      <c r="R1283" s="25"/>
      <c r="S1283" s="20"/>
      <c r="X1283" s="19"/>
      <c r="Y1283" s="20"/>
    </row>
    <row r="1284" spans="16:25">
      <c r="P1284" s="19"/>
      <c r="Q1284" s="20"/>
      <c r="R1284" s="25"/>
      <c r="S1284" s="20"/>
      <c r="X1284" s="19"/>
      <c r="Y1284" s="20"/>
    </row>
    <row r="1285" spans="16:25">
      <c r="P1285" s="19"/>
      <c r="Q1285" s="20"/>
      <c r="R1285" s="25"/>
      <c r="S1285" s="20"/>
      <c r="X1285" s="19"/>
      <c r="Y1285" s="20"/>
    </row>
    <row r="1286" spans="16:25">
      <c r="P1286" s="19"/>
      <c r="Q1286" s="20"/>
      <c r="R1286" s="25"/>
      <c r="S1286" s="20"/>
      <c r="X1286" s="19"/>
      <c r="Y1286" s="20"/>
    </row>
    <row r="1287" spans="16:25">
      <c r="P1287" s="19"/>
      <c r="Q1287" s="20"/>
      <c r="R1287" s="25"/>
      <c r="S1287" s="20"/>
      <c r="X1287" s="19"/>
      <c r="Y1287" s="20"/>
    </row>
    <row r="1288" spans="16:25">
      <c r="P1288" s="19"/>
      <c r="Q1288" s="20"/>
      <c r="R1288" s="25"/>
      <c r="S1288" s="20"/>
      <c r="X1288" s="19"/>
      <c r="Y1288" s="20"/>
    </row>
    <row r="1289" spans="16:25">
      <c r="P1289" s="19"/>
      <c r="Q1289" s="20"/>
      <c r="R1289" s="25"/>
      <c r="S1289" s="20"/>
      <c r="X1289" s="19"/>
      <c r="Y1289" s="20"/>
    </row>
    <row r="1290" spans="16:25">
      <c r="P1290" s="19"/>
      <c r="Q1290" s="20"/>
      <c r="R1290" s="25"/>
      <c r="S1290" s="20"/>
      <c r="X1290" s="19"/>
      <c r="Y1290" s="20"/>
    </row>
    <row r="1291" spans="16:25">
      <c r="P1291" s="19"/>
      <c r="Q1291" s="20"/>
      <c r="R1291" s="25"/>
      <c r="S1291" s="20"/>
      <c r="X1291" s="19"/>
      <c r="Y1291" s="20"/>
    </row>
    <row r="1292" spans="16:25">
      <c r="P1292" s="19"/>
      <c r="Q1292" s="20"/>
      <c r="R1292" s="25"/>
      <c r="S1292" s="20"/>
      <c r="X1292" s="19"/>
      <c r="Y1292" s="20"/>
    </row>
    <row r="1293" spans="16:25">
      <c r="P1293" s="19"/>
      <c r="Q1293" s="20"/>
      <c r="R1293" s="25"/>
      <c r="S1293" s="20"/>
      <c r="X1293" s="19"/>
      <c r="Y1293" s="20"/>
    </row>
    <row r="1294" spans="16:25">
      <c r="P1294" s="19"/>
      <c r="Q1294" s="20"/>
      <c r="R1294" s="25"/>
      <c r="S1294" s="20"/>
      <c r="X1294" s="19"/>
      <c r="Y1294" s="20"/>
    </row>
    <row r="1295" spans="16:25">
      <c r="P1295" s="19"/>
      <c r="Q1295" s="20"/>
      <c r="R1295" s="25"/>
      <c r="S1295" s="20"/>
      <c r="X1295" s="19"/>
      <c r="Y1295" s="20"/>
    </row>
    <row r="1296" spans="16:25">
      <c r="P1296" s="19"/>
      <c r="Q1296" s="20"/>
      <c r="R1296" s="25"/>
      <c r="S1296" s="20"/>
      <c r="X1296" s="19"/>
      <c r="Y1296" s="20"/>
    </row>
    <row r="1297" spans="16:25">
      <c r="P1297" s="19"/>
      <c r="Q1297" s="20"/>
      <c r="R1297" s="25"/>
      <c r="S1297" s="20"/>
      <c r="X1297" s="19"/>
      <c r="Y1297" s="20"/>
    </row>
    <row r="1298" spans="16:25">
      <c r="P1298" s="19"/>
      <c r="Q1298" s="20"/>
      <c r="R1298" s="25"/>
      <c r="S1298" s="20"/>
      <c r="X1298" s="19"/>
      <c r="Y1298" s="20"/>
    </row>
    <row r="1299" spans="16:25">
      <c r="P1299" s="19"/>
      <c r="Q1299" s="20"/>
      <c r="R1299" s="25"/>
      <c r="S1299" s="20"/>
      <c r="X1299" s="19"/>
      <c r="Y1299" s="20"/>
    </row>
    <row r="1300" spans="16:25">
      <c r="P1300" s="19"/>
      <c r="Q1300" s="20"/>
      <c r="R1300" s="25"/>
      <c r="S1300" s="20"/>
      <c r="X1300" s="19"/>
      <c r="Y1300" s="20"/>
    </row>
    <row r="1301" spans="16:25">
      <c r="P1301" s="19"/>
      <c r="Q1301" s="20"/>
      <c r="R1301" s="25"/>
      <c r="S1301" s="20"/>
      <c r="X1301" s="19"/>
      <c r="Y1301" s="20"/>
    </row>
    <row r="1302" spans="16:25">
      <c r="P1302" s="19"/>
      <c r="Q1302" s="20"/>
      <c r="R1302" s="25"/>
      <c r="S1302" s="20"/>
      <c r="X1302" s="19"/>
      <c r="Y1302" s="20"/>
    </row>
    <row r="1303" spans="16:25">
      <c r="P1303" s="19"/>
      <c r="Q1303" s="20"/>
      <c r="R1303" s="25"/>
      <c r="S1303" s="20"/>
      <c r="X1303" s="19"/>
      <c r="Y1303" s="20"/>
    </row>
    <row r="1304" spans="16:25">
      <c r="P1304" s="19"/>
      <c r="Q1304" s="20"/>
      <c r="R1304" s="25"/>
      <c r="S1304" s="20"/>
      <c r="X1304" s="19"/>
      <c r="Y1304" s="20"/>
    </row>
    <row r="1305" spans="16:25">
      <c r="P1305" s="19"/>
      <c r="Q1305" s="20"/>
      <c r="R1305" s="25"/>
      <c r="S1305" s="20"/>
      <c r="X1305" s="19"/>
      <c r="Y1305" s="20"/>
    </row>
    <row r="1306" spans="16:25">
      <c r="P1306" s="19"/>
      <c r="Q1306" s="20"/>
      <c r="R1306" s="25"/>
      <c r="S1306" s="20"/>
      <c r="X1306" s="19"/>
      <c r="Y1306" s="20"/>
    </row>
    <row r="1307" spans="16:25">
      <c r="P1307" s="19"/>
      <c r="Q1307" s="20"/>
      <c r="R1307" s="25"/>
      <c r="S1307" s="20"/>
      <c r="X1307" s="19"/>
      <c r="Y1307" s="20"/>
    </row>
    <row r="1308" spans="16:25">
      <c r="P1308" s="19"/>
      <c r="Q1308" s="20"/>
      <c r="R1308" s="25"/>
      <c r="S1308" s="20"/>
      <c r="X1308" s="19"/>
      <c r="Y1308" s="20"/>
    </row>
    <row r="1309" spans="16:25">
      <c r="P1309" s="19"/>
      <c r="Q1309" s="20"/>
      <c r="R1309" s="25"/>
      <c r="S1309" s="20"/>
      <c r="X1309" s="19"/>
      <c r="Y1309" s="20"/>
    </row>
    <row r="1310" spans="16:25">
      <c r="P1310" s="19"/>
      <c r="Q1310" s="20"/>
      <c r="R1310" s="25"/>
      <c r="S1310" s="20"/>
      <c r="X1310" s="19"/>
      <c r="Y1310" s="20"/>
    </row>
    <row r="1311" spans="16:25">
      <c r="P1311" s="19"/>
      <c r="Q1311" s="20"/>
      <c r="R1311" s="25"/>
      <c r="S1311" s="20"/>
      <c r="X1311" s="19"/>
      <c r="Y1311" s="20"/>
    </row>
    <row r="1312" spans="16:25">
      <c r="P1312" s="19"/>
      <c r="Q1312" s="20"/>
      <c r="R1312" s="25"/>
      <c r="S1312" s="20"/>
      <c r="X1312" s="19"/>
      <c r="Y1312" s="20"/>
    </row>
    <row r="1313" spans="16:25">
      <c r="P1313" s="19"/>
      <c r="Q1313" s="20"/>
      <c r="R1313" s="25"/>
      <c r="S1313" s="20"/>
      <c r="X1313" s="19"/>
      <c r="Y1313" s="20"/>
    </row>
    <row r="1314" spans="16:25">
      <c r="P1314" s="19"/>
      <c r="Q1314" s="20"/>
      <c r="R1314" s="25"/>
      <c r="S1314" s="20"/>
      <c r="X1314" s="19"/>
      <c r="Y1314" s="20"/>
    </row>
    <row r="1315" spans="16:25">
      <c r="P1315" s="19"/>
      <c r="Q1315" s="20"/>
      <c r="R1315" s="25"/>
      <c r="S1315" s="20"/>
      <c r="X1315" s="19"/>
      <c r="Y1315" s="20"/>
    </row>
    <row r="1316" spans="16:25">
      <c r="P1316" s="19"/>
      <c r="Q1316" s="20"/>
      <c r="R1316" s="25"/>
      <c r="S1316" s="20"/>
      <c r="X1316" s="19"/>
      <c r="Y1316" s="20"/>
    </row>
    <row r="1317" spans="16:25">
      <c r="P1317" s="19"/>
      <c r="Q1317" s="20"/>
      <c r="R1317" s="25"/>
      <c r="S1317" s="20"/>
      <c r="X1317" s="19"/>
      <c r="Y1317" s="20"/>
    </row>
    <row r="1318" spans="16:25">
      <c r="P1318" s="19"/>
      <c r="Q1318" s="20"/>
      <c r="R1318" s="25"/>
      <c r="S1318" s="20"/>
      <c r="X1318" s="19"/>
      <c r="Y1318" s="20"/>
    </row>
    <row r="1319" spans="16:25">
      <c r="P1319" s="19"/>
      <c r="Q1319" s="20"/>
      <c r="R1319" s="25"/>
      <c r="S1319" s="20"/>
      <c r="X1319" s="19"/>
      <c r="Y1319" s="20"/>
    </row>
    <row r="1320" spans="16:25">
      <c r="P1320" s="19"/>
      <c r="Q1320" s="20"/>
      <c r="R1320" s="25"/>
      <c r="S1320" s="20"/>
      <c r="X1320" s="19"/>
      <c r="Y1320" s="20"/>
    </row>
    <row r="1321" spans="16:25">
      <c r="P1321" s="19"/>
      <c r="Q1321" s="20"/>
      <c r="R1321" s="25"/>
      <c r="S1321" s="20"/>
      <c r="X1321" s="19"/>
      <c r="Y1321" s="20"/>
    </row>
    <row r="1322" spans="16:25">
      <c r="P1322" s="19"/>
      <c r="Q1322" s="20"/>
      <c r="R1322" s="25"/>
      <c r="S1322" s="20"/>
      <c r="X1322" s="19"/>
      <c r="Y1322" s="20"/>
    </row>
    <row r="1323" spans="16:25">
      <c r="P1323" s="19"/>
      <c r="Q1323" s="20"/>
      <c r="R1323" s="25"/>
      <c r="S1323" s="20"/>
      <c r="X1323" s="19"/>
      <c r="Y1323" s="20"/>
    </row>
    <row r="1324" spans="16:25">
      <c r="P1324" s="19"/>
      <c r="Q1324" s="20"/>
      <c r="R1324" s="25"/>
      <c r="S1324" s="20"/>
      <c r="X1324" s="19"/>
      <c r="Y1324" s="20"/>
    </row>
    <row r="1325" spans="16:25">
      <c r="P1325" s="19"/>
      <c r="Q1325" s="20"/>
      <c r="R1325" s="25"/>
      <c r="S1325" s="20"/>
      <c r="X1325" s="19"/>
      <c r="Y1325" s="20"/>
    </row>
    <row r="1326" spans="16:25">
      <c r="P1326" s="19"/>
      <c r="Q1326" s="20"/>
      <c r="R1326" s="25"/>
      <c r="S1326" s="20"/>
      <c r="X1326" s="19"/>
      <c r="Y1326" s="20"/>
    </row>
    <row r="1327" spans="16:25">
      <c r="P1327" s="19"/>
      <c r="Q1327" s="20"/>
      <c r="R1327" s="25"/>
      <c r="S1327" s="20"/>
      <c r="X1327" s="19"/>
      <c r="Y1327" s="20"/>
    </row>
    <row r="1328" spans="16:25">
      <c r="P1328" s="19"/>
      <c r="Q1328" s="20"/>
      <c r="R1328" s="25"/>
      <c r="S1328" s="20"/>
      <c r="X1328" s="19"/>
      <c r="Y1328" s="20"/>
    </row>
    <row r="1329" spans="16:25">
      <c r="P1329" s="19"/>
      <c r="Q1329" s="20"/>
      <c r="R1329" s="25"/>
      <c r="S1329" s="20"/>
      <c r="X1329" s="19"/>
      <c r="Y1329" s="20"/>
    </row>
    <row r="1330" spans="16:25">
      <c r="P1330" s="19"/>
      <c r="Q1330" s="20"/>
      <c r="R1330" s="25"/>
      <c r="S1330" s="20"/>
      <c r="X1330" s="19"/>
      <c r="Y1330" s="20"/>
    </row>
    <row r="1331" spans="16:25">
      <c r="P1331" s="19"/>
      <c r="Q1331" s="20"/>
      <c r="R1331" s="25"/>
      <c r="S1331" s="20"/>
      <c r="X1331" s="19"/>
      <c r="Y1331" s="20"/>
    </row>
    <row r="1332" spans="16:25">
      <c r="P1332" s="19"/>
      <c r="Q1332" s="20"/>
      <c r="R1332" s="25"/>
      <c r="S1332" s="20"/>
      <c r="X1332" s="19"/>
      <c r="Y1332" s="20"/>
    </row>
    <row r="1333" spans="16:25">
      <c r="P1333" s="19"/>
      <c r="Q1333" s="20"/>
      <c r="R1333" s="25"/>
      <c r="S1333" s="20"/>
      <c r="X1333" s="19"/>
      <c r="Y1333" s="20"/>
    </row>
    <row r="1334" spans="16:25">
      <c r="P1334" s="19"/>
      <c r="Q1334" s="20"/>
      <c r="R1334" s="25"/>
      <c r="S1334" s="20"/>
      <c r="X1334" s="19"/>
      <c r="Y1334" s="20"/>
    </row>
    <row r="1335" spans="16:25">
      <c r="P1335" s="19"/>
      <c r="Q1335" s="20"/>
      <c r="R1335" s="25"/>
      <c r="S1335" s="20"/>
      <c r="X1335" s="19"/>
      <c r="Y1335" s="20"/>
    </row>
    <row r="1336" spans="16:25">
      <c r="P1336" s="19"/>
      <c r="Q1336" s="20"/>
      <c r="R1336" s="25"/>
      <c r="S1336" s="20"/>
      <c r="X1336" s="19"/>
      <c r="Y1336" s="20"/>
    </row>
    <row r="1337" spans="16:25">
      <c r="P1337" s="19"/>
      <c r="Q1337" s="20"/>
      <c r="R1337" s="25"/>
      <c r="S1337" s="20"/>
      <c r="X1337" s="19"/>
      <c r="Y1337" s="20"/>
    </row>
    <row r="1338" spans="16:25">
      <c r="P1338" s="19"/>
      <c r="Q1338" s="20"/>
      <c r="R1338" s="25"/>
      <c r="S1338" s="20"/>
      <c r="X1338" s="19"/>
      <c r="Y1338" s="20"/>
    </row>
    <row r="1339" spans="16:25">
      <c r="P1339" s="19"/>
      <c r="Q1339" s="20"/>
      <c r="R1339" s="25"/>
      <c r="S1339" s="20"/>
      <c r="X1339" s="19"/>
      <c r="Y1339" s="20"/>
    </row>
    <row r="1340" spans="16:25">
      <c r="P1340" s="19"/>
      <c r="Q1340" s="20"/>
      <c r="R1340" s="25"/>
      <c r="S1340" s="20"/>
      <c r="X1340" s="19"/>
      <c r="Y1340" s="20"/>
    </row>
    <row r="1341" spans="16:25">
      <c r="P1341" s="19"/>
      <c r="Q1341" s="20"/>
      <c r="R1341" s="25"/>
      <c r="S1341" s="20"/>
      <c r="X1341" s="19"/>
      <c r="Y1341" s="20"/>
    </row>
    <row r="1342" spans="16:25">
      <c r="P1342" s="19"/>
      <c r="Q1342" s="20"/>
      <c r="R1342" s="25"/>
      <c r="S1342" s="20"/>
      <c r="X1342" s="19"/>
      <c r="Y1342" s="20"/>
    </row>
    <row r="1343" spans="16:25">
      <c r="P1343" s="19"/>
      <c r="Q1343" s="20"/>
      <c r="R1343" s="25"/>
      <c r="S1343" s="20"/>
      <c r="X1343" s="19"/>
      <c r="Y1343" s="20"/>
    </row>
    <row r="1344" spans="16:25">
      <c r="P1344" s="19"/>
      <c r="Q1344" s="20"/>
      <c r="R1344" s="25"/>
      <c r="S1344" s="20"/>
      <c r="X1344" s="19"/>
      <c r="Y1344" s="20"/>
    </row>
    <row r="1345" spans="16:25">
      <c r="P1345" s="19"/>
      <c r="Q1345" s="20"/>
      <c r="R1345" s="25"/>
      <c r="S1345" s="20"/>
      <c r="X1345" s="19"/>
      <c r="Y1345" s="20"/>
    </row>
    <row r="1346" spans="16:25">
      <c r="P1346" s="19"/>
      <c r="Q1346" s="20"/>
      <c r="R1346" s="25"/>
      <c r="S1346" s="20"/>
      <c r="X1346" s="19"/>
      <c r="Y1346" s="20"/>
    </row>
    <row r="1347" spans="16:25">
      <c r="P1347" s="19"/>
      <c r="Q1347" s="20"/>
      <c r="R1347" s="25"/>
      <c r="S1347" s="20"/>
      <c r="X1347" s="19"/>
      <c r="Y1347" s="20"/>
    </row>
    <row r="1348" spans="16:25">
      <c r="P1348" s="19"/>
      <c r="Q1348" s="20"/>
      <c r="R1348" s="25"/>
      <c r="S1348" s="20"/>
      <c r="X1348" s="19"/>
      <c r="Y1348" s="20"/>
    </row>
    <row r="1349" spans="16:25">
      <c r="P1349" s="19"/>
      <c r="Q1349" s="20"/>
      <c r="R1349" s="25"/>
      <c r="S1349" s="20"/>
      <c r="X1349" s="19"/>
      <c r="Y1349" s="20"/>
    </row>
    <row r="1350" spans="16:25">
      <c r="P1350" s="19"/>
      <c r="Q1350" s="20"/>
      <c r="R1350" s="25"/>
      <c r="S1350" s="20"/>
      <c r="X1350" s="19"/>
      <c r="Y1350" s="20"/>
    </row>
    <row r="1351" spans="16:25">
      <c r="P1351" s="19"/>
      <c r="Q1351" s="20"/>
      <c r="R1351" s="25"/>
      <c r="S1351" s="20"/>
      <c r="X1351" s="19"/>
      <c r="Y1351" s="20"/>
    </row>
    <row r="1352" spans="16:25">
      <c r="P1352" s="19"/>
      <c r="Q1352" s="20"/>
      <c r="R1352" s="25"/>
      <c r="S1352" s="20"/>
      <c r="X1352" s="19"/>
      <c r="Y1352" s="20"/>
    </row>
    <row r="1353" spans="16:25">
      <c r="P1353" s="19"/>
      <c r="Q1353" s="20"/>
      <c r="R1353" s="25"/>
      <c r="S1353" s="20"/>
      <c r="X1353" s="19"/>
      <c r="Y1353" s="20"/>
    </row>
    <row r="1354" spans="16:25">
      <c r="P1354" s="19"/>
      <c r="Q1354" s="20"/>
      <c r="R1354" s="25"/>
      <c r="S1354" s="20"/>
      <c r="X1354" s="19"/>
      <c r="Y1354" s="20"/>
    </row>
    <row r="1355" spans="16:25">
      <c r="P1355" s="19"/>
      <c r="Q1355" s="20"/>
      <c r="R1355" s="25"/>
      <c r="S1355" s="20"/>
      <c r="X1355" s="19"/>
      <c r="Y1355" s="20"/>
    </row>
    <row r="1356" spans="16:25">
      <c r="P1356" s="19"/>
      <c r="Q1356" s="20"/>
      <c r="R1356" s="25"/>
      <c r="S1356" s="20"/>
      <c r="X1356" s="19"/>
      <c r="Y1356" s="20"/>
    </row>
    <row r="1357" spans="16:25">
      <c r="P1357" s="19"/>
      <c r="Q1357" s="20"/>
      <c r="R1357" s="25"/>
      <c r="S1357" s="20"/>
      <c r="X1357" s="19"/>
      <c r="Y1357" s="20"/>
    </row>
    <row r="1358" spans="16:25">
      <c r="P1358" s="19"/>
      <c r="Q1358" s="20"/>
      <c r="R1358" s="25"/>
      <c r="S1358" s="20"/>
      <c r="X1358" s="19"/>
      <c r="Y1358" s="20"/>
    </row>
    <row r="1359" spans="16:25">
      <c r="P1359" s="19"/>
      <c r="Q1359" s="20"/>
      <c r="R1359" s="25"/>
      <c r="S1359" s="20"/>
      <c r="X1359" s="19"/>
      <c r="Y1359" s="20"/>
    </row>
    <row r="1360" spans="16:25">
      <c r="P1360" s="19"/>
      <c r="Q1360" s="20"/>
      <c r="R1360" s="25"/>
      <c r="S1360" s="20"/>
      <c r="X1360" s="19"/>
      <c r="Y1360" s="20"/>
    </row>
    <row r="1361" spans="16:25">
      <c r="P1361" s="19"/>
      <c r="Q1361" s="20"/>
      <c r="R1361" s="25"/>
      <c r="S1361" s="20"/>
      <c r="X1361" s="19"/>
      <c r="Y1361" s="20"/>
    </row>
    <row r="1362" spans="16:25">
      <c r="P1362" s="19"/>
      <c r="Q1362" s="20"/>
      <c r="R1362" s="25"/>
      <c r="S1362" s="20"/>
      <c r="X1362" s="19"/>
      <c r="Y1362" s="20"/>
    </row>
    <row r="1363" spans="16:25">
      <c r="P1363" s="19"/>
      <c r="Q1363" s="20"/>
      <c r="R1363" s="25"/>
      <c r="S1363" s="20"/>
      <c r="X1363" s="19"/>
      <c r="Y1363" s="20"/>
    </row>
    <row r="1364" spans="16:25">
      <c r="P1364" s="19"/>
      <c r="Q1364" s="20"/>
      <c r="R1364" s="25"/>
      <c r="S1364" s="20"/>
      <c r="X1364" s="19"/>
      <c r="Y1364" s="20"/>
    </row>
    <row r="1365" spans="16:25">
      <c r="P1365" s="19"/>
      <c r="Q1365" s="20"/>
      <c r="R1365" s="25"/>
      <c r="S1365" s="20"/>
      <c r="X1365" s="19"/>
      <c r="Y1365" s="20"/>
    </row>
    <row r="1366" spans="16:25">
      <c r="P1366" s="19"/>
      <c r="Q1366" s="20"/>
      <c r="R1366" s="25"/>
      <c r="S1366" s="20"/>
      <c r="X1366" s="19"/>
      <c r="Y1366" s="20"/>
    </row>
    <row r="1367" spans="16:25">
      <c r="P1367" s="19"/>
      <c r="Q1367" s="20"/>
      <c r="R1367" s="25"/>
      <c r="S1367" s="20"/>
      <c r="X1367" s="19"/>
      <c r="Y1367" s="20"/>
    </row>
    <row r="1368" spans="16:25">
      <c r="P1368" s="19"/>
      <c r="Q1368" s="20"/>
      <c r="R1368" s="25"/>
      <c r="S1368" s="20"/>
      <c r="X1368" s="19"/>
      <c r="Y1368" s="20"/>
    </row>
    <row r="1369" spans="16:25">
      <c r="P1369" s="19"/>
      <c r="Q1369" s="20"/>
      <c r="R1369" s="25"/>
      <c r="S1369" s="20"/>
      <c r="X1369" s="19"/>
      <c r="Y1369" s="20"/>
    </row>
    <row r="1370" spans="16:25">
      <c r="P1370" s="19"/>
      <c r="Q1370" s="20"/>
      <c r="R1370" s="25"/>
      <c r="S1370" s="20"/>
      <c r="X1370" s="19"/>
      <c r="Y1370" s="20"/>
    </row>
    <row r="1371" spans="16:25">
      <c r="P1371" s="19"/>
      <c r="Q1371" s="20"/>
      <c r="R1371" s="25"/>
      <c r="S1371" s="20"/>
      <c r="X1371" s="19"/>
      <c r="Y1371" s="20"/>
    </row>
    <row r="1372" spans="16:25">
      <c r="P1372" s="19"/>
      <c r="Q1372" s="20"/>
      <c r="R1372" s="25"/>
      <c r="S1372" s="20"/>
      <c r="X1372" s="19"/>
      <c r="Y1372" s="20"/>
    </row>
    <row r="1373" spans="16:25">
      <c r="P1373" s="19"/>
      <c r="Q1373" s="20"/>
      <c r="R1373" s="25"/>
      <c r="S1373" s="20"/>
      <c r="X1373" s="19"/>
      <c r="Y1373" s="20"/>
    </row>
    <row r="1374" spans="16:25">
      <c r="P1374" s="19"/>
      <c r="Q1374" s="20"/>
      <c r="R1374" s="25"/>
      <c r="S1374" s="20"/>
      <c r="X1374" s="19"/>
      <c r="Y1374" s="20"/>
    </row>
    <row r="1375" spans="16:25">
      <c r="P1375" s="19"/>
      <c r="Q1375" s="20"/>
      <c r="R1375" s="25"/>
      <c r="S1375" s="20"/>
      <c r="X1375" s="19"/>
      <c r="Y1375" s="20"/>
    </row>
    <row r="1376" spans="16:25">
      <c r="P1376" s="19"/>
      <c r="Q1376" s="20"/>
      <c r="R1376" s="25"/>
      <c r="S1376" s="20"/>
      <c r="X1376" s="19"/>
      <c r="Y1376" s="20"/>
    </row>
    <row r="1377" spans="16:25">
      <c r="P1377" s="19"/>
      <c r="Q1377" s="20"/>
      <c r="R1377" s="25"/>
      <c r="S1377" s="20"/>
      <c r="X1377" s="19"/>
      <c r="Y1377" s="20"/>
    </row>
    <row r="1378" spans="16:25">
      <c r="P1378" s="19"/>
      <c r="Q1378" s="20"/>
      <c r="R1378" s="25"/>
      <c r="S1378" s="20"/>
      <c r="X1378" s="19"/>
      <c r="Y1378" s="20"/>
    </row>
    <row r="1379" spans="16:25">
      <c r="P1379" s="19"/>
      <c r="Q1379" s="20"/>
      <c r="R1379" s="25"/>
      <c r="S1379" s="20"/>
      <c r="X1379" s="19"/>
      <c r="Y1379" s="20"/>
    </row>
    <row r="1380" spans="16:25">
      <c r="P1380" s="19"/>
      <c r="Q1380" s="20"/>
      <c r="R1380" s="25"/>
      <c r="S1380" s="20"/>
      <c r="X1380" s="19"/>
      <c r="Y1380" s="20"/>
    </row>
    <row r="1381" spans="16:25">
      <c r="P1381" s="19"/>
      <c r="Q1381" s="20"/>
      <c r="R1381" s="25"/>
      <c r="S1381" s="20"/>
      <c r="X1381" s="19"/>
      <c r="Y1381" s="20"/>
    </row>
    <row r="1382" spans="16:25">
      <c r="P1382" s="19"/>
      <c r="Q1382" s="20"/>
      <c r="R1382" s="25"/>
      <c r="S1382" s="20"/>
      <c r="X1382" s="19"/>
      <c r="Y1382" s="20"/>
    </row>
    <row r="1383" spans="16:25">
      <c r="P1383" s="19"/>
      <c r="Q1383" s="20"/>
      <c r="R1383" s="25"/>
      <c r="S1383" s="20"/>
      <c r="X1383" s="19"/>
      <c r="Y1383" s="20"/>
    </row>
    <row r="1384" spans="16:25">
      <c r="P1384" s="19"/>
      <c r="Q1384" s="20"/>
      <c r="R1384" s="25"/>
      <c r="S1384" s="20"/>
      <c r="X1384" s="19"/>
      <c r="Y1384" s="20"/>
    </row>
    <row r="1385" spans="16:25">
      <c r="P1385" s="19"/>
      <c r="Q1385" s="20"/>
      <c r="R1385" s="25"/>
      <c r="S1385" s="20"/>
      <c r="X1385" s="19"/>
      <c r="Y1385" s="20"/>
    </row>
    <row r="1386" spans="16:25">
      <c r="P1386" s="19"/>
      <c r="Q1386" s="20"/>
      <c r="R1386" s="25"/>
      <c r="S1386" s="20"/>
      <c r="X1386" s="19"/>
      <c r="Y1386" s="20"/>
    </row>
    <row r="1387" spans="16:25">
      <c r="P1387" s="19"/>
      <c r="Q1387" s="20"/>
      <c r="R1387" s="25"/>
      <c r="S1387" s="20"/>
      <c r="X1387" s="19"/>
      <c r="Y1387" s="20"/>
    </row>
    <row r="1388" spans="16:25">
      <c r="P1388" s="19"/>
      <c r="Q1388" s="20"/>
      <c r="R1388" s="25"/>
      <c r="S1388" s="20"/>
      <c r="X1388" s="19"/>
      <c r="Y1388" s="20"/>
    </row>
    <row r="1389" spans="16:25">
      <c r="P1389" s="19"/>
      <c r="Q1389" s="20"/>
      <c r="R1389" s="25"/>
      <c r="S1389" s="20"/>
      <c r="X1389" s="19"/>
      <c r="Y1389" s="20"/>
    </row>
    <row r="1390" spans="16:25">
      <c r="P1390" s="19"/>
      <c r="Q1390" s="20"/>
      <c r="R1390" s="25"/>
      <c r="S1390" s="20"/>
      <c r="X1390" s="19"/>
      <c r="Y1390" s="20"/>
    </row>
    <row r="1391" spans="16:25">
      <c r="P1391" s="19"/>
      <c r="Q1391" s="20"/>
      <c r="R1391" s="25"/>
      <c r="S1391" s="20"/>
      <c r="X1391" s="19"/>
      <c r="Y1391" s="20"/>
    </row>
    <row r="1392" spans="16:25">
      <c r="P1392" s="19"/>
      <c r="Q1392" s="20"/>
      <c r="R1392" s="25"/>
      <c r="S1392" s="20"/>
      <c r="X1392" s="19"/>
      <c r="Y1392" s="20"/>
    </row>
    <row r="1393" spans="16:25">
      <c r="P1393" s="19"/>
      <c r="Q1393" s="20"/>
      <c r="R1393" s="25"/>
      <c r="S1393" s="20"/>
      <c r="X1393" s="19"/>
      <c r="Y1393" s="20"/>
    </row>
    <row r="1394" spans="16:25">
      <c r="P1394" s="19"/>
      <c r="Q1394" s="20"/>
      <c r="R1394" s="25"/>
      <c r="S1394" s="20"/>
      <c r="X1394" s="19"/>
      <c r="Y1394" s="20"/>
    </row>
    <row r="1395" spans="16:25">
      <c r="P1395" s="19"/>
      <c r="Q1395" s="20"/>
      <c r="R1395" s="25"/>
      <c r="S1395" s="20"/>
      <c r="X1395" s="19"/>
      <c r="Y1395" s="20"/>
    </row>
    <row r="1396" spans="16:25">
      <c r="P1396" s="19"/>
      <c r="Q1396" s="20"/>
      <c r="R1396" s="25"/>
      <c r="S1396" s="20"/>
      <c r="X1396" s="19"/>
      <c r="Y1396" s="20"/>
    </row>
    <row r="1397" spans="16:25">
      <c r="P1397" s="19"/>
      <c r="Q1397" s="20"/>
      <c r="R1397" s="25"/>
      <c r="S1397" s="20"/>
      <c r="X1397" s="19"/>
      <c r="Y1397" s="20"/>
    </row>
    <row r="1398" spans="16:25">
      <c r="P1398" s="19"/>
      <c r="Q1398" s="20"/>
      <c r="R1398" s="25"/>
      <c r="S1398" s="20"/>
      <c r="X1398" s="19"/>
      <c r="Y1398" s="20"/>
    </row>
    <row r="1399" spans="16:25">
      <c r="P1399" s="19"/>
      <c r="Q1399" s="20"/>
      <c r="R1399" s="25"/>
      <c r="S1399" s="20"/>
      <c r="X1399" s="19"/>
      <c r="Y1399" s="20"/>
    </row>
    <row r="1400" spans="16:25">
      <c r="P1400" s="19"/>
      <c r="Q1400" s="20"/>
      <c r="R1400" s="25"/>
      <c r="S1400" s="20"/>
      <c r="X1400" s="19"/>
      <c r="Y1400" s="20"/>
    </row>
    <row r="1401" spans="16:25">
      <c r="P1401" s="19"/>
      <c r="Q1401" s="20"/>
      <c r="R1401" s="25"/>
      <c r="S1401" s="20"/>
      <c r="X1401" s="19"/>
      <c r="Y1401" s="20"/>
    </row>
    <row r="1402" spans="16:25">
      <c r="P1402" s="19"/>
      <c r="Q1402" s="20"/>
      <c r="R1402" s="25"/>
      <c r="S1402" s="20"/>
      <c r="X1402" s="19"/>
      <c r="Y1402" s="20"/>
    </row>
    <row r="1403" spans="16:25">
      <c r="P1403" s="19"/>
      <c r="Q1403" s="20"/>
      <c r="R1403" s="25"/>
      <c r="S1403" s="20"/>
      <c r="X1403" s="19"/>
      <c r="Y1403" s="20"/>
    </row>
    <row r="1404" spans="16:25">
      <c r="P1404" s="19"/>
      <c r="Q1404" s="20"/>
      <c r="R1404" s="25"/>
      <c r="S1404" s="20"/>
      <c r="X1404" s="19"/>
      <c r="Y1404" s="20"/>
    </row>
    <row r="1405" spans="16:25">
      <c r="P1405" s="19"/>
      <c r="Q1405" s="20"/>
      <c r="R1405" s="25"/>
      <c r="S1405" s="20"/>
      <c r="X1405" s="19"/>
      <c r="Y1405" s="20"/>
    </row>
    <row r="1406" spans="16:25">
      <c r="P1406" s="19"/>
      <c r="Q1406" s="20"/>
      <c r="R1406" s="25"/>
      <c r="S1406" s="20"/>
      <c r="X1406" s="19"/>
      <c r="Y1406" s="20"/>
    </row>
    <row r="1407" spans="16:25">
      <c r="P1407" s="19"/>
      <c r="Q1407" s="20"/>
      <c r="R1407" s="25"/>
      <c r="S1407" s="20"/>
      <c r="X1407" s="19"/>
      <c r="Y1407" s="20"/>
    </row>
    <row r="1408" spans="16:25">
      <c r="P1408" s="19"/>
      <c r="Q1408" s="20"/>
      <c r="R1408" s="25"/>
      <c r="S1408" s="20"/>
      <c r="X1408" s="19"/>
      <c r="Y1408" s="20"/>
    </row>
    <row r="1409" spans="16:25">
      <c r="P1409" s="19"/>
      <c r="Q1409" s="20"/>
      <c r="R1409" s="25"/>
      <c r="S1409" s="20"/>
      <c r="X1409" s="19"/>
      <c r="Y1409" s="20"/>
    </row>
    <row r="1410" spans="16:25">
      <c r="P1410" s="19"/>
      <c r="Q1410" s="20"/>
      <c r="R1410" s="25"/>
      <c r="S1410" s="20"/>
      <c r="X1410" s="19"/>
      <c r="Y1410" s="20"/>
    </row>
    <row r="1411" spans="16:25">
      <c r="P1411" s="19"/>
      <c r="Q1411" s="20"/>
      <c r="R1411" s="25"/>
      <c r="S1411" s="20"/>
      <c r="X1411" s="19"/>
      <c r="Y1411" s="20"/>
    </row>
    <row r="1412" spans="16:25">
      <c r="P1412" s="19"/>
      <c r="Q1412" s="20"/>
      <c r="R1412" s="25"/>
      <c r="S1412" s="20"/>
      <c r="X1412" s="19"/>
      <c r="Y1412" s="20"/>
    </row>
    <row r="1413" spans="16:25">
      <c r="P1413" s="19"/>
      <c r="Q1413" s="20"/>
      <c r="R1413" s="25"/>
      <c r="S1413" s="20"/>
      <c r="X1413" s="19"/>
      <c r="Y1413" s="20"/>
    </row>
    <row r="1414" spans="16:25">
      <c r="P1414" s="19"/>
      <c r="Q1414" s="20"/>
      <c r="R1414" s="25"/>
      <c r="S1414" s="20"/>
      <c r="X1414" s="19"/>
      <c r="Y1414" s="20"/>
    </row>
    <row r="1415" spans="16:25">
      <c r="P1415" s="19"/>
      <c r="Q1415" s="20"/>
      <c r="R1415" s="25"/>
      <c r="S1415" s="20"/>
      <c r="X1415" s="19"/>
      <c r="Y1415" s="20"/>
    </row>
    <row r="1416" spans="16:25">
      <c r="P1416" s="19"/>
      <c r="Q1416" s="20"/>
      <c r="R1416" s="25"/>
      <c r="S1416" s="20"/>
      <c r="X1416" s="19"/>
      <c r="Y1416" s="20"/>
    </row>
    <row r="1417" spans="16:25">
      <c r="P1417" s="19"/>
      <c r="Q1417" s="20"/>
      <c r="R1417" s="25"/>
      <c r="S1417" s="20"/>
      <c r="X1417" s="19"/>
      <c r="Y1417" s="20"/>
    </row>
    <row r="1418" spans="16:25">
      <c r="P1418" s="19"/>
      <c r="Q1418" s="20"/>
      <c r="R1418" s="25"/>
      <c r="S1418" s="20"/>
      <c r="X1418" s="19"/>
      <c r="Y1418" s="20"/>
    </row>
    <row r="1419" spans="16:25">
      <c r="P1419" s="19"/>
      <c r="Q1419" s="20"/>
      <c r="R1419" s="25"/>
      <c r="S1419" s="20"/>
      <c r="X1419" s="19"/>
      <c r="Y1419" s="20"/>
    </row>
    <row r="1420" spans="16:25">
      <c r="P1420" s="19"/>
      <c r="Q1420" s="20"/>
      <c r="R1420" s="25"/>
      <c r="S1420" s="20"/>
      <c r="X1420" s="19"/>
      <c r="Y1420" s="20"/>
    </row>
    <row r="1421" spans="16:25">
      <c r="P1421" s="19"/>
      <c r="Q1421" s="20"/>
      <c r="R1421" s="25"/>
      <c r="S1421" s="20"/>
      <c r="X1421" s="19"/>
      <c r="Y1421" s="20"/>
    </row>
    <row r="1422" spans="16:25">
      <c r="P1422" s="19"/>
      <c r="Q1422" s="20"/>
      <c r="R1422" s="25"/>
      <c r="S1422" s="20"/>
      <c r="X1422" s="19"/>
      <c r="Y1422" s="20"/>
    </row>
    <row r="1423" spans="16:25">
      <c r="P1423" s="19"/>
      <c r="Q1423" s="20"/>
      <c r="R1423" s="25"/>
      <c r="S1423" s="20"/>
      <c r="X1423" s="19"/>
      <c r="Y1423" s="20"/>
    </row>
    <row r="1424" spans="16:25">
      <c r="P1424" s="19"/>
      <c r="Q1424" s="20"/>
      <c r="R1424" s="25"/>
      <c r="S1424" s="20"/>
      <c r="X1424" s="19"/>
      <c r="Y1424" s="20"/>
    </row>
    <row r="1425" spans="16:25">
      <c r="P1425" s="19"/>
      <c r="Q1425" s="20"/>
      <c r="R1425" s="25"/>
      <c r="S1425" s="20"/>
      <c r="X1425" s="19"/>
      <c r="Y1425" s="20"/>
    </row>
    <row r="1426" spans="16:25">
      <c r="P1426" s="19"/>
      <c r="Q1426" s="20"/>
      <c r="R1426" s="25"/>
      <c r="S1426" s="20"/>
      <c r="X1426" s="19"/>
      <c r="Y1426" s="20"/>
    </row>
    <row r="1427" spans="16:25">
      <c r="P1427" s="19"/>
      <c r="Q1427" s="20"/>
      <c r="R1427" s="25"/>
      <c r="S1427" s="20"/>
      <c r="X1427" s="19"/>
      <c r="Y1427" s="20"/>
    </row>
    <row r="1428" spans="16:25">
      <c r="P1428" s="19"/>
      <c r="Q1428" s="20"/>
      <c r="R1428" s="25"/>
      <c r="S1428" s="20"/>
      <c r="X1428" s="19"/>
      <c r="Y1428" s="20"/>
    </row>
    <row r="1429" spans="16:25">
      <c r="P1429" s="19"/>
      <c r="Q1429" s="20"/>
      <c r="R1429" s="25"/>
      <c r="S1429" s="20"/>
      <c r="X1429" s="19"/>
      <c r="Y1429" s="20"/>
    </row>
    <row r="1430" spans="16:25">
      <c r="P1430" s="19"/>
      <c r="Q1430" s="20"/>
      <c r="R1430" s="25"/>
      <c r="S1430" s="20"/>
      <c r="X1430" s="19"/>
      <c r="Y1430" s="20"/>
    </row>
    <row r="1431" spans="16:25">
      <c r="P1431" s="19"/>
      <c r="Q1431" s="20"/>
      <c r="R1431" s="25"/>
      <c r="S1431" s="20"/>
      <c r="X1431" s="19"/>
      <c r="Y1431" s="20"/>
    </row>
    <row r="1432" spans="16:25">
      <c r="P1432" s="19"/>
      <c r="Q1432" s="20"/>
      <c r="R1432" s="25"/>
      <c r="S1432" s="20"/>
      <c r="X1432" s="19"/>
      <c r="Y1432" s="20"/>
    </row>
    <row r="1433" spans="16:25">
      <c r="P1433" s="19"/>
      <c r="Q1433" s="20"/>
      <c r="R1433" s="25"/>
      <c r="S1433" s="20"/>
      <c r="X1433" s="19"/>
      <c r="Y1433" s="20"/>
    </row>
    <row r="1434" spans="16:25">
      <c r="P1434" s="19"/>
      <c r="Q1434" s="20"/>
      <c r="R1434" s="25"/>
      <c r="S1434" s="20"/>
      <c r="X1434" s="19"/>
      <c r="Y1434" s="20"/>
    </row>
    <row r="1435" spans="16:25">
      <c r="P1435" s="19"/>
      <c r="Q1435" s="20"/>
      <c r="R1435" s="25"/>
      <c r="S1435" s="20"/>
      <c r="X1435" s="19"/>
      <c r="Y1435" s="20"/>
    </row>
    <row r="1436" spans="16:25">
      <c r="P1436" s="19"/>
      <c r="Q1436" s="20"/>
      <c r="R1436" s="25"/>
      <c r="S1436" s="20"/>
      <c r="X1436" s="19"/>
      <c r="Y1436" s="20"/>
    </row>
    <row r="1437" spans="16:25">
      <c r="P1437" s="19"/>
      <c r="Q1437" s="20"/>
      <c r="R1437" s="25"/>
      <c r="S1437" s="20"/>
      <c r="X1437" s="19"/>
      <c r="Y1437" s="20"/>
    </row>
    <row r="1438" spans="16:25">
      <c r="P1438" s="19"/>
      <c r="Q1438" s="20"/>
      <c r="R1438" s="25"/>
      <c r="S1438" s="20"/>
      <c r="X1438" s="19"/>
      <c r="Y1438" s="20"/>
    </row>
    <row r="1439" spans="16:25">
      <c r="P1439" s="19"/>
      <c r="Q1439" s="20"/>
      <c r="R1439" s="25"/>
      <c r="S1439" s="20"/>
      <c r="X1439" s="19"/>
      <c r="Y1439" s="20"/>
    </row>
    <row r="1440" spans="16:25">
      <c r="P1440" s="19"/>
      <c r="Q1440" s="20"/>
      <c r="R1440" s="25"/>
      <c r="S1440" s="20"/>
      <c r="X1440" s="19"/>
      <c r="Y1440" s="20"/>
    </row>
    <row r="1441" spans="16:25">
      <c r="P1441" s="19"/>
      <c r="Q1441" s="20"/>
      <c r="R1441" s="25"/>
      <c r="S1441" s="20"/>
      <c r="X1441" s="19"/>
      <c r="Y1441" s="20"/>
    </row>
    <row r="1442" spans="16:25">
      <c r="P1442" s="19"/>
      <c r="Q1442" s="20"/>
      <c r="R1442" s="25"/>
      <c r="S1442" s="20"/>
      <c r="X1442" s="19"/>
      <c r="Y1442" s="20"/>
    </row>
    <row r="1443" spans="16:25">
      <c r="P1443" s="19"/>
      <c r="Q1443" s="20"/>
      <c r="R1443" s="25"/>
      <c r="S1443" s="20"/>
      <c r="X1443" s="19"/>
      <c r="Y1443" s="20"/>
    </row>
    <row r="1444" spans="16:25">
      <c r="P1444" s="19"/>
      <c r="Q1444" s="20"/>
      <c r="R1444" s="25"/>
      <c r="S1444" s="20"/>
      <c r="X1444" s="19"/>
      <c r="Y1444" s="20"/>
    </row>
    <row r="1445" spans="16:25">
      <c r="P1445" s="19"/>
      <c r="Q1445" s="20"/>
      <c r="R1445" s="25"/>
      <c r="S1445" s="20"/>
      <c r="X1445" s="19"/>
      <c r="Y1445" s="20"/>
    </row>
    <row r="1446" spans="16:25">
      <c r="P1446" s="19"/>
      <c r="Q1446" s="20"/>
      <c r="R1446" s="25"/>
      <c r="S1446" s="20"/>
      <c r="X1446" s="19"/>
      <c r="Y1446" s="20"/>
    </row>
    <row r="1447" spans="16:25">
      <c r="P1447" s="19"/>
      <c r="Q1447" s="20"/>
      <c r="R1447" s="25"/>
      <c r="S1447" s="20"/>
      <c r="X1447" s="19"/>
      <c r="Y1447" s="20"/>
    </row>
    <row r="1448" spans="16:25">
      <c r="P1448" s="19"/>
      <c r="Q1448" s="20"/>
      <c r="R1448" s="25"/>
      <c r="S1448" s="20"/>
      <c r="X1448" s="19"/>
      <c r="Y1448" s="20"/>
    </row>
    <row r="1449" spans="16:25">
      <c r="P1449" s="19"/>
      <c r="Q1449" s="20"/>
      <c r="R1449" s="25"/>
      <c r="S1449" s="20"/>
      <c r="X1449" s="19"/>
      <c r="Y1449" s="20"/>
    </row>
    <row r="1450" spans="16:25">
      <c r="P1450" s="19"/>
      <c r="Q1450" s="20"/>
      <c r="R1450" s="25"/>
      <c r="S1450" s="20"/>
      <c r="X1450" s="19"/>
      <c r="Y1450" s="20"/>
    </row>
    <row r="1451" spans="16:25">
      <c r="P1451" s="19"/>
      <c r="Q1451" s="20"/>
      <c r="R1451" s="25"/>
      <c r="S1451" s="20"/>
      <c r="X1451" s="19"/>
      <c r="Y1451" s="20"/>
    </row>
    <row r="1452" spans="16:25">
      <c r="P1452" s="19"/>
      <c r="Q1452" s="20"/>
      <c r="R1452" s="25"/>
      <c r="S1452" s="20"/>
      <c r="X1452" s="19"/>
      <c r="Y1452" s="20"/>
    </row>
    <row r="1453" spans="16:25">
      <c r="P1453" s="19"/>
      <c r="Q1453" s="20"/>
      <c r="R1453" s="25"/>
      <c r="S1453" s="20"/>
      <c r="X1453" s="19"/>
      <c r="Y1453" s="20"/>
    </row>
    <row r="1454" spans="16:25">
      <c r="P1454" s="19"/>
      <c r="Q1454" s="20"/>
      <c r="R1454" s="25"/>
      <c r="S1454" s="20"/>
      <c r="X1454" s="19"/>
      <c r="Y1454" s="20"/>
    </row>
    <row r="1455" spans="16:25">
      <c r="P1455" s="19"/>
      <c r="Q1455" s="20"/>
      <c r="R1455" s="25"/>
      <c r="S1455" s="20"/>
      <c r="X1455" s="19"/>
      <c r="Y1455" s="20"/>
    </row>
    <row r="1456" spans="16:25">
      <c r="P1456" s="19"/>
      <c r="Q1456" s="20"/>
      <c r="R1456" s="25"/>
      <c r="S1456" s="20"/>
      <c r="X1456" s="19"/>
      <c r="Y1456" s="20"/>
    </row>
    <row r="1457" spans="16:25">
      <c r="P1457" s="19"/>
      <c r="Q1457" s="20"/>
      <c r="R1457" s="25"/>
      <c r="S1457" s="20"/>
      <c r="X1457" s="19"/>
      <c r="Y1457" s="20"/>
    </row>
    <row r="1458" spans="16:25">
      <c r="P1458" s="19"/>
      <c r="Q1458" s="20"/>
      <c r="R1458" s="25"/>
      <c r="S1458" s="20"/>
      <c r="X1458" s="19"/>
      <c r="Y1458" s="20"/>
    </row>
    <row r="1459" spans="16:25">
      <c r="P1459" s="19"/>
      <c r="Q1459" s="20"/>
      <c r="R1459" s="25"/>
      <c r="S1459" s="20"/>
      <c r="X1459" s="19"/>
      <c r="Y1459" s="20"/>
    </row>
    <row r="1460" spans="16:25">
      <c r="P1460" s="19"/>
      <c r="Q1460" s="20"/>
      <c r="R1460" s="25"/>
      <c r="S1460" s="20"/>
      <c r="X1460" s="19"/>
      <c r="Y1460" s="20"/>
    </row>
    <row r="1461" spans="16:25">
      <c r="P1461" s="19"/>
      <c r="Q1461" s="20"/>
      <c r="R1461" s="25"/>
      <c r="S1461" s="20"/>
      <c r="X1461" s="19"/>
      <c r="Y1461" s="20"/>
    </row>
    <row r="1462" spans="16:25">
      <c r="P1462" s="19"/>
      <c r="Q1462" s="20"/>
      <c r="R1462" s="25"/>
      <c r="S1462" s="20"/>
      <c r="X1462" s="19"/>
      <c r="Y1462" s="20"/>
    </row>
    <row r="1463" spans="16:25">
      <c r="P1463" s="19"/>
      <c r="Q1463" s="20"/>
      <c r="R1463" s="25"/>
      <c r="S1463" s="20"/>
      <c r="X1463" s="19"/>
      <c r="Y1463" s="20"/>
    </row>
    <row r="1464" spans="16:25">
      <c r="P1464" s="19"/>
      <c r="Q1464" s="20"/>
      <c r="R1464" s="25"/>
      <c r="S1464" s="20"/>
      <c r="X1464" s="19"/>
      <c r="Y1464" s="20"/>
    </row>
    <row r="1465" spans="16:25">
      <c r="P1465" s="19"/>
      <c r="Q1465" s="20"/>
      <c r="R1465" s="25"/>
      <c r="S1465" s="20"/>
      <c r="X1465" s="19"/>
      <c r="Y1465" s="20"/>
    </row>
    <row r="1466" spans="16:25">
      <c r="P1466" s="19"/>
      <c r="Q1466" s="20"/>
      <c r="R1466" s="25"/>
      <c r="S1466" s="20"/>
      <c r="X1466" s="19"/>
      <c r="Y1466" s="20"/>
    </row>
    <row r="1467" spans="16:25">
      <c r="P1467" s="19"/>
      <c r="Q1467" s="20"/>
      <c r="R1467" s="25"/>
      <c r="S1467" s="20"/>
      <c r="X1467" s="19"/>
      <c r="Y1467" s="20"/>
    </row>
    <row r="1468" spans="16:25">
      <c r="P1468" s="19"/>
      <c r="Q1468" s="20"/>
      <c r="R1468" s="25"/>
      <c r="S1468" s="20"/>
      <c r="X1468" s="19"/>
      <c r="Y1468" s="20"/>
    </row>
    <row r="1469" spans="16:25">
      <c r="P1469" s="19"/>
      <c r="Q1469" s="20"/>
      <c r="R1469" s="25"/>
      <c r="S1469" s="20"/>
      <c r="X1469" s="19"/>
      <c r="Y1469" s="20"/>
    </row>
    <row r="1470" spans="16:25">
      <c r="P1470" s="19"/>
      <c r="Q1470" s="20"/>
      <c r="R1470" s="25"/>
      <c r="S1470" s="20"/>
      <c r="X1470" s="19"/>
      <c r="Y1470" s="20"/>
    </row>
    <row r="1471" spans="16:25">
      <c r="P1471" s="19"/>
      <c r="Q1471" s="20"/>
      <c r="R1471" s="25"/>
      <c r="S1471" s="20"/>
      <c r="X1471" s="19"/>
      <c r="Y1471" s="20"/>
    </row>
    <row r="1472" spans="16:25">
      <c r="P1472" s="19"/>
      <c r="Q1472" s="20"/>
      <c r="R1472" s="25"/>
      <c r="S1472" s="20"/>
      <c r="X1472" s="19"/>
      <c r="Y1472" s="20"/>
    </row>
    <row r="1473" spans="16:25">
      <c r="P1473" s="19"/>
      <c r="Q1473" s="20"/>
      <c r="R1473" s="25"/>
      <c r="S1473" s="20"/>
      <c r="X1473" s="19"/>
      <c r="Y1473" s="20"/>
    </row>
    <row r="1474" spans="16:25">
      <c r="P1474" s="19"/>
      <c r="Q1474" s="20"/>
      <c r="R1474" s="25"/>
      <c r="S1474" s="20"/>
      <c r="X1474" s="19"/>
      <c r="Y1474" s="20"/>
    </row>
    <row r="1475" spans="16:25">
      <c r="P1475" s="19"/>
      <c r="Q1475" s="20"/>
      <c r="R1475" s="25"/>
      <c r="S1475" s="20"/>
      <c r="X1475" s="19"/>
      <c r="Y1475" s="20"/>
    </row>
    <row r="1476" spans="16:25">
      <c r="P1476" s="19"/>
      <c r="Q1476" s="20"/>
      <c r="R1476" s="25"/>
      <c r="S1476" s="20"/>
      <c r="X1476" s="19"/>
      <c r="Y1476" s="20"/>
    </row>
    <row r="1477" spans="16:25">
      <c r="P1477" s="19"/>
      <c r="Q1477" s="20"/>
      <c r="R1477" s="25"/>
      <c r="S1477" s="20"/>
      <c r="X1477" s="19"/>
      <c r="Y1477" s="20"/>
    </row>
    <row r="1478" spans="16:25">
      <c r="P1478" s="19"/>
      <c r="Q1478" s="20"/>
      <c r="R1478" s="25"/>
      <c r="S1478" s="20"/>
      <c r="X1478" s="19"/>
      <c r="Y1478" s="20"/>
    </row>
    <row r="1479" spans="16:25">
      <c r="P1479" s="19"/>
      <c r="Q1479" s="20"/>
      <c r="R1479" s="25"/>
      <c r="S1479" s="20"/>
      <c r="X1479" s="19"/>
      <c r="Y1479" s="20"/>
    </row>
    <row r="1480" spans="16:25">
      <c r="P1480" s="19"/>
      <c r="Q1480" s="20"/>
      <c r="R1480" s="25"/>
      <c r="S1480" s="20"/>
      <c r="X1480" s="19"/>
      <c r="Y1480" s="20"/>
    </row>
    <row r="1481" spans="16:25">
      <c r="P1481" s="19"/>
      <c r="Q1481" s="20"/>
      <c r="R1481" s="25"/>
      <c r="S1481" s="20"/>
      <c r="X1481" s="19"/>
      <c r="Y1481" s="20"/>
    </row>
    <row r="1482" spans="16:25">
      <c r="P1482" s="19"/>
      <c r="Q1482" s="20"/>
      <c r="R1482" s="25"/>
      <c r="S1482" s="20"/>
      <c r="X1482" s="19"/>
      <c r="Y1482" s="20"/>
    </row>
    <row r="1483" spans="16:25">
      <c r="P1483" s="19"/>
      <c r="Q1483" s="20"/>
      <c r="R1483" s="25"/>
      <c r="S1483" s="20"/>
      <c r="X1483" s="19"/>
      <c r="Y1483" s="20"/>
    </row>
    <row r="1484" spans="16:25">
      <c r="P1484" s="19"/>
      <c r="Q1484" s="20"/>
      <c r="R1484" s="25"/>
      <c r="S1484" s="20"/>
      <c r="X1484" s="19"/>
      <c r="Y1484" s="20"/>
    </row>
    <row r="1485" spans="16:25">
      <c r="P1485" s="19"/>
      <c r="Q1485" s="20"/>
      <c r="R1485" s="25"/>
      <c r="S1485" s="20"/>
      <c r="X1485" s="19"/>
      <c r="Y1485" s="20"/>
    </row>
    <row r="1486" spans="16:25">
      <c r="P1486" s="19"/>
      <c r="Q1486" s="20"/>
      <c r="R1486" s="25"/>
      <c r="S1486" s="20"/>
      <c r="X1486" s="19"/>
      <c r="Y1486" s="20"/>
    </row>
    <row r="1487" spans="16:25">
      <c r="P1487" s="19"/>
      <c r="Q1487" s="20"/>
      <c r="R1487" s="25"/>
      <c r="S1487" s="20"/>
      <c r="X1487" s="19"/>
      <c r="Y1487" s="20"/>
    </row>
    <row r="1488" spans="16:25">
      <c r="P1488" s="19"/>
      <c r="Q1488" s="20"/>
      <c r="R1488" s="25"/>
      <c r="S1488" s="20"/>
      <c r="X1488" s="19"/>
      <c r="Y1488" s="20"/>
    </row>
    <row r="1489" spans="16:25">
      <c r="P1489" s="19"/>
      <c r="Q1489" s="20"/>
      <c r="R1489" s="25"/>
      <c r="S1489" s="20"/>
      <c r="X1489" s="19"/>
      <c r="Y1489" s="20"/>
    </row>
    <row r="1490" spans="16:25">
      <c r="P1490" s="19"/>
      <c r="Q1490" s="20"/>
      <c r="R1490" s="25"/>
      <c r="S1490" s="20"/>
      <c r="X1490" s="19"/>
      <c r="Y1490" s="20"/>
    </row>
    <row r="1491" spans="16:25">
      <c r="P1491" s="19"/>
      <c r="Q1491" s="20"/>
      <c r="R1491" s="25"/>
      <c r="S1491" s="20"/>
      <c r="X1491" s="19"/>
      <c r="Y1491" s="20"/>
    </row>
    <row r="1492" spans="16:25">
      <c r="P1492" s="19"/>
      <c r="Q1492" s="20"/>
      <c r="R1492" s="25"/>
      <c r="S1492" s="20"/>
      <c r="X1492" s="19"/>
      <c r="Y1492" s="20"/>
    </row>
    <row r="1493" spans="16:25">
      <c r="P1493" s="19"/>
      <c r="Q1493" s="20"/>
      <c r="R1493" s="25"/>
      <c r="S1493" s="20"/>
      <c r="X1493" s="19"/>
      <c r="Y1493" s="20"/>
    </row>
    <row r="1494" spans="16:25">
      <c r="P1494" s="19"/>
      <c r="Q1494" s="20"/>
      <c r="R1494" s="25"/>
      <c r="S1494" s="20"/>
      <c r="X1494" s="19"/>
      <c r="Y1494" s="20"/>
    </row>
    <row r="1495" spans="16:25">
      <c r="P1495" s="19"/>
      <c r="Q1495" s="20"/>
      <c r="R1495" s="25"/>
      <c r="S1495" s="20"/>
      <c r="X1495" s="19"/>
      <c r="Y1495" s="20"/>
    </row>
    <row r="1496" spans="16:25">
      <c r="P1496" s="19"/>
      <c r="Q1496" s="20"/>
      <c r="R1496" s="25"/>
      <c r="S1496" s="20"/>
      <c r="X1496" s="19"/>
      <c r="Y1496" s="20"/>
    </row>
    <row r="1497" spans="16:25">
      <c r="P1497" s="19"/>
      <c r="Q1497" s="20"/>
      <c r="R1497" s="25"/>
      <c r="S1497" s="20"/>
      <c r="X1497" s="19"/>
      <c r="Y1497" s="20"/>
    </row>
    <row r="1498" spans="16:25">
      <c r="P1498" s="19"/>
      <c r="Q1498" s="20"/>
      <c r="R1498" s="25"/>
      <c r="S1498" s="20"/>
      <c r="X1498" s="19"/>
      <c r="Y1498" s="20"/>
    </row>
    <row r="1499" spans="16:25">
      <c r="P1499" s="19"/>
      <c r="Q1499" s="20"/>
      <c r="R1499" s="25"/>
      <c r="S1499" s="20"/>
      <c r="X1499" s="19"/>
      <c r="Y1499" s="20"/>
    </row>
    <row r="1500" spans="16:25">
      <c r="P1500" s="19"/>
      <c r="Q1500" s="20"/>
      <c r="R1500" s="25"/>
      <c r="S1500" s="20"/>
      <c r="X1500" s="19"/>
      <c r="Y1500" s="20"/>
    </row>
    <row r="1501" spans="16:25">
      <c r="P1501" s="19"/>
      <c r="Q1501" s="20"/>
      <c r="R1501" s="25"/>
      <c r="S1501" s="20"/>
      <c r="X1501" s="19"/>
      <c r="Y1501" s="20"/>
    </row>
    <row r="1502" spans="16:25">
      <c r="P1502" s="19"/>
      <c r="Q1502" s="20"/>
      <c r="R1502" s="25"/>
      <c r="S1502" s="20"/>
      <c r="X1502" s="19"/>
      <c r="Y1502" s="20"/>
    </row>
    <row r="1503" spans="16:25">
      <c r="P1503" s="19"/>
      <c r="Q1503" s="20"/>
      <c r="R1503" s="25"/>
      <c r="S1503" s="20"/>
      <c r="X1503" s="19"/>
      <c r="Y1503" s="20"/>
    </row>
    <row r="1504" spans="16:25">
      <c r="P1504" s="19"/>
      <c r="Q1504" s="20"/>
      <c r="R1504" s="25"/>
      <c r="S1504" s="20"/>
      <c r="X1504" s="19"/>
      <c r="Y1504" s="20"/>
    </row>
    <row r="1505" spans="16:25">
      <c r="P1505" s="19"/>
      <c r="Q1505" s="20"/>
      <c r="R1505" s="25"/>
      <c r="S1505" s="20"/>
      <c r="X1505" s="19"/>
      <c r="Y1505" s="20"/>
    </row>
    <row r="1506" spans="16:25">
      <c r="P1506" s="19"/>
      <c r="Q1506" s="20"/>
      <c r="R1506" s="25"/>
      <c r="S1506" s="20"/>
      <c r="X1506" s="19"/>
      <c r="Y1506" s="20"/>
    </row>
    <row r="1507" spans="16:25">
      <c r="P1507" s="19"/>
      <c r="Q1507" s="20"/>
      <c r="R1507" s="25"/>
      <c r="S1507" s="20"/>
      <c r="X1507" s="19"/>
      <c r="Y1507" s="20"/>
    </row>
    <row r="1508" spans="16:25">
      <c r="P1508" s="19"/>
      <c r="Q1508" s="20"/>
      <c r="R1508" s="25"/>
      <c r="S1508" s="20"/>
      <c r="X1508" s="19"/>
      <c r="Y1508" s="20"/>
    </row>
    <row r="1509" spans="16:25">
      <c r="P1509" s="19"/>
      <c r="Q1509" s="20"/>
      <c r="R1509" s="25"/>
      <c r="S1509" s="20"/>
      <c r="X1509" s="19"/>
      <c r="Y1509" s="20"/>
    </row>
    <row r="1510" spans="16:25">
      <c r="P1510" s="19"/>
      <c r="Q1510" s="20"/>
      <c r="R1510" s="25"/>
      <c r="S1510" s="20"/>
      <c r="X1510" s="19"/>
      <c r="Y1510" s="20"/>
    </row>
    <row r="1511" spans="16:25">
      <c r="P1511" s="19"/>
      <c r="Q1511" s="20"/>
      <c r="R1511" s="25"/>
      <c r="S1511" s="20"/>
      <c r="X1511" s="19"/>
      <c r="Y1511" s="20"/>
    </row>
    <row r="1512" spans="16:25">
      <c r="P1512" s="19"/>
      <c r="Q1512" s="20"/>
      <c r="R1512" s="25"/>
      <c r="S1512" s="20"/>
      <c r="X1512" s="19"/>
      <c r="Y1512" s="20"/>
    </row>
    <row r="1513" spans="16:25">
      <c r="P1513" s="19"/>
      <c r="Q1513" s="20"/>
      <c r="R1513" s="25"/>
      <c r="S1513" s="20"/>
      <c r="X1513" s="19"/>
      <c r="Y1513" s="20"/>
    </row>
    <row r="1514" spans="16:25">
      <c r="P1514" s="19"/>
      <c r="Q1514" s="20"/>
      <c r="R1514" s="25"/>
      <c r="S1514" s="20"/>
      <c r="X1514" s="19"/>
      <c r="Y1514" s="20"/>
    </row>
    <row r="1515" spans="16:25">
      <c r="P1515" s="19"/>
      <c r="Q1515" s="20"/>
      <c r="R1515" s="25"/>
      <c r="S1515" s="20"/>
      <c r="X1515" s="19"/>
      <c r="Y1515" s="20"/>
    </row>
    <row r="1516" spans="16:25">
      <c r="P1516" s="19"/>
      <c r="Q1516" s="20"/>
      <c r="R1516" s="25"/>
      <c r="S1516" s="20"/>
      <c r="X1516" s="19"/>
      <c r="Y1516" s="20"/>
    </row>
    <row r="1517" spans="16:25">
      <c r="P1517" s="19"/>
      <c r="Q1517" s="20"/>
      <c r="R1517" s="25"/>
      <c r="S1517" s="20"/>
      <c r="X1517" s="19"/>
      <c r="Y1517" s="20"/>
    </row>
    <row r="1518" spans="16:25">
      <c r="P1518" s="19"/>
      <c r="Q1518" s="20"/>
      <c r="R1518" s="25"/>
      <c r="S1518" s="20"/>
      <c r="X1518" s="19"/>
      <c r="Y1518" s="20"/>
    </row>
    <row r="1519" spans="16:25">
      <c r="P1519" s="19"/>
      <c r="Q1519" s="20"/>
      <c r="R1519" s="25"/>
      <c r="S1519" s="20"/>
      <c r="X1519" s="19"/>
      <c r="Y1519" s="20"/>
    </row>
    <row r="1520" spans="16:25">
      <c r="P1520" s="19"/>
      <c r="Q1520" s="20"/>
      <c r="R1520" s="25"/>
      <c r="S1520" s="20"/>
      <c r="X1520" s="19"/>
      <c r="Y1520" s="20"/>
    </row>
    <row r="1521" spans="16:25">
      <c r="P1521" s="19"/>
      <c r="Q1521" s="20"/>
      <c r="R1521" s="25"/>
      <c r="S1521" s="20"/>
      <c r="X1521" s="19"/>
      <c r="Y1521" s="20"/>
    </row>
    <row r="1522" spans="16:25">
      <c r="P1522" s="19"/>
      <c r="Q1522" s="20"/>
      <c r="R1522" s="25"/>
      <c r="S1522" s="20"/>
      <c r="X1522" s="19"/>
      <c r="Y1522" s="20"/>
    </row>
    <row r="1523" spans="16:25">
      <c r="P1523" s="19"/>
      <c r="Q1523" s="20"/>
      <c r="R1523" s="25"/>
      <c r="S1523" s="20"/>
      <c r="X1523" s="19"/>
      <c r="Y1523" s="20"/>
    </row>
    <row r="1524" spans="16:25">
      <c r="P1524" s="19"/>
      <c r="Q1524" s="20"/>
      <c r="R1524" s="25"/>
      <c r="S1524" s="20"/>
      <c r="X1524" s="19"/>
      <c r="Y1524" s="20"/>
    </row>
    <row r="1525" spans="16:25">
      <c r="P1525" s="19"/>
      <c r="Q1525" s="20"/>
      <c r="R1525" s="25"/>
      <c r="S1525" s="20"/>
      <c r="X1525" s="19"/>
      <c r="Y1525" s="20"/>
    </row>
    <row r="1526" spans="16:25">
      <c r="P1526" s="19"/>
      <c r="Q1526" s="20"/>
      <c r="R1526" s="25"/>
      <c r="S1526" s="20"/>
      <c r="X1526" s="19"/>
      <c r="Y1526" s="20"/>
    </row>
    <row r="1527" spans="16:25">
      <c r="P1527" s="19"/>
      <c r="Q1527" s="20"/>
      <c r="R1527" s="25"/>
      <c r="S1527" s="20"/>
      <c r="X1527" s="19"/>
      <c r="Y1527" s="20"/>
    </row>
    <row r="1528" spans="16:25">
      <c r="P1528" s="19"/>
      <c r="Q1528" s="20"/>
      <c r="R1528" s="25"/>
      <c r="S1528" s="20"/>
      <c r="X1528" s="19"/>
      <c r="Y1528" s="20"/>
    </row>
    <row r="1529" spans="16:25">
      <c r="P1529" s="19"/>
      <c r="Q1529" s="20"/>
      <c r="R1529" s="25"/>
      <c r="S1529" s="20"/>
      <c r="X1529" s="19"/>
      <c r="Y1529" s="20"/>
    </row>
    <row r="1530" spans="16:25">
      <c r="P1530" s="19"/>
      <c r="Q1530" s="20"/>
      <c r="R1530" s="25"/>
      <c r="S1530" s="20"/>
      <c r="X1530" s="19"/>
      <c r="Y1530" s="20"/>
    </row>
    <row r="1531" spans="16:25">
      <c r="P1531" s="19"/>
      <c r="Q1531" s="20"/>
      <c r="R1531" s="25"/>
      <c r="S1531" s="20"/>
      <c r="X1531" s="19"/>
      <c r="Y1531" s="20"/>
    </row>
    <row r="1532" spans="16:25">
      <c r="P1532" s="19"/>
      <c r="Q1532" s="20"/>
      <c r="R1532" s="25"/>
      <c r="S1532" s="20"/>
      <c r="X1532" s="19"/>
      <c r="Y1532" s="20"/>
    </row>
    <row r="1533" spans="16:25">
      <c r="P1533" s="19"/>
      <c r="Q1533" s="20"/>
      <c r="R1533" s="25"/>
      <c r="S1533" s="20"/>
      <c r="X1533" s="19"/>
      <c r="Y1533" s="20"/>
    </row>
    <row r="1534" spans="16:25">
      <c r="P1534" s="19"/>
      <c r="Q1534" s="20"/>
      <c r="R1534" s="25"/>
      <c r="S1534" s="20"/>
      <c r="X1534" s="19"/>
      <c r="Y1534" s="20"/>
    </row>
    <row r="1535" spans="16:25">
      <c r="P1535" s="19"/>
      <c r="Q1535" s="20"/>
      <c r="R1535" s="25"/>
      <c r="S1535" s="20"/>
      <c r="X1535" s="19"/>
      <c r="Y1535" s="20"/>
    </row>
    <row r="1536" spans="16:25">
      <c r="P1536" s="19"/>
      <c r="Q1536" s="20"/>
      <c r="R1536" s="25"/>
      <c r="S1536" s="20"/>
      <c r="X1536" s="19"/>
      <c r="Y1536" s="20"/>
    </row>
    <row r="1537" spans="16:25">
      <c r="P1537" s="19"/>
      <c r="Q1537" s="20"/>
      <c r="R1537" s="25"/>
      <c r="S1537" s="20"/>
      <c r="X1537" s="19"/>
      <c r="Y1537" s="20"/>
    </row>
    <row r="1538" spans="16:25">
      <c r="P1538" s="19"/>
      <c r="Q1538" s="20"/>
      <c r="R1538" s="25"/>
      <c r="S1538" s="20"/>
      <c r="X1538" s="19"/>
      <c r="Y1538" s="20"/>
    </row>
    <row r="1539" spans="16:25">
      <c r="P1539" s="19"/>
      <c r="Q1539" s="20"/>
      <c r="R1539" s="25"/>
      <c r="S1539" s="20"/>
      <c r="X1539" s="19"/>
      <c r="Y1539" s="20"/>
    </row>
    <row r="1540" spans="16:25">
      <c r="P1540" s="19"/>
      <c r="Q1540" s="20"/>
      <c r="R1540" s="25"/>
      <c r="S1540" s="20"/>
      <c r="X1540" s="19"/>
      <c r="Y1540" s="20"/>
    </row>
    <row r="1541" spans="16:25">
      <c r="P1541" s="19"/>
      <c r="Q1541" s="20"/>
      <c r="R1541" s="25"/>
      <c r="S1541" s="20"/>
      <c r="X1541" s="19"/>
      <c r="Y1541" s="20"/>
    </row>
    <row r="1542" spans="16:25">
      <c r="P1542" s="19"/>
      <c r="Q1542" s="20"/>
      <c r="R1542" s="25"/>
      <c r="S1542" s="20"/>
      <c r="X1542" s="19"/>
      <c r="Y1542" s="20"/>
    </row>
    <row r="1543" spans="16:25">
      <c r="P1543" s="19"/>
      <c r="Q1543" s="20"/>
      <c r="R1543" s="25"/>
      <c r="S1543" s="20"/>
      <c r="X1543" s="19"/>
      <c r="Y1543" s="20"/>
    </row>
    <row r="1544" spans="16:25">
      <c r="P1544" s="19"/>
      <c r="Q1544" s="20"/>
      <c r="R1544" s="25"/>
      <c r="S1544" s="20"/>
      <c r="X1544" s="19"/>
      <c r="Y1544" s="20"/>
    </row>
    <row r="1545" spans="16:25">
      <c r="P1545" s="19"/>
      <c r="Q1545" s="20"/>
      <c r="R1545" s="25"/>
      <c r="S1545" s="20"/>
      <c r="X1545" s="19"/>
      <c r="Y1545" s="20"/>
    </row>
    <row r="1546" spans="16:25">
      <c r="P1546" s="19"/>
      <c r="Q1546" s="20"/>
      <c r="R1546" s="25"/>
      <c r="S1546" s="20"/>
      <c r="X1546" s="19"/>
      <c r="Y1546" s="20"/>
    </row>
    <row r="1547" spans="16:25">
      <c r="P1547" s="19"/>
      <c r="Q1547" s="20"/>
      <c r="R1547" s="25"/>
      <c r="S1547" s="20"/>
      <c r="X1547" s="19"/>
      <c r="Y1547" s="20"/>
    </row>
    <row r="1548" spans="16:25">
      <c r="P1548" s="19"/>
      <c r="Q1548" s="20"/>
      <c r="R1548" s="25"/>
      <c r="S1548" s="20"/>
      <c r="X1548" s="19"/>
      <c r="Y1548" s="20"/>
    </row>
    <row r="1549" spans="16:25">
      <c r="P1549" s="19"/>
      <c r="Q1549" s="20"/>
      <c r="R1549" s="25"/>
      <c r="S1549" s="20"/>
      <c r="X1549" s="19"/>
      <c r="Y1549" s="20"/>
    </row>
    <row r="1550" spans="16:25">
      <c r="P1550" s="19"/>
      <c r="Q1550" s="20"/>
      <c r="R1550" s="25"/>
      <c r="S1550" s="20"/>
      <c r="X1550" s="19"/>
      <c r="Y1550" s="20"/>
    </row>
    <row r="1551" spans="16:25">
      <c r="P1551" s="19"/>
      <c r="Q1551" s="20"/>
      <c r="R1551" s="25"/>
      <c r="S1551" s="20"/>
      <c r="X1551" s="19"/>
      <c r="Y1551" s="20"/>
    </row>
    <row r="1552" spans="16:25">
      <c r="P1552" s="19"/>
      <c r="Q1552" s="20"/>
      <c r="R1552" s="25"/>
      <c r="S1552" s="20"/>
      <c r="X1552" s="19"/>
      <c r="Y1552" s="20"/>
    </row>
    <row r="1553" spans="16:25">
      <c r="P1553" s="19"/>
      <c r="Q1553" s="20"/>
      <c r="R1553" s="25"/>
      <c r="S1553" s="20"/>
      <c r="X1553" s="19"/>
      <c r="Y1553" s="20"/>
    </row>
    <row r="1554" spans="16:25">
      <c r="P1554" s="19"/>
      <c r="Q1554" s="20"/>
      <c r="R1554" s="25"/>
      <c r="S1554" s="20"/>
      <c r="X1554" s="19"/>
      <c r="Y1554" s="20"/>
    </row>
    <row r="1555" spans="16:25">
      <c r="P1555" s="19"/>
      <c r="Q1555" s="20"/>
      <c r="R1555" s="25"/>
      <c r="S1555" s="20"/>
      <c r="X1555" s="19"/>
      <c r="Y1555" s="20"/>
    </row>
    <row r="1556" spans="16:25">
      <c r="P1556" s="19"/>
      <c r="Q1556" s="20"/>
      <c r="R1556" s="25"/>
      <c r="S1556" s="20"/>
      <c r="X1556" s="19"/>
      <c r="Y1556" s="20"/>
    </row>
    <row r="1557" spans="16:25">
      <c r="P1557" s="19"/>
      <c r="Q1557" s="20"/>
      <c r="R1557" s="25"/>
      <c r="S1557" s="20"/>
      <c r="X1557" s="19"/>
      <c r="Y1557" s="20"/>
    </row>
    <row r="1558" spans="16:25">
      <c r="P1558" s="19"/>
      <c r="Q1558" s="20"/>
      <c r="R1558" s="25"/>
      <c r="S1558" s="20"/>
      <c r="X1558" s="19"/>
      <c r="Y1558" s="20"/>
    </row>
    <row r="1559" spans="16:25">
      <c r="P1559" s="19"/>
      <c r="Q1559" s="20"/>
      <c r="R1559" s="25"/>
      <c r="S1559" s="20"/>
      <c r="X1559" s="19"/>
      <c r="Y1559" s="20"/>
    </row>
    <row r="1560" spans="16:25">
      <c r="P1560" s="19"/>
      <c r="Q1560" s="20"/>
      <c r="R1560" s="25"/>
      <c r="S1560" s="20"/>
      <c r="X1560" s="19"/>
      <c r="Y1560" s="20"/>
    </row>
    <row r="1561" spans="16:25">
      <c r="P1561" s="19"/>
      <c r="Q1561" s="20"/>
      <c r="R1561" s="25"/>
      <c r="S1561" s="20"/>
      <c r="X1561" s="19"/>
      <c r="Y1561" s="20"/>
    </row>
    <row r="1562" spans="16:25">
      <c r="P1562" s="19"/>
      <c r="Q1562" s="20"/>
      <c r="R1562" s="25"/>
      <c r="S1562" s="20"/>
      <c r="X1562" s="19"/>
      <c r="Y1562" s="20"/>
    </row>
    <row r="1563" spans="16:25">
      <c r="P1563" s="19"/>
      <c r="Q1563" s="20"/>
      <c r="R1563" s="25"/>
      <c r="S1563" s="20"/>
      <c r="X1563" s="19"/>
      <c r="Y1563" s="20"/>
    </row>
    <row r="1564" spans="16:25">
      <c r="P1564" s="19"/>
      <c r="Q1564" s="20"/>
      <c r="R1564" s="25"/>
      <c r="S1564" s="20"/>
      <c r="X1564" s="19"/>
      <c r="Y1564" s="20"/>
    </row>
    <row r="1565" spans="16:25">
      <c r="P1565" s="19"/>
      <c r="Q1565" s="20"/>
      <c r="R1565" s="25"/>
      <c r="S1565" s="20"/>
      <c r="X1565" s="19"/>
      <c r="Y1565" s="20"/>
    </row>
    <row r="1566" spans="16:25">
      <c r="P1566" s="19"/>
      <c r="Q1566" s="20"/>
      <c r="R1566" s="25"/>
      <c r="S1566" s="20"/>
      <c r="X1566" s="19"/>
      <c r="Y1566" s="20"/>
    </row>
    <row r="1567" spans="16:25">
      <c r="P1567" s="19"/>
      <c r="Q1567" s="20"/>
      <c r="R1567" s="25"/>
      <c r="S1567" s="20"/>
      <c r="X1567" s="19"/>
      <c r="Y1567" s="20"/>
    </row>
    <row r="1568" spans="16:25">
      <c r="P1568" s="19"/>
      <c r="Q1568" s="20"/>
      <c r="R1568" s="25"/>
      <c r="S1568" s="20"/>
      <c r="X1568" s="19"/>
      <c r="Y1568" s="20"/>
    </row>
    <row r="1569" spans="16:25">
      <c r="P1569" s="19"/>
      <c r="Q1569" s="20"/>
      <c r="R1569" s="25"/>
      <c r="S1569" s="20"/>
      <c r="X1569" s="19"/>
      <c r="Y1569" s="20"/>
    </row>
    <row r="1570" spans="16:25">
      <c r="P1570" s="19"/>
      <c r="Q1570" s="20"/>
      <c r="R1570" s="25"/>
      <c r="S1570" s="20"/>
      <c r="X1570" s="19"/>
      <c r="Y1570" s="20"/>
    </row>
    <row r="1571" spans="16:25">
      <c r="P1571" s="19"/>
      <c r="Q1571" s="20"/>
      <c r="R1571" s="25"/>
      <c r="S1571" s="20"/>
      <c r="X1571" s="19"/>
      <c r="Y1571" s="20"/>
    </row>
    <row r="1572" spans="16:25">
      <c r="P1572" s="19"/>
      <c r="Q1572" s="20"/>
      <c r="R1572" s="25"/>
      <c r="S1572" s="20"/>
      <c r="X1572" s="19"/>
      <c r="Y1572" s="20"/>
    </row>
    <row r="1573" spans="16:25">
      <c r="P1573" s="19"/>
      <c r="Q1573" s="20"/>
      <c r="R1573" s="25"/>
      <c r="S1573" s="20"/>
      <c r="X1573" s="19"/>
      <c r="Y1573" s="20"/>
    </row>
    <row r="1574" spans="16:25">
      <c r="P1574" s="19"/>
      <c r="Q1574" s="20"/>
      <c r="R1574" s="25"/>
      <c r="S1574" s="20"/>
      <c r="X1574" s="19"/>
      <c r="Y1574" s="20"/>
    </row>
    <row r="1575" spans="16:25">
      <c r="P1575" s="19"/>
      <c r="Q1575" s="20"/>
      <c r="R1575" s="25"/>
      <c r="S1575" s="20"/>
      <c r="X1575" s="19"/>
      <c r="Y1575" s="20"/>
    </row>
    <row r="1576" spans="16:25">
      <c r="P1576" s="19"/>
      <c r="Q1576" s="20"/>
      <c r="R1576" s="25"/>
      <c r="S1576" s="20"/>
      <c r="X1576" s="19"/>
      <c r="Y1576" s="20"/>
    </row>
    <row r="1577" spans="16:25">
      <c r="P1577" s="19"/>
      <c r="Q1577" s="20"/>
      <c r="R1577" s="25"/>
      <c r="S1577" s="20"/>
      <c r="X1577" s="19"/>
      <c r="Y1577" s="20"/>
    </row>
    <row r="1578" spans="16:25">
      <c r="P1578" s="19"/>
      <c r="Q1578" s="20"/>
      <c r="R1578" s="25"/>
      <c r="S1578" s="20"/>
      <c r="X1578" s="19"/>
      <c r="Y1578" s="20"/>
    </row>
    <row r="1579" spans="16:25">
      <c r="P1579" s="19"/>
      <c r="Q1579" s="20"/>
      <c r="R1579" s="25"/>
      <c r="S1579" s="20"/>
      <c r="X1579" s="19"/>
      <c r="Y1579" s="20"/>
    </row>
    <row r="1580" spans="16:25">
      <c r="P1580" s="19"/>
      <c r="Q1580" s="20"/>
      <c r="R1580" s="25"/>
      <c r="S1580" s="20"/>
      <c r="X1580" s="19"/>
      <c r="Y1580" s="20"/>
    </row>
    <row r="1581" spans="16:25">
      <c r="P1581" s="19"/>
      <c r="Q1581" s="20"/>
      <c r="R1581" s="25"/>
      <c r="S1581" s="20"/>
      <c r="X1581" s="19"/>
      <c r="Y1581" s="20"/>
    </row>
    <row r="1582" spans="16:25">
      <c r="P1582" s="19"/>
      <c r="Q1582" s="20"/>
      <c r="R1582" s="25"/>
      <c r="S1582" s="20"/>
      <c r="X1582" s="19"/>
      <c r="Y1582" s="20"/>
    </row>
    <row r="1583" spans="16:25">
      <c r="P1583" s="19"/>
      <c r="Q1583" s="20"/>
      <c r="R1583" s="25"/>
      <c r="S1583" s="20"/>
      <c r="X1583" s="19"/>
      <c r="Y1583" s="20"/>
    </row>
    <row r="1584" spans="16:25">
      <c r="P1584" s="19"/>
      <c r="Q1584" s="20"/>
      <c r="R1584" s="25"/>
      <c r="S1584" s="20"/>
      <c r="X1584" s="19"/>
      <c r="Y1584" s="20"/>
    </row>
    <row r="1585" spans="16:25">
      <c r="P1585" s="19"/>
      <c r="Q1585" s="20"/>
      <c r="R1585" s="25"/>
      <c r="S1585" s="20"/>
      <c r="X1585" s="19"/>
      <c r="Y1585" s="20"/>
    </row>
    <row r="1586" spans="16:25">
      <c r="P1586" s="19"/>
      <c r="Q1586" s="20"/>
      <c r="R1586" s="25"/>
      <c r="S1586" s="20"/>
      <c r="X1586" s="19"/>
      <c r="Y1586" s="20"/>
    </row>
    <row r="1587" spans="16:25">
      <c r="P1587" s="19"/>
      <c r="Q1587" s="20"/>
      <c r="R1587" s="25"/>
      <c r="S1587" s="20"/>
      <c r="X1587" s="19"/>
      <c r="Y1587" s="20"/>
    </row>
    <row r="1588" spans="16:25">
      <c r="P1588" s="19"/>
      <c r="Q1588" s="20"/>
      <c r="R1588" s="25"/>
      <c r="S1588" s="20"/>
      <c r="X1588" s="19"/>
      <c r="Y1588" s="20"/>
    </row>
    <row r="1589" spans="16:25">
      <c r="P1589" s="19"/>
      <c r="Q1589" s="20"/>
      <c r="R1589" s="25"/>
      <c r="S1589" s="20"/>
      <c r="X1589" s="19"/>
      <c r="Y1589" s="20"/>
    </row>
    <row r="1590" spans="16:25">
      <c r="P1590" s="19"/>
      <c r="Q1590" s="20"/>
      <c r="R1590" s="25"/>
      <c r="S1590" s="20"/>
      <c r="X1590" s="19"/>
      <c r="Y1590" s="20"/>
    </row>
    <row r="1591" spans="16:25">
      <c r="P1591" s="19"/>
      <c r="Q1591" s="20"/>
      <c r="R1591" s="25"/>
      <c r="S1591" s="20"/>
      <c r="X1591" s="19"/>
      <c r="Y1591" s="20"/>
    </row>
    <row r="1592" spans="16:25">
      <c r="P1592" s="19"/>
      <c r="Q1592" s="20"/>
      <c r="R1592" s="25"/>
      <c r="S1592" s="20"/>
      <c r="X1592" s="19"/>
      <c r="Y1592" s="20"/>
    </row>
    <row r="1593" spans="16:25">
      <c r="P1593" s="19"/>
      <c r="Q1593" s="20"/>
      <c r="R1593" s="25"/>
      <c r="S1593" s="20"/>
      <c r="X1593" s="19"/>
      <c r="Y1593" s="20"/>
    </row>
    <row r="1594" spans="16:25">
      <c r="P1594" s="19"/>
      <c r="Q1594" s="20"/>
      <c r="R1594" s="25"/>
      <c r="S1594" s="20"/>
      <c r="X1594" s="19"/>
      <c r="Y1594" s="20"/>
    </row>
    <row r="1595" spans="16:25">
      <c r="P1595" s="19"/>
      <c r="Q1595" s="20"/>
      <c r="R1595" s="25"/>
      <c r="S1595" s="20"/>
      <c r="X1595" s="19"/>
      <c r="Y1595" s="20"/>
    </row>
    <row r="1596" spans="16:25">
      <c r="P1596" s="19"/>
      <c r="Q1596" s="20"/>
      <c r="R1596" s="25"/>
      <c r="S1596" s="20"/>
      <c r="X1596" s="19"/>
      <c r="Y1596" s="20"/>
    </row>
    <row r="1597" spans="16:25">
      <c r="P1597" s="19"/>
      <c r="Q1597" s="20"/>
      <c r="R1597" s="25"/>
      <c r="S1597" s="20"/>
      <c r="X1597" s="19"/>
      <c r="Y1597" s="20"/>
    </row>
    <row r="1598" spans="16:25">
      <c r="P1598" s="19"/>
      <c r="Q1598" s="20"/>
      <c r="R1598" s="25"/>
      <c r="S1598" s="20"/>
      <c r="X1598" s="19"/>
      <c r="Y1598" s="20"/>
    </row>
    <row r="1599" spans="16:25">
      <c r="P1599" s="19"/>
      <c r="Q1599" s="20"/>
      <c r="R1599" s="25"/>
      <c r="S1599" s="20"/>
      <c r="X1599" s="19"/>
      <c r="Y1599" s="20"/>
    </row>
    <row r="1600" spans="16:25">
      <c r="P1600" s="19"/>
      <c r="Q1600" s="20"/>
      <c r="R1600" s="25"/>
      <c r="S1600" s="20"/>
      <c r="X1600" s="19"/>
      <c r="Y1600" s="20"/>
    </row>
    <row r="1601" spans="16:25">
      <c r="P1601" s="19"/>
      <c r="Q1601" s="20"/>
      <c r="R1601" s="25"/>
      <c r="S1601" s="20"/>
      <c r="X1601" s="19"/>
      <c r="Y1601" s="20"/>
    </row>
    <row r="1602" spans="16:25">
      <c r="P1602" s="19"/>
      <c r="Q1602" s="20"/>
      <c r="R1602" s="25"/>
      <c r="S1602" s="20"/>
      <c r="X1602" s="19"/>
      <c r="Y1602" s="20"/>
    </row>
    <row r="1603" spans="16:25">
      <c r="P1603" s="19"/>
      <c r="Q1603" s="20"/>
      <c r="R1603" s="25"/>
      <c r="S1603" s="20"/>
      <c r="X1603" s="19"/>
      <c r="Y1603" s="20"/>
    </row>
    <row r="1604" spans="16:25">
      <c r="P1604" s="19"/>
      <c r="Q1604" s="20"/>
      <c r="R1604" s="25"/>
      <c r="S1604" s="20"/>
      <c r="X1604" s="19"/>
      <c r="Y1604" s="20"/>
    </row>
    <row r="1605" spans="16:25">
      <c r="P1605" s="19"/>
      <c r="Q1605" s="20"/>
      <c r="R1605" s="25"/>
      <c r="S1605" s="20"/>
      <c r="X1605" s="19"/>
      <c r="Y1605" s="20"/>
    </row>
    <row r="1606" spans="16:25">
      <c r="P1606" s="19"/>
      <c r="Q1606" s="20"/>
      <c r="R1606" s="25"/>
      <c r="S1606" s="20"/>
      <c r="X1606" s="19"/>
      <c r="Y1606" s="20"/>
    </row>
    <row r="1607" spans="16:25">
      <c r="P1607" s="19"/>
      <c r="Q1607" s="20"/>
      <c r="R1607" s="25"/>
      <c r="S1607" s="20"/>
      <c r="X1607" s="19"/>
      <c r="Y1607" s="20"/>
    </row>
    <row r="1608" spans="16:25">
      <c r="P1608" s="19"/>
      <c r="Q1608" s="20"/>
      <c r="R1608" s="25"/>
      <c r="S1608" s="20"/>
      <c r="X1608" s="19"/>
      <c r="Y1608" s="20"/>
    </row>
    <row r="1609" spans="16:25">
      <c r="P1609" s="19"/>
      <c r="Q1609" s="20"/>
      <c r="R1609" s="25"/>
      <c r="S1609" s="20"/>
      <c r="X1609" s="19"/>
      <c r="Y1609" s="20"/>
    </row>
    <row r="1610" spans="16:25">
      <c r="P1610" s="19"/>
      <c r="Q1610" s="20"/>
      <c r="R1610" s="25"/>
      <c r="S1610" s="20"/>
      <c r="X1610" s="19"/>
      <c r="Y1610" s="20"/>
    </row>
    <row r="1611" spans="16:25">
      <c r="P1611" s="19"/>
      <c r="Q1611" s="20"/>
      <c r="R1611" s="25"/>
      <c r="S1611" s="20"/>
      <c r="X1611" s="19"/>
      <c r="Y1611" s="20"/>
    </row>
    <row r="1612" spans="16:25">
      <c r="P1612" s="19"/>
      <c r="Q1612" s="20"/>
      <c r="R1612" s="25"/>
      <c r="S1612" s="20"/>
      <c r="X1612" s="19"/>
      <c r="Y1612" s="20"/>
    </row>
    <row r="1613" spans="16:25">
      <c r="P1613" s="19"/>
      <c r="Q1613" s="20"/>
      <c r="R1613" s="25"/>
      <c r="S1613" s="20"/>
      <c r="X1613" s="19"/>
      <c r="Y1613" s="20"/>
    </row>
    <row r="1614" spans="16:25">
      <c r="P1614" s="19"/>
      <c r="Q1614" s="20"/>
      <c r="R1614" s="25"/>
      <c r="S1614" s="20"/>
      <c r="X1614" s="19"/>
      <c r="Y1614" s="20"/>
    </row>
    <row r="1615" spans="16:25">
      <c r="P1615" s="19"/>
      <c r="Q1615" s="20"/>
      <c r="R1615" s="25"/>
      <c r="S1615" s="20"/>
      <c r="X1615" s="19"/>
      <c r="Y1615" s="20"/>
    </row>
    <row r="1616" spans="16:25">
      <c r="P1616" s="19"/>
      <c r="Q1616" s="20"/>
      <c r="R1616" s="25"/>
      <c r="S1616" s="20"/>
      <c r="X1616" s="19"/>
      <c r="Y1616" s="20"/>
    </row>
    <row r="1617" spans="16:25">
      <c r="P1617" s="19"/>
      <c r="Q1617" s="20"/>
      <c r="R1617" s="25"/>
      <c r="S1617" s="20"/>
      <c r="X1617" s="19"/>
      <c r="Y1617" s="20"/>
    </row>
    <row r="1618" spans="16:25">
      <c r="P1618" s="19"/>
      <c r="Q1618" s="20"/>
      <c r="R1618" s="25"/>
      <c r="S1618" s="20"/>
      <c r="X1618" s="19"/>
      <c r="Y1618" s="20"/>
    </row>
    <row r="1619" spans="16:25">
      <c r="P1619" s="19"/>
      <c r="Q1619" s="20"/>
      <c r="R1619" s="25"/>
      <c r="S1619" s="20"/>
      <c r="X1619" s="19"/>
      <c r="Y1619" s="20"/>
    </row>
    <row r="1620" spans="16:25">
      <c r="P1620" s="19"/>
      <c r="Q1620" s="20"/>
      <c r="R1620" s="25"/>
      <c r="S1620" s="20"/>
      <c r="X1620" s="19"/>
      <c r="Y1620" s="20"/>
    </row>
    <row r="1621" spans="16:25">
      <c r="P1621" s="19"/>
      <c r="Q1621" s="20"/>
      <c r="R1621" s="25"/>
      <c r="S1621" s="20"/>
      <c r="X1621" s="19"/>
      <c r="Y1621" s="20"/>
    </row>
    <row r="1622" spans="16:25">
      <c r="P1622" s="19"/>
      <c r="Q1622" s="20"/>
      <c r="R1622" s="25"/>
      <c r="S1622" s="20"/>
      <c r="X1622" s="19"/>
      <c r="Y1622" s="20"/>
    </row>
    <row r="1623" spans="16:25">
      <c r="P1623" s="19"/>
      <c r="Q1623" s="20"/>
      <c r="R1623" s="25"/>
      <c r="S1623" s="20"/>
      <c r="X1623" s="19"/>
      <c r="Y1623" s="20"/>
    </row>
    <row r="1624" spans="16:25">
      <c r="P1624" s="19"/>
      <c r="Q1624" s="20"/>
      <c r="R1624" s="25"/>
      <c r="S1624" s="20"/>
      <c r="X1624" s="19"/>
      <c r="Y1624" s="20"/>
    </row>
    <row r="1625" spans="16:25">
      <c r="P1625" s="19"/>
      <c r="Q1625" s="20"/>
      <c r="R1625" s="25"/>
      <c r="S1625" s="20"/>
      <c r="X1625" s="19"/>
      <c r="Y1625" s="20"/>
    </row>
    <row r="1626" spans="16:25">
      <c r="P1626" s="19"/>
      <c r="Q1626" s="20"/>
      <c r="R1626" s="25"/>
      <c r="S1626" s="20"/>
      <c r="X1626" s="19"/>
      <c r="Y1626" s="20"/>
    </row>
    <row r="1627" spans="16:25">
      <c r="P1627" s="19"/>
      <c r="Q1627" s="20"/>
      <c r="R1627" s="25"/>
      <c r="S1627" s="20"/>
      <c r="X1627" s="19"/>
      <c r="Y1627" s="20"/>
    </row>
    <row r="1628" spans="16:25">
      <c r="P1628" s="19"/>
      <c r="Q1628" s="20"/>
      <c r="R1628" s="25"/>
      <c r="S1628" s="20"/>
      <c r="X1628" s="19"/>
      <c r="Y1628" s="20"/>
    </row>
    <row r="1629" spans="16:25">
      <c r="P1629" s="19"/>
      <c r="Q1629" s="20"/>
      <c r="R1629" s="25"/>
      <c r="S1629" s="20"/>
      <c r="X1629" s="19"/>
      <c r="Y1629" s="20"/>
    </row>
    <row r="1630" spans="16:25">
      <c r="P1630" s="19"/>
      <c r="Q1630" s="20"/>
      <c r="R1630" s="25"/>
      <c r="S1630" s="20"/>
      <c r="X1630" s="19"/>
      <c r="Y1630" s="20"/>
    </row>
    <row r="1631" spans="16:25">
      <c r="P1631" s="19"/>
      <c r="Q1631" s="20"/>
      <c r="R1631" s="25"/>
      <c r="S1631" s="20"/>
      <c r="X1631" s="19"/>
      <c r="Y1631" s="20"/>
    </row>
    <row r="1632" spans="16:25">
      <c r="P1632" s="19"/>
      <c r="Q1632" s="20"/>
      <c r="R1632" s="25"/>
      <c r="S1632" s="20"/>
      <c r="X1632" s="19"/>
      <c r="Y1632" s="20"/>
    </row>
    <row r="1633" spans="16:25">
      <c r="P1633" s="19"/>
      <c r="Q1633" s="20"/>
      <c r="R1633" s="25"/>
      <c r="S1633" s="20"/>
      <c r="X1633" s="19"/>
      <c r="Y1633" s="20"/>
    </row>
    <row r="1634" spans="16:25">
      <c r="P1634" s="19"/>
      <c r="Q1634" s="20"/>
      <c r="R1634" s="25"/>
      <c r="S1634" s="20"/>
      <c r="X1634" s="19"/>
      <c r="Y1634" s="20"/>
    </row>
    <row r="1635" spans="16:25">
      <c r="P1635" s="19"/>
      <c r="Q1635" s="20"/>
      <c r="R1635" s="25"/>
      <c r="S1635" s="20"/>
      <c r="X1635" s="19"/>
      <c r="Y1635" s="20"/>
    </row>
    <row r="1636" spans="16:25">
      <c r="P1636" s="19"/>
      <c r="Q1636" s="20"/>
      <c r="R1636" s="25"/>
      <c r="S1636" s="20"/>
      <c r="X1636" s="19"/>
      <c r="Y1636" s="20"/>
    </row>
    <row r="1637" spans="16:25">
      <c r="P1637" s="19"/>
      <c r="Q1637" s="20"/>
      <c r="R1637" s="25"/>
      <c r="S1637" s="20"/>
      <c r="X1637" s="19"/>
      <c r="Y1637" s="20"/>
    </row>
    <row r="1638" spans="16:25">
      <c r="P1638" s="19"/>
      <c r="Q1638" s="20"/>
      <c r="R1638" s="25"/>
      <c r="S1638" s="20"/>
      <c r="X1638" s="19"/>
      <c r="Y1638" s="20"/>
    </row>
    <row r="1639" spans="16:25">
      <c r="P1639" s="19"/>
      <c r="Q1639" s="20"/>
      <c r="R1639" s="25"/>
      <c r="S1639" s="20"/>
      <c r="X1639" s="19"/>
      <c r="Y1639" s="20"/>
    </row>
    <row r="1640" spans="16:25">
      <c r="P1640" s="19"/>
      <c r="Q1640" s="20"/>
      <c r="R1640" s="25"/>
      <c r="S1640" s="20"/>
      <c r="X1640" s="19"/>
      <c r="Y1640" s="20"/>
    </row>
    <row r="1641" spans="16:25">
      <c r="P1641" s="19"/>
      <c r="Q1641" s="20"/>
      <c r="R1641" s="25"/>
      <c r="S1641" s="20"/>
      <c r="X1641" s="19"/>
      <c r="Y1641" s="20"/>
    </row>
    <row r="1642" spans="16:25">
      <c r="P1642" s="19"/>
      <c r="Q1642" s="20"/>
      <c r="R1642" s="25"/>
      <c r="S1642" s="20"/>
      <c r="X1642" s="19"/>
      <c r="Y1642" s="20"/>
    </row>
    <row r="1643" spans="16:25">
      <c r="P1643" s="19"/>
      <c r="Q1643" s="20"/>
      <c r="R1643" s="25"/>
      <c r="S1643" s="20"/>
      <c r="X1643" s="19"/>
      <c r="Y1643" s="20"/>
    </row>
    <row r="1644" spans="16:25">
      <c r="P1644" s="19"/>
      <c r="Q1644" s="20"/>
      <c r="R1644" s="25"/>
      <c r="S1644" s="20"/>
      <c r="X1644" s="19"/>
      <c r="Y1644" s="20"/>
    </row>
    <row r="1645" spans="16:25">
      <c r="P1645" s="19"/>
      <c r="Q1645" s="20"/>
      <c r="R1645" s="25"/>
      <c r="S1645" s="20"/>
      <c r="X1645" s="19"/>
      <c r="Y1645" s="20"/>
    </row>
    <row r="1646" spans="16:25">
      <c r="P1646" s="19"/>
      <c r="Q1646" s="20"/>
      <c r="R1646" s="25"/>
      <c r="S1646" s="20"/>
      <c r="X1646" s="19"/>
      <c r="Y1646" s="20"/>
    </row>
    <row r="1647" spans="16:25">
      <c r="P1647" s="19"/>
      <c r="Q1647" s="20"/>
      <c r="R1647" s="25"/>
      <c r="S1647" s="20"/>
      <c r="X1647" s="19"/>
      <c r="Y1647" s="20"/>
    </row>
    <row r="1648" spans="16:25">
      <c r="P1648" s="19"/>
      <c r="Q1648" s="20"/>
      <c r="R1648" s="25"/>
      <c r="S1648" s="20"/>
      <c r="X1648" s="19"/>
      <c r="Y1648" s="20"/>
    </row>
    <row r="1649" spans="16:25">
      <c r="P1649" s="19"/>
      <c r="Q1649" s="20"/>
      <c r="R1649" s="25"/>
      <c r="S1649" s="20"/>
      <c r="X1649" s="19"/>
      <c r="Y1649" s="20"/>
    </row>
    <row r="1650" spans="16:25">
      <c r="P1650" s="19"/>
      <c r="Q1650" s="20"/>
      <c r="R1650" s="25"/>
      <c r="S1650" s="20"/>
      <c r="X1650" s="19"/>
      <c r="Y1650" s="20"/>
    </row>
    <row r="1651" spans="16:25">
      <c r="P1651" s="19"/>
      <c r="Q1651" s="20"/>
      <c r="R1651" s="25"/>
      <c r="S1651" s="20"/>
      <c r="X1651" s="19"/>
      <c r="Y1651" s="20"/>
    </row>
    <row r="1652" spans="16:25">
      <c r="P1652" s="19"/>
      <c r="Q1652" s="20"/>
      <c r="R1652" s="25"/>
      <c r="S1652" s="20"/>
      <c r="X1652" s="19"/>
      <c r="Y1652" s="20"/>
    </row>
    <row r="1653" spans="16:25">
      <c r="P1653" s="19"/>
      <c r="Q1653" s="20"/>
      <c r="R1653" s="25"/>
      <c r="S1653" s="20"/>
      <c r="X1653" s="19"/>
      <c r="Y1653" s="20"/>
    </row>
    <row r="1654" spans="16:25">
      <c r="P1654" s="19"/>
      <c r="Q1654" s="20"/>
      <c r="R1654" s="25"/>
      <c r="S1654" s="20"/>
      <c r="X1654" s="19"/>
      <c r="Y1654" s="20"/>
    </row>
    <row r="1655" spans="16:25">
      <c r="P1655" s="19"/>
      <c r="Q1655" s="20"/>
      <c r="R1655" s="25"/>
      <c r="S1655" s="20"/>
      <c r="X1655" s="19"/>
      <c r="Y1655" s="20"/>
    </row>
    <row r="1656" spans="16:25">
      <c r="P1656" s="19"/>
      <c r="Q1656" s="20"/>
      <c r="R1656" s="25"/>
      <c r="S1656" s="20"/>
      <c r="X1656" s="19"/>
      <c r="Y1656" s="20"/>
    </row>
    <row r="1657" spans="16:25">
      <c r="P1657" s="19"/>
      <c r="Q1657" s="20"/>
      <c r="R1657" s="25"/>
      <c r="S1657" s="20"/>
      <c r="X1657" s="19"/>
      <c r="Y1657" s="20"/>
    </row>
    <row r="1658" spans="16:25">
      <c r="P1658" s="19"/>
      <c r="Q1658" s="20"/>
      <c r="R1658" s="25"/>
      <c r="S1658" s="20"/>
      <c r="X1658" s="19"/>
      <c r="Y1658" s="20"/>
    </row>
    <row r="1659" spans="16:25">
      <c r="P1659" s="19"/>
      <c r="Q1659" s="20"/>
      <c r="R1659" s="25"/>
      <c r="S1659" s="20"/>
      <c r="X1659" s="19"/>
      <c r="Y1659" s="20"/>
    </row>
    <row r="1660" spans="16:25">
      <c r="P1660" s="19"/>
      <c r="Q1660" s="20"/>
      <c r="R1660" s="25"/>
      <c r="S1660" s="20"/>
      <c r="X1660" s="19"/>
      <c r="Y1660" s="20"/>
    </row>
    <row r="1661" spans="16:25">
      <c r="P1661" s="19"/>
      <c r="Q1661" s="20"/>
      <c r="R1661" s="25"/>
      <c r="S1661" s="20"/>
      <c r="X1661" s="19"/>
      <c r="Y1661" s="20"/>
    </row>
    <row r="1662" spans="16:25">
      <c r="P1662" s="19"/>
      <c r="Q1662" s="20"/>
      <c r="R1662" s="25"/>
      <c r="S1662" s="20"/>
      <c r="X1662" s="19"/>
      <c r="Y1662" s="20"/>
    </row>
    <row r="1663" spans="16:25">
      <c r="P1663" s="19"/>
      <c r="Q1663" s="20"/>
      <c r="R1663" s="25"/>
      <c r="S1663" s="20"/>
      <c r="X1663" s="19"/>
      <c r="Y1663" s="20"/>
    </row>
    <row r="1664" spans="16:25">
      <c r="P1664" s="19"/>
      <c r="Q1664" s="20"/>
      <c r="R1664" s="25"/>
      <c r="S1664" s="20"/>
      <c r="X1664" s="19"/>
      <c r="Y1664" s="20"/>
    </row>
    <row r="1665" spans="16:25">
      <c r="P1665" s="19"/>
      <c r="Q1665" s="20"/>
      <c r="R1665" s="25"/>
      <c r="S1665" s="20"/>
      <c r="X1665" s="19"/>
      <c r="Y1665" s="20"/>
    </row>
    <row r="1666" spans="16:25">
      <c r="P1666" s="19"/>
      <c r="Q1666" s="20"/>
      <c r="R1666" s="25"/>
      <c r="S1666" s="20"/>
      <c r="X1666" s="19"/>
      <c r="Y1666" s="20"/>
    </row>
    <row r="1667" spans="16:25">
      <c r="P1667" s="19"/>
      <c r="Q1667" s="20"/>
      <c r="R1667" s="25"/>
      <c r="S1667" s="20"/>
      <c r="X1667" s="19"/>
      <c r="Y1667" s="20"/>
    </row>
    <row r="1668" spans="16:25">
      <c r="P1668" s="19"/>
      <c r="Q1668" s="20"/>
      <c r="R1668" s="25"/>
      <c r="S1668" s="20"/>
      <c r="X1668" s="19"/>
      <c r="Y1668" s="20"/>
    </row>
    <row r="1669" spans="16:25">
      <c r="P1669" s="19"/>
      <c r="Q1669" s="20"/>
      <c r="R1669" s="25"/>
      <c r="S1669" s="20"/>
      <c r="X1669" s="19"/>
      <c r="Y1669" s="20"/>
    </row>
    <row r="1670" spans="16:25">
      <c r="P1670" s="19"/>
      <c r="Q1670" s="20"/>
      <c r="R1670" s="25"/>
      <c r="S1670" s="20"/>
      <c r="X1670" s="19"/>
      <c r="Y1670" s="20"/>
    </row>
    <row r="1671" spans="16:25">
      <c r="P1671" s="19"/>
      <c r="Q1671" s="20"/>
      <c r="R1671" s="25"/>
      <c r="S1671" s="20"/>
      <c r="X1671" s="19"/>
      <c r="Y1671" s="20"/>
    </row>
    <row r="1672" spans="16:25">
      <c r="P1672" s="19"/>
      <c r="Q1672" s="20"/>
      <c r="R1672" s="25"/>
      <c r="S1672" s="20"/>
      <c r="X1672" s="19"/>
      <c r="Y1672" s="20"/>
    </row>
    <row r="1673" spans="16:25">
      <c r="P1673" s="19"/>
      <c r="Q1673" s="20"/>
      <c r="R1673" s="25"/>
      <c r="S1673" s="20"/>
      <c r="X1673" s="19"/>
      <c r="Y1673" s="20"/>
    </row>
    <row r="1674" spans="16:25">
      <c r="P1674" s="19"/>
      <c r="Q1674" s="20"/>
      <c r="R1674" s="25"/>
      <c r="S1674" s="20"/>
      <c r="X1674" s="19"/>
      <c r="Y1674" s="20"/>
    </row>
    <row r="1675" spans="16:25">
      <c r="P1675" s="19"/>
      <c r="Q1675" s="20"/>
      <c r="R1675" s="25"/>
      <c r="S1675" s="20"/>
      <c r="X1675" s="19"/>
      <c r="Y1675" s="20"/>
    </row>
    <row r="1676" spans="16:25">
      <c r="P1676" s="19"/>
      <c r="Q1676" s="20"/>
      <c r="R1676" s="25"/>
      <c r="S1676" s="20"/>
      <c r="X1676" s="19"/>
      <c r="Y1676" s="20"/>
    </row>
    <row r="1677" spans="16:25">
      <c r="P1677" s="19"/>
      <c r="Q1677" s="20"/>
      <c r="R1677" s="25"/>
      <c r="S1677" s="20"/>
      <c r="X1677" s="19"/>
      <c r="Y1677" s="20"/>
    </row>
    <row r="1678" spans="16:25">
      <c r="P1678" s="19"/>
      <c r="Q1678" s="20"/>
      <c r="R1678" s="25"/>
      <c r="S1678" s="20"/>
      <c r="X1678" s="19"/>
      <c r="Y1678" s="20"/>
    </row>
    <row r="1679" spans="16:25">
      <c r="P1679" s="19"/>
      <c r="Q1679" s="20"/>
      <c r="R1679" s="25"/>
      <c r="S1679" s="20"/>
      <c r="X1679" s="19"/>
      <c r="Y1679" s="20"/>
    </row>
    <row r="1680" spans="16:25">
      <c r="P1680" s="19"/>
      <c r="Q1680" s="20"/>
      <c r="R1680" s="25"/>
      <c r="S1680" s="20"/>
      <c r="X1680" s="19"/>
      <c r="Y1680" s="20"/>
    </row>
    <row r="1681" spans="16:25">
      <c r="P1681" s="19"/>
      <c r="Q1681" s="20"/>
      <c r="R1681" s="25"/>
      <c r="S1681" s="20"/>
      <c r="X1681" s="19"/>
      <c r="Y1681" s="20"/>
    </row>
    <row r="1682" spans="16:25">
      <c r="P1682" s="19"/>
      <c r="Q1682" s="20"/>
      <c r="R1682" s="25"/>
      <c r="S1682" s="20"/>
      <c r="X1682" s="19"/>
      <c r="Y1682" s="20"/>
    </row>
    <row r="1683" spans="16:25">
      <c r="P1683" s="19"/>
      <c r="Q1683" s="20"/>
      <c r="R1683" s="25"/>
      <c r="S1683" s="20"/>
      <c r="X1683" s="19"/>
      <c r="Y1683" s="20"/>
    </row>
    <row r="1684" spans="16:25">
      <c r="P1684" s="19"/>
      <c r="Q1684" s="20"/>
      <c r="R1684" s="25"/>
      <c r="S1684" s="20"/>
      <c r="X1684" s="19"/>
      <c r="Y1684" s="20"/>
    </row>
    <row r="1685" spans="16:25">
      <c r="P1685" s="19"/>
      <c r="Q1685" s="20"/>
      <c r="R1685" s="25"/>
      <c r="S1685" s="20"/>
      <c r="X1685" s="19"/>
      <c r="Y1685" s="20"/>
    </row>
    <row r="1686" spans="16:25">
      <c r="P1686" s="19"/>
      <c r="Q1686" s="20"/>
      <c r="R1686" s="25"/>
      <c r="S1686" s="20"/>
      <c r="X1686" s="19"/>
      <c r="Y1686" s="20"/>
    </row>
    <row r="1687" spans="16:25">
      <c r="P1687" s="19"/>
      <c r="Q1687" s="20"/>
      <c r="R1687" s="25"/>
      <c r="S1687" s="20"/>
      <c r="X1687" s="19"/>
      <c r="Y1687" s="20"/>
    </row>
    <row r="1688" spans="16:25">
      <c r="P1688" s="19"/>
      <c r="Q1688" s="20"/>
      <c r="R1688" s="25"/>
      <c r="S1688" s="20"/>
      <c r="X1688" s="19"/>
      <c r="Y1688" s="20"/>
    </row>
    <row r="1689" spans="16:25">
      <c r="P1689" s="19"/>
      <c r="Q1689" s="20"/>
      <c r="R1689" s="25"/>
      <c r="S1689" s="20"/>
      <c r="X1689" s="19"/>
      <c r="Y1689" s="20"/>
    </row>
    <row r="1690" spans="16:25">
      <c r="P1690" s="19"/>
      <c r="Q1690" s="20"/>
      <c r="R1690" s="25"/>
      <c r="S1690" s="20"/>
      <c r="X1690" s="19"/>
      <c r="Y1690" s="20"/>
    </row>
    <row r="1691" spans="16:25">
      <c r="P1691" s="19"/>
      <c r="Q1691" s="20"/>
      <c r="R1691" s="25"/>
      <c r="S1691" s="20"/>
      <c r="X1691" s="19"/>
      <c r="Y1691" s="20"/>
    </row>
    <row r="1692" spans="16:25">
      <c r="P1692" s="19"/>
      <c r="Q1692" s="20"/>
      <c r="R1692" s="25"/>
      <c r="S1692" s="20"/>
      <c r="X1692" s="19"/>
      <c r="Y1692" s="20"/>
    </row>
    <row r="1693" spans="16:25">
      <c r="P1693" s="19"/>
      <c r="Q1693" s="20"/>
      <c r="R1693" s="25"/>
      <c r="S1693" s="20"/>
      <c r="X1693" s="19"/>
      <c r="Y1693" s="20"/>
    </row>
    <row r="1694" spans="16:25">
      <c r="P1694" s="19"/>
      <c r="Q1694" s="20"/>
      <c r="R1694" s="25"/>
      <c r="S1694" s="20"/>
      <c r="X1694" s="19"/>
      <c r="Y1694" s="20"/>
    </row>
    <row r="1695" spans="16:25">
      <c r="P1695" s="19"/>
      <c r="Q1695" s="20"/>
      <c r="R1695" s="25"/>
      <c r="S1695" s="20"/>
      <c r="X1695" s="19"/>
      <c r="Y1695" s="20"/>
    </row>
    <row r="1696" spans="16:25">
      <c r="P1696" s="19"/>
      <c r="Q1696" s="20"/>
      <c r="R1696" s="25"/>
      <c r="S1696" s="20"/>
      <c r="X1696" s="19"/>
      <c r="Y1696" s="20"/>
    </row>
    <row r="1697" spans="16:25">
      <c r="P1697" s="19"/>
      <c r="Q1697" s="20"/>
      <c r="R1697" s="25"/>
      <c r="S1697" s="20"/>
      <c r="X1697" s="19"/>
      <c r="Y1697" s="20"/>
    </row>
    <row r="1698" spans="16:25">
      <c r="P1698" s="19"/>
      <c r="Q1698" s="20"/>
      <c r="R1698" s="25"/>
      <c r="S1698" s="20"/>
      <c r="X1698" s="19"/>
      <c r="Y1698" s="20"/>
    </row>
    <row r="1699" spans="16:25">
      <c r="P1699" s="19"/>
      <c r="Q1699" s="20"/>
      <c r="R1699" s="25"/>
      <c r="S1699" s="20"/>
      <c r="X1699" s="19"/>
      <c r="Y1699" s="20"/>
    </row>
    <row r="1700" spans="16:25">
      <c r="P1700" s="19"/>
      <c r="Q1700" s="20"/>
      <c r="R1700" s="25"/>
      <c r="S1700" s="20"/>
      <c r="X1700" s="19"/>
      <c r="Y1700" s="20"/>
    </row>
    <row r="1701" spans="16:25">
      <c r="P1701" s="19"/>
      <c r="Q1701" s="20"/>
      <c r="R1701" s="25"/>
      <c r="S1701" s="20"/>
      <c r="X1701" s="19"/>
      <c r="Y1701" s="20"/>
    </row>
    <row r="1702" spans="16:25">
      <c r="P1702" s="19"/>
      <c r="Q1702" s="20"/>
      <c r="R1702" s="25"/>
      <c r="S1702" s="20"/>
      <c r="X1702" s="19"/>
      <c r="Y1702" s="20"/>
    </row>
    <row r="1703" spans="16:25">
      <c r="P1703" s="19"/>
      <c r="Q1703" s="20"/>
      <c r="R1703" s="25"/>
      <c r="S1703" s="20"/>
      <c r="X1703" s="19"/>
      <c r="Y1703" s="20"/>
    </row>
    <row r="1704" spans="16:25">
      <c r="P1704" s="19"/>
      <c r="Q1704" s="20"/>
      <c r="R1704" s="25"/>
      <c r="S1704" s="20"/>
      <c r="X1704" s="19"/>
      <c r="Y1704" s="20"/>
    </row>
    <row r="1705" spans="16:25">
      <c r="P1705" s="19"/>
      <c r="Q1705" s="20"/>
      <c r="R1705" s="25"/>
      <c r="S1705" s="20"/>
      <c r="X1705" s="19"/>
      <c r="Y1705" s="20"/>
    </row>
    <row r="1706" spans="16:25">
      <c r="P1706" s="19"/>
      <c r="Q1706" s="20"/>
      <c r="R1706" s="25"/>
      <c r="S1706" s="20"/>
      <c r="X1706" s="19"/>
      <c r="Y1706" s="20"/>
    </row>
    <row r="1707" spans="16:25">
      <c r="P1707" s="19"/>
      <c r="Q1707" s="20"/>
      <c r="R1707" s="25"/>
      <c r="S1707" s="20"/>
      <c r="X1707" s="19"/>
      <c r="Y1707" s="20"/>
    </row>
    <row r="1708" spans="16:25">
      <c r="P1708" s="19"/>
      <c r="Q1708" s="20"/>
      <c r="R1708" s="25"/>
      <c r="S1708" s="20"/>
      <c r="X1708" s="19"/>
      <c r="Y1708" s="20"/>
    </row>
    <row r="1709" spans="16:25">
      <c r="P1709" s="19"/>
      <c r="Q1709" s="20"/>
      <c r="R1709" s="25"/>
      <c r="S1709" s="20"/>
      <c r="X1709" s="19"/>
      <c r="Y1709" s="20"/>
    </row>
    <row r="1710" spans="16:25">
      <c r="P1710" s="19"/>
      <c r="Q1710" s="20"/>
      <c r="R1710" s="25"/>
      <c r="S1710" s="20"/>
      <c r="X1710" s="19"/>
      <c r="Y1710" s="20"/>
    </row>
    <row r="1711" spans="16:25">
      <c r="P1711" s="19"/>
      <c r="Q1711" s="20"/>
      <c r="R1711" s="25"/>
      <c r="S1711" s="20"/>
      <c r="X1711" s="19"/>
      <c r="Y1711" s="20"/>
    </row>
    <row r="1712" spans="16:25">
      <c r="P1712" s="19"/>
      <c r="Q1712" s="20"/>
      <c r="R1712" s="25"/>
      <c r="S1712" s="20"/>
      <c r="X1712" s="19"/>
      <c r="Y1712" s="20"/>
    </row>
    <row r="1713" spans="16:25">
      <c r="P1713" s="19"/>
      <c r="Q1713" s="20"/>
      <c r="R1713" s="25"/>
      <c r="S1713" s="20"/>
      <c r="X1713" s="19"/>
      <c r="Y1713" s="20"/>
    </row>
    <row r="1714" spans="16:25">
      <c r="P1714" s="19"/>
      <c r="Q1714" s="20"/>
      <c r="R1714" s="25"/>
      <c r="S1714" s="20"/>
      <c r="X1714" s="19"/>
      <c r="Y1714" s="20"/>
    </row>
    <row r="1715" spans="16:25">
      <c r="P1715" s="19"/>
      <c r="Q1715" s="20"/>
      <c r="R1715" s="25"/>
      <c r="S1715" s="20"/>
      <c r="X1715" s="19"/>
      <c r="Y1715" s="20"/>
    </row>
    <row r="1716" spans="16:25">
      <c r="P1716" s="19"/>
      <c r="Q1716" s="20"/>
      <c r="R1716" s="25"/>
      <c r="S1716" s="20"/>
      <c r="X1716" s="19"/>
      <c r="Y1716" s="20"/>
    </row>
    <row r="1717" spans="16:25">
      <c r="P1717" s="19"/>
      <c r="Q1717" s="20"/>
      <c r="R1717" s="25"/>
      <c r="S1717" s="20"/>
      <c r="X1717" s="19"/>
      <c r="Y1717" s="20"/>
    </row>
    <row r="1718" spans="16:25">
      <c r="P1718" s="19"/>
      <c r="Q1718" s="20"/>
      <c r="R1718" s="25"/>
      <c r="S1718" s="20"/>
      <c r="X1718" s="19"/>
      <c r="Y1718" s="20"/>
    </row>
    <row r="1719" spans="16:25">
      <c r="P1719" s="19"/>
      <c r="Q1719" s="20"/>
      <c r="R1719" s="25"/>
      <c r="S1719" s="20"/>
      <c r="X1719" s="19"/>
      <c r="Y1719" s="20"/>
    </row>
    <row r="1720" spans="16:25">
      <c r="P1720" s="19"/>
      <c r="Q1720" s="20"/>
      <c r="R1720" s="25"/>
      <c r="S1720" s="20"/>
      <c r="X1720" s="19"/>
      <c r="Y1720" s="20"/>
    </row>
    <row r="1721" spans="16:25">
      <c r="P1721" s="19"/>
      <c r="Q1721" s="20"/>
      <c r="R1721" s="25"/>
      <c r="S1721" s="20"/>
      <c r="X1721" s="19"/>
      <c r="Y1721" s="20"/>
    </row>
    <row r="1722" spans="16:25">
      <c r="P1722" s="19"/>
      <c r="Q1722" s="20"/>
      <c r="R1722" s="25"/>
      <c r="S1722" s="20"/>
      <c r="X1722" s="19"/>
      <c r="Y1722" s="20"/>
    </row>
    <row r="1723" spans="16:25">
      <c r="P1723" s="19"/>
      <c r="Q1723" s="20"/>
      <c r="R1723" s="25"/>
      <c r="S1723" s="20"/>
      <c r="X1723" s="19"/>
      <c r="Y1723" s="20"/>
    </row>
    <row r="1724" spans="16:25">
      <c r="P1724" s="19"/>
      <c r="Q1724" s="20"/>
      <c r="R1724" s="25"/>
      <c r="S1724" s="20"/>
      <c r="X1724" s="19"/>
      <c r="Y1724" s="20"/>
    </row>
    <row r="1725" spans="16:25">
      <c r="P1725" s="19"/>
      <c r="Q1725" s="20"/>
      <c r="R1725" s="25"/>
      <c r="S1725" s="20"/>
      <c r="X1725" s="19"/>
      <c r="Y1725" s="20"/>
    </row>
    <row r="1726" spans="16:25">
      <c r="P1726" s="19"/>
      <c r="Q1726" s="20"/>
      <c r="R1726" s="25"/>
      <c r="S1726" s="20"/>
      <c r="X1726" s="19"/>
      <c r="Y1726" s="20"/>
    </row>
    <row r="1727" spans="16:25">
      <c r="P1727" s="19"/>
      <c r="Q1727" s="20"/>
      <c r="R1727" s="25"/>
      <c r="S1727" s="20"/>
      <c r="X1727" s="19"/>
      <c r="Y1727" s="20"/>
    </row>
    <row r="1728" spans="16:25">
      <c r="P1728" s="19"/>
      <c r="Q1728" s="20"/>
      <c r="R1728" s="25"/>
      <c r="S1728" s="20"/>
      <c r="X1728" s="19"/>
      <c r="Y1728" s="20"/>
    </row>
    <row r="1729" spans="16:25">
      <c r="P1729" s="19"/>
      <c r="Q1729" s="20"/>
      <c r="R1729" s="25"/>
      <c r="S1729" s="20"/>
      <c r="X1729" s="19"/>
      <c r="Y1729" s="20"/>
    </row>
    <row r="1730" spans="16:25">
      <c r="P1730" s="19"/>
      <c r="Q1730" s="20"/>
      <c r="R1730" s="25"/>
      <c r="S1730" s="20"/>
      <c r="X1730" s="19"/>
      <c r="Y1730" s="20"/>
    </row>
    <row r="1731" spans="16:25">
      <c r="P1731" s="19"/>
      <c r="Q1731" s="20"/>
      <c r="R1731" s="25"/>
      <c r="S1731" s="20"/>
      <c r="X1731" s="19"/>
      <c r="Y1731" s="20"/>
    </row>
    <row r="1732" spans="16:25">
      <c r="P1732" s="19"/>
      <c r="Q1732" s="20"/>
      <c r="R1732" s="25"/>
      <c r="S1732" s="20"/>
      <c r="X1732" s="19"/>
      <c r="Y1732" s="20"/>
    </row>
    <row r="1733" spans="16:25">
      <c r="P1733" s="19"/>
      <c r="Q1733" s="20"/>
      <c r="R1733" s="25"/>
      <c r="S1733" s="20"/>
      <c r="X1733" s="19"/>
      <c r="Y1733" s="20"/>
    </row>
    <row r="1734" spans="16:25">
      <c r="P1734" s="19"/>
      <c r="Q1734" s="20"/>
      <c r="R1734" s="25"/>
      <c r="S1734" s="20"/>
      <c r="X1734" s="19"/>
      <c r="Y1734" s="20"/>
    </row>
    <row r="1735" spans="16:25">
      <c r="P1735" s="19"/>
      <c r="Q1735" s="20"/>
      <c r="R1735" s="25"/>
      <c r="S1735" s="20"/>
      <c r="X1735" s="19"/>
      <c r="Y1735" s="20"/>
    </row>
    <row r="1736" spans="16:25">
      <c r="P1736" s="19"/>
      <c r="Q1736" s="20"/>
      <c r="R1736" s="25"/>
      <c r="S1736" s="20"/>
      <c r="X1736" s="19"/>
      <c r="Y1736" s="20"/>
    </row>
    <row r="1737" spans="16:25">
      <c r="P1737" s="19"/>
      <c r="Q1737" s="20"/>
      <c r="R1737" s="25"/>
      <c r="S1737" s="20"/>
      <c r="X1737" s="19"/>
      <c r="Y1737" s="20"/>
    </row>
    <row r="1738" spans="16:25">
      <c r="P1738" s="19"/>
      <c r="Q1738" s="20"/>
      <c r="R1738" s="25"/>
      <c r="S1738" s="20"/>
      <c r="X1738" s="19"/>
      <c r="Y1738" s="20"/>
    </row>
    <row r="1739" spans="16:25">
      <c r="P1739" s="19"/>
      <c r="Q1739" s="20"/>
      <c r="R1739" s="25"/>
      <c r="S1739" s="20"/>
      <c r="X1739" s="19"/>
      <c r="Y1739" s="20"/>
    </row>
    <row r="1740" spans="16:25">
      <c r="P1740" s="19"/>
      <c r="Q1740" s="20"/>
      <c r="R1740" s="25"/>
      <c r="S1740" s="20"/>
      <c r="X1740" s="19"/>
      <c r="Y1740" s="20"/>
    </row>
    <row r="1741" spans="16:25">
      <c r="P1741" s="19"/>
      <c r="Q1741" s="20"/>
      <c r="R1741" s="25"/>
      <c r="S1741" s="20"/>
      <c r="X1741" s="19"/>
      <c r="Y1741" s="20"/>
    </row>
    <row r="1742" spans="16:25">
      <c r="P1742" s="19"/>
      <c r="Q1742" s="20"/>
      <c r="R1742" s="25"/>
      <c r="S1742" s="20"/>
      <c r="X1742" s="19"/>
      <c r="Y1742" s="20"/>
    </row>
    <row r="1743" spans="16:25">
      <c r="P1743" s="19"/>
      <c r="Q1743" s="20"/>
      <c r="R1743" s="25"/>
      <c r="S1743" s="20"/>
      <c r="X1743" s="19"/>
      <c r="Y1743" s="20"/>
    </row>
    <row r="1744" spans="16:25">
      <c r="P1744" s="19"/>
      <c r="Q1744" s="20"/>
      <c r="R1744" s="25"/>
      <c r="S1744" s="20"/>
      <c r="X1744" s="19"/>
      <c r="Y1744" s="20"/>
    </row>
    <row r="1745" spans="16:25">
      <c r="P1745" s="19"/>
      <c r="Q1745" s="20"/>
      <c r="R1745" s="25"/>
      <c r="S1745" s="20"/>
      <c r="X1745" s="19"/>
      <c r="Y1745" s="20"/>
    </row>
    <row r="1746" spans="16:25">
      <c r="P1746" s="19"/>
      <c r="Q1746" s="20"/>
      <c r="R1746" s="25"/>
      <c r="S1746" s="20"/>
      <c r="X1746" s="19"/>
      <c r="Y1746" s="20"/>
    </row>
    <row r="1747" spans="16:25">
      <c r="P1747" s="19"/>
      <c r="Q1747" s="20"/>
      <c r="R1747" s="25"/>
      <c r="S1747" s="20"/>
      <c r="X1747" s="19"/>
      <c r="Y1747" s="20"/>
    </row>
    <row r="1748" spans="16:25">
      <c r="P1748" s="19"/>
      <c r="Q1748" s="20"/>
      <c r="R1748" s="25"/>
      <c r="S1748" s="20"/>
      <c r="X1748" s="19"/>
      <c r="Y1748" s="20"/>
    </row>
    <row r="1749" spans="16:25">
      <c r="P1749" s="19"/>
      <c r="Q1749" s="20"/>
      <c r="R1749" s="25"/>
      <c r="S1749" s="20"/>
      <c r="X1749" s="19"/>
      <c r="Y1749" s="20"/>
    </row>
    <row r="1750" spans="16:25">
      <c r="P1750" s="19"/>
      <c r="Q1750" s="20"/>
      <c r="R1750" s="25"/>
      <c r="S1750" s="20"/>
      <c r="X1750" s="19"/>
      <c r="Y1750" s="20"/>
    </row>
    <row r="1751" spans="16:25">
      <c r="P1751" s="19"/>
      <c r="Q1751" s="20"/>
      <c r="R1751" s="25"/>
      <c r="S1751" s="20"/>
      <c r="X1751" s="19"/>
      <c r="Y1751" s="20"/>
    </row>
    <row r="1752" spans="16:25">
      <c r="P1752" s="19"/>
      <c r="Q1752" s="20"/>
      <c r="R1752" s="25"/>
      <c r="S1752" s="20"/>
      <c r="X1752" s="19"/>
      <c r="Y1752" s="20"/>
    </row>
    <row r="1753" spans="16:25">
      <c r="P1753" s="19"/>
      <c r="Q1753" s="20"/>
      <c r="R1753" s="25"/>
      <c r="S1753" s="20"/>
      <c r="X1753" s="19"/>
      <c r="Y1753" s="20"/>
    </row>
    <row r="1754" spans="16:25">
      <c r="P1754" s="19"/>
      <c r="Q1754" s="20"/>
      <c r="R1754" s="25"/>
      <c r="S1754" s="20"/>
      <c r="X1754" s="19"/>
      <c r="Y1754" s="20"/>
    </row>
    <row r="1755" spans="16:25">
      <c r="P1755" s="19"/>
      <c r="Q1755" s="20"/>
      <c r="R1755" s="25"/>
      <c r="S1755" s="20"/>
      <c r="X1755" s="19"/>
      <c r="Y1755" s="20"/>
    </row>
    <row r="1756" spans="16:25">
      <c r="P1756" s="19"/>
      <c r="Q1756" s="20"/>
      <c r="R1756" s="25"/>
      <c r="S1756" s="20"/>
      <c r="X1756" s="19"/>
      <c r="Y1756" s="20"/>
    </row>
    <row r="1757" spans="16:25">
      <c r="P1757" s="19"/>
      <c r="Q1757" s="20"/>
      <c r="R1757" s="25"/>
      <c r="S1757" s="20"/>
      <c r="X1757" s="19"/>
      <c r="Y1757" s="20"/>
    </row>
    <row r="1758" spans="16:25">
      <c r="P1758" s="19"/>
      <c r="Q1758" s="20"/>
      <c r="R1758" s="25"/>
      <c r="S1758" s="20"/>
      <c r="X1758" s="19"/>
      <c r="Y1758" s="20"/>
    </row>
    <row r="1759" spans="16:25">
      <c r="P1759" s="19"/>
      <c r="Q1759" s="20"/>
      <c r="R1759" s="25"/>
      <c r="S1759" s="20"/>
      <c r="X1759" s="19"/>
      <c r="Y1759" s="20"/>
    </row>
    <row r="1760" spans="16:25">
      <c r="P1760" s="19"/>
      <c r="Q1760" s="20"/>
      <c r="R1760" s="25"/>
      <c r="S1760" s="20"/>
      <c r="X1760" s="19"/>
      <c r="Y1760" s="20"/>
    </row>
    <row r="1761" spans="16:25">
      <c r="P1761" s="19"/>
      <c r="Q1761" s="20"/>
      <c r="R1761" s="25"/>
      <c r="S1761" s="20"/>
      <c r="X1761" s="19"/>
      <c r="Y1761" s="20"/>
    </row>
    <row r="1762" spans="16:25">
      <c r="P1762" s="19"/>
      <c r="Q1762" s="20"/>
      <c r="R1762" s="25"/>
      <c r="S1762" s="20"/>
      <c r="X1762" s="19"/>
      <c r="Y1762" s="20"/>
    </row>
    <row r="1763" spans="16:25">
      <c r="P1763" s="19"/>
      <c r="Q1763" s="20"/>
      <c r="R1763" s="25"/>
      <c r="S1763" s="20"/>
      <c r="X1763" s="19"/>
      <c r="Y1763" s="20"/>
    </row>
    <row r="1764" spans="16:25">
      <c r="P1764" s="19"/>
      <c r="Q1764" s="20"/>
      <c r="R1764" s="25"/>
      <c r="S1764" s="20"/>
      <c r="X1764" s="19"/>
      <c r="Y1764" s="20"/>
    </row>
    <row r="1765" spans="16:25">
      <c r="P1765" s="19"/>
      <c r="Q1765" s="20"/>
      <c r="R1765" s="25"/>
      <c r="S1765" s="20"/>
      <c r="X1765" s="19"/>
      <c r="Y1765" s="20"/>
    </row>
    <row r="1766" spans="16:25">
      <c r="P1766" s="19"/>
      <c r="Q1766" s="20"/>
      <c r="R1766" s="25"/>
      <c r="S1766" s="20"/>
      <c r="X1766" s="19"/>
      <c r="Y1766" s="20"/>
    </row>
    <row r="1767" spans="16:25">
      <c r="P1767" s="19"/>
      <c r="Q1767" s="20"/>
      <c r="R1767" s="25"/>
      <c r="S1767" s="20"/>
      <c r="X1767" s="19"/>
      <c r="Y1767" s="20"/>
    </row>
    <row r="1768" spans="16:25">
      <c r="P1768" s="19"/>
      <c r="Q1768" s="20"/>
      <c r="R1768" s="25"/>
      <c r="S1768" s="20"/>
      <c r="X1768" s="19"/>
      <c r="Y1768" s="20"/>
    </row>
    <row r="1769" spans="16:25">
      <c r="P1769" s="19"/>
      <c r="Q1769" s="20"/>
      <c r="R1769" s="25"/>
      <c r="S1769" s="20"/>
      <c r="X1769" s="19"/>
      <c r="Y1769" s="20"/>
    </row>
    <row r="1770" spans="16:25">
      <c r="P1770" s="19"/>
      <c r="Q1770" s="20"/>
      <c r="R1770" s="25"/>
      <c r="S1770" s="20"/>
      <c r="X1770" s="19"/>
      <c r="Y1770" s="20"/>
    </row>
    <row r="1771" spans="16:25">
      <c r="P1771" s="19"/>
      <c r="Q1771" s="20"/>
      <c r="R1771" s="25"/>
      <c r="S1771" s="20"/>
      <c r="X1771" s="19"/>
      <c r="Y1771" s="20"/>
    </row>
    <row r="1772" spans="16:25">
      <c r="P1772" s="19"/>
      <c r="Q1772" s="20"/>
      <c r="R1772" s="25"/>
      <c r="S1772" s="20"/>
      <c r="X1772" s="19"/>
      <c r="Y1772" s="20"/>
    </row>
    <row r="1773" spans="16:25">
      <c r="P1773" s="19"/>
      <c r="Q1773" s="20"/>
      <c r="R1773" s="25"/>
      <c r="S1773" s="20"/>
      <c r="X1773" s="19"/>
      <c r="Y1773" s="20"/>
    </row>
    <row r="1774" spans="16:25">
      <c r="P1774" s="19"/>
      <c r="Q1774" s="20"/>
      <c r="R1774" s="25"/>
      <c r="S1774" s="20"/>
      <c r="X1774" s="19"/>
      <c r="Y1774" s="20"/>
    </row>
    <row r="1775" spans="16:25">
      <c r="P1775" s="19"/>
      <c r="Q1775" s="20"/>
      <c r="R1775" s="25"/>
      <c r="S1775" s="20"/>
      <c r="X1775" s="19"/>
      <c r="Y1775" s="20"/>
    </row>
    <row r="1776" spans="16:25">
      <c r="P1776" s="19"/>
      <c r="Q1776" s="20"/>
      <c r="R1776" s="25"/>
      <c r="S1776" s="20"/>
      <c r="X1776" s="19"/>
      <c r="Y1776" s="20"/>
    </row>
    <row r="1777" spans="16:25">
      <c r="P1777" s="19"/>
      <c r="Q1777" s="20"/>
      <c r="R1777" s="25"/>
      <c r="S1777" s="20"/>
      <c r="X1777" s="19"/>
      <c r="Y1777" s="20"/>
    </row>
    <row r="1778" spans="16:25">
      <c r="P1778" s="19"/>
      <c r="Q1778" s="20"/>
      <c r="R1778" s="25"/>
      <c r="S1778" s="20"/>
      <c r="X1778" s="19"/>
      <c r="Y1778" s="20"/>
    </row>
    <row r="1779" spans="16:25">
      <c r="P1779" s="19"/>
      <c r="Q1779" s="20"/>
      <c r="R1779" s="25"/>
      <c r="S1779" s="20"/>
      <c r="X1779" s="19"/>
      <c r="Y1779" s="20"/>
    </row>
    <row r="1780" spans="16:25">
      <c r="P1780" s="19"/>
      <c r="Q1780" s="20"/>
      <c r="R1780" s="25"/>
      <c r="S1780" s="20"/>
      <c r="X1780" s="19"/>
      <c r="Y1780" s="20"/>
    </row>
    <row r="1781" spans="16:25">
      <c r="P1781" s="19"/>
      <c r="Q1781" s="20"/>
      <c r="R1781" s="25"/>
      <c r="S1781" s="20"/>
      <c r="X1781" s="19"/>
      <c r="Y1781" s="20"/>
    </row>
    <row r="1782" spans="16:25">
      <c r="P1782" s="19"/>
      <c r="Q1782" s="20"/>
      <c r="R1782" s="25"/>
      <c r="S1782" s="20"/>
      <c r="X1782" s="19"/>
      <c r="Y1782" s="20"/>
    </row>
    <row r="1783" spans="16:25">
      <c r="P1783" s="19"/>
      <c r="Q1783" s="20"/>
      <c r="R1783" s="25"/>
      <c r="S1783" s="20"/>
      <c r="X1783" s="19"/>
      <c r="Y1783" s="20"/>
    </row>
    <row r="1784" spans="16:25">
      <c r="P1784" s="19"/>
      <c r="Q1784" s="20"/>
      <c r="R1784" s="25"/>
      <c r="S1784" s="20"/>
      <c r="X1784" s="19"/>
      <c r="Y1784" s="20"/>
    </row>
    <row r="1785" spans="16:25">
      <c r="P1785" s="19"/>
      <c r="Q1785" s="20"/>
      <c r="R1785" s="25"/>
      <c r="S1785" s="20"/>
      <c r="X1785" s="19"/>
      <c r="Y1785" s="20"/>
    </row>
    <row r="1786" spans="16:25">
      <c r="P1786" s="19"/>
      <c r="Q1786" s="20"/>
      <c r="R1786" s="25"/>
      <c r="S1786" s="20"/>
      <c r="X1786" s="19"/>
      <c r="Y1786" s="20"/>
    </row>
    <row r="1787" spans="16:25">
      <c r="P1787" s="19"/>
      <c r="Q1787" s="20"/>
      <c r="R1787" s="25"/>
      <c r="S1787" s="20"/>
      <c r="X1787" s="19"/>
      <c r="Y1787" s="20"/>
    </row>
    <row r="1788" spans="16:25">
      <c r="P1788" s="19"/>
      <c r="Q1788" s="20"/>
      <c r="R1788" s="25"/>
      <c r="S1788" s="20"/>
      <c r="X1788" s="19"/>
      <c r="Y1788" s="20"/>
    </row>
    <row r="1789" spans="16:25">
      <c r="P1789" s="19"/>
      <c r="Q1789" s="20"/>
      <c r="R1789" s="25"/>
      <c r="S1789" s="20"/>
      <c r="X1789" s="19"/>
      <c r="Y1789" s="20"/>
    </row>
    <row r="1790" spans="16:25">
      <c r="P1790" s="19"/>
      <c r="Q1790" s="20"/>
      <c r="R1790" s="25"/>
      <c r="S1790" s="20"/>
      <c r="X1790" s="19"/>
      <c r="Y1790" s="20"/>
    </row>
    <row r="1791" spans="16:25">
      <c r="P1791" s="19"/>
      <c r="Q1791" s="20"/>
      <c r="R1791" s="25"/>
      <c r="S1791" s="20"/>
      <c r="X1791" s="19"/>
      <c r="Y1791" s="20"/>
    </row>
    <row r="1792" spans="16:25">
      <c r="P1792" s="19"/>
      <c r="Q1792" s="20"/>
      <c r="R1792" s="25"/>
      <c r="S1792" s="20"/>
      <c r="X1792" s="19"/>
      <c r="Y1792" s="20"/>
    </row>
    <row r="1793" spans="16:25">
      <c r="P1793" s="19"/>
      <c r="Q1793" s="20"/>
      <c r="R1793" s="25"/>
      <c r="S1793" s="20"/>
      <c r="X1793" s="19"/>
      <c r="Y1793" s="20"/>
    </row>
    <row r="1794" spans="16:25">
      <c r="P1794" s="19"/>
      <c r="Q1794" s="20"/>
      <c r="R1794" s="25"/>
      <c r="S1794" s="20"/>
      <c r="X1794" s="19"/>
      <c r="Y1794" s="20"/>
    </row>
    <row r="1795" spans="16:25">
      <c r="P1795" s="19"/>
      <c r="Q1795" s="20"/>
      <c r="R1795" s="25"/>
      <c r="S1795" s="20"/>
      <c r="X1795" s="19"/>
      <c r="Y1795" s="20"/>
    </row>
    <row r="1796" spans="16:25">
      <c r="P1796" s="19"/>
      <c r="Q1796" s="20"/>
      <c r="R1796" s="25"/>
      <c r="S1796" s="20"/>
      <c r="X1796" s="19"/>
      <c r="Y1796" s="20"/>
    </row>
    <row r="1797" spans="16:25">
      <c r="P1797" s="19"/>
      <c r="Q1797" s="20"/>
      <c r="R1797" s="25"/>
      <c r="S1797" s="20"/>
      <c r="X1797" s="19"/>
      <c r="Y1797" s="20"/>
    </row>
    <row r="1798" spans="16:25">
      <c r="P1798" s="19"/>
      <c r="Q1798" s="20"/>
      <c r="R1798" s="25"/>
      <c r="S1798" s="20"/>
      <c r="X1798" s="19"/>
      <c r="Y1798" s="20"/>
    </row>
    <row r="1799" spans="16:25">
      <c r="P1799" s="19"/>
      <c r="Q1799" s="20"/>
      <c r="R1799" s="25"/>
      <c r="S1799" s="20"/>
      <c r="X1799" s="19"/>
      <c r="Y1799" s="20"/>
    </row>
    <row r="1800" spans="16:25">
      <c r="P1800" s="19"/>
      <c r="Q1800" s="20"/>
      <c r="R1800" s="25"/>
      <c r="S1800" s="20"/>
      <c r="X1800" s="19"/>
      <c r="Y1800" s="20"/>
    </row>
    <row r="1801" spans="16:25">
      <c r="P1801" s="19"/>
      <c r="Q1801" s="20"/>
      <c r="R1801" s="25"/>
      <c r="S1801" s="20"/>
      <c r="X1801" s="19"/>
      <c r="Y1801" s="20"/>
    </row>
    <row r="1802" spans="16:25">
      <c r="P1802" s="19"/>
      <c r="Q1802" s="20"/>
      <c r="R1802" s="25"/>
      <c r="S1802" s="20"/>
      <c r="X1802" s="19"/>
      <c r="Y1802" s="20"/>
    </row>
    <row r="1803" spans="16:25">
      <c r="P1803" s="19"/>
      <c r="Q1803" s="20"/>
      <c r="R1803" s="25"/>
      <c r="S1803" s="20"/>
      <c r="X1803" s="19"/>
      <c r="Y1803" s="20"/>
    </row>
    <row r="1804" spans="16:25">
      <c r="P1804" s="19"/>
      <c r="Q1804" s="20"/>
      <c r="R1804" s="25"/>
      <c r="S1804" s="20"/>
      <c r="X1804" s="19"/>
      <c r="Y1804" s="20"/>
    </row>
    <row r="1805" spans="16:25">
      <c r="P1805" s="19"/>
      <c r="Q1805" s="20"/>
      <c r="R1805" s="25"/>
      <c r="S1805" s="20"/>
      <c r="X1805" s="19"/>
      <c r="Y1805" s="20"/>
    </row>
    <row r="1806" spans="16:25">
      <c r="P1806" s="19"/>
      <c r="Q1806" s="20"/>
      <c r="R1806" s="25"/>
      <c r="S1806" s="20"/>
      <c r="X1806" s="19"/>
      <c r="Y1806" s="20"/>
    </row>
    <row r="1807" spans="16:25">
      <c r="P1807" s="19"/>
      <c r="Q1807" s="20"/>
      <c r="R1807" s="25"/>
      <c r="S1807" s="20"/>
      <c r="X1807" s="19"/>
      <c r="Y1807" s="20"/>
    </row>
    <row r="1808" spans="16:25">
      <c r="P1808" s="19"/>
      <c r="Q1808" s="20"/>
      <c r="R1808" s="25"/>
      <c r="S1808" s="20"/>
      <c r="X1808" s="19"/>
      <c r="Y1808" s="20"/>
    </row>
    <row r="1809" spans="16:25">
      <c r="P1809" s="19"/>
      <c r="Q1809" s="20"/>
      <c r="R1809" s="25"/>
      <c r="S1809" s="20"/>
      <c r="X1809" s="19"/>
      <c r="Y1809" s="20"/>
    </row>
    <row r="1810" spans="16:25">
      <c r="P1810" s="19"/>
      <c r="Q1810" s="20"/>
      <c r="R1810" s="25"/>
      <c r="S1810" s="20"/>
      <c r="X1810" s="19"/>
      <c r="Y1810" s="20"/>
    </row>
    <row r="1811" spans="16:25">
      <c r="P1811" s="19"/>
      <c r="Q1811" s="20"/>
      <c r="R1811" s="25"/>
      <c r="S1811" s="20"/>
      <c r="X1811" s="19"/>
      <c r="Y1811" s="20"/>
    </row>
    <row r="1812" spans="16:25">
      <c r="P1812" s="19"/>
      <c r="Q1812" s="20"/>
      <c r="R1812" s="25"/>
      <c r="S1812" s="20"/>
      <c r="X1812" s="19"/>
      <c r="Y1812" s="20"/>
    </row>
    <row r="1813" spans="16:25">
      <c r="P1813" s="19"/>
      <c r="Q1813" s="20"/>
      <c r="R1813" s="25"/>
      <c r="S1813" s="20"/>
      <c r="X1813" s="19"/>
      <c r="Y1813" s="20"/>
    </row>
    <row r="1814" spans="16:25">
      <c r="P1814" s="19"/>
      <c r="Q1814" s="20"/>
      <c r="R1814" s="25"/>
      <c r="S1814" s="20"/>
      <c r="X1814" s="19"/>
      <c r="Y1814" s="20"/>
    </row>
    <row r="1815" spans="16:25">
      <c r="P1815" s="19"/>
      <c r="Q1815" s="20"/>
      <c r="R1815" s="25"/>
      <c r="S1815" s="20"/>
      <c r="X1815" s="19"/>
      <c r="Y1815" s="20"/>
    </row>
    <row r="1816" spans="16:25">
      <c r="P1816" s="19"/>
      <c r="Q1816" s="20"/>
      <c r="R1816" s="25"/>
      <c r="S1816" s="20"/>
      <c r="X1816" s="19"/>
      <c r="Y1816" s="20"/>
    </row>
    <row r="1817" spans="16:25">
      <c r="P1817" s="19"/>
      <c r="Q1817" s="20"/>
      <c r="R1817" s="25"/>
      <c r="S1817" s="20"/>
      <c r="X1817" s="19"/>
      <c r="Y1817" s="20"/>
    </row>
    <row r="1818" spans="16:25">
      <c r="P1818" s="19"/>
      <c r="Q1818" s="20"/>
      <c r="R1818" s="25"/>
      <c r="S1818" s="20"/>
      <c r="X1818" s="19"/>
      <c r="Y1818" s="20"/>
    </row>
    <row r="1819" spans="16:25">
      <c r="P1819" s="19"/>
      <c r="Q1819" s="20"/>
      <c r="R1819" s="25"/>
      <c r="S1819" s="20"/>
      <c r="X1819" s="19"/>
      <c r="Y1819" s="20"/>
    </row>
    <row r="1820" spans="16:25">
      <c r="P1820" s="19"/>
      <c r="Q1820" s="20"/>
      <c r="R1820" s="25"/>
      <c r="S1820" s="20"/>
      <c r="X1820" s="19"/>
      <c r="Y1820" s="20"/>
    </row>
    <row r="1821" spans="16:25">
      <c r="P1821" s="19"/>
      <c r="Q1821" s="20"/>
      <c r="R1821" s="25"/>
      <c r="S1821" s="20"/>
      <c r="X1821" s="19"/>
      <c r="Y1821" s="20"/>
    </row>
    <row r="1822" spans="16:25">
      <c r="P1822" s="19"/>
      <c r="Q1822" s="20"/>
      <c r="R1822" s="25"/>
      <c r="S1822" s="20"/>
      <c r="X1822" s="19"/>
      <c r="Y1822" s="20"/>
    </row>
    <row r="1823" spans="16:25">
      <c r="P1823" s="19"/>
      <c r="Q1823" s="20"/>
      <c r="R1823" s="25"/>
      <c r="S1823" s="20"/>
      <c r="X1823" s="19"/>
      <c r="Y1823" s="20"/>
    </row>
    <row r="1824" spans="16:25">
      <c r="P1824" s="19"/>
      <c r="Q1824" s="20"/>
      <c r="R1824" s="25"/>
      <c r="S1824" s="20"/>
      <c r="X1824" s="19"/>
      <c r="Y1824" s="20"/>
    </row>
    <row r="1825" spans="16:25">
      <c r="P1825" s="19"/>
      <c r="Q1825" s="20"/>
      <c r="R1825" s="25"/>
      <c r="S1825" s="20"/>
      <c r="X1825" s="19"/>
      <c r="Y1825" s="20"/>
    </row>
    <row r="1826" spans="16:25">
      <c r="P1826" s="19"/>
      <c r="Q1826" s="20"/>
      <c r="R1826" s="25"/>
      <c r="S1826" s="20"/>
      <c r="X1826" s="19"/>
      <c r="Y1826" s="20"/>
    </row>
    <row r="1827" spans="16:25">
      <c r="P1827" s="19"/>
      <c r="Q1827" s="20"/>
      <c r="R1827" s="25"/>
      <c r="S1827" s="20"/>
      <c r="X1827" s="19"/>
      <c r="Y1827" s="20"/>
    </row>
    <row r="1828" spans="16:25">
      <c r="P1828" s="19"/>
      <c r="Q1828" s="20"/>
      <c r="R1828" s="25"/>
      <c r="S1828" s="20"/>
      <c r="X1828" s="19"/>
      <c r="Y1828" s="20"/>
    </row>
    <row r="1829" spans="16:25">
      <c r="P1829" s="19"/>
      <c r="Q1829" s="20"/>
      <c r="R1829" s="25"/>
      <c r="S1829" s="20"/>
      <c r="X1829" s="19"/>
      <c r="Y1829" s="20"/>
    </row>
    <row r="1830" spans="16:25">
      <c r="P1830" s="19"/>
      <c r="Q1830" s="20"/>
      <c r="R1830" s="25"/>
      <c r="S1830" s="20"/>
      <c r="X1830" s="19"/>
      <c r="Y1830" s="20"/>
    </row>
    <row r="1831" spans="16:25">
      <c r="P1831" s="19"/>
      <c r="Q1831" s="20"/>
      <c r="R1831" s="25"/>
      <c r="S1831" s="20"/>
      <c r="X1831" s="19"/>
      <c r="Y1831" s="20"/>
    </row>
    <row r="1832" spans="16:25">
      <c r="P1832" s="19"/>
      <c r="Q1832" s="20"/>
      <c r="R1832" s="25"/>
      <c r="S1832" s="20"/>
      <c r="X1832" s="19"/>
      <c r="Y1832" s="20"/>
    </row>
    <row r="1833" spans="16:25">
      <c r="P1833" s="19"/>
      <c r="Q1833" s="20"/>
      <c r="R1833" s="25"/>
      <c r="S1833" s="20"/>
      <c r="X1833" s="19"/>
      <c r="Y1833" s="20"/>
    </row>
    <row r="1834" spans="16:25">
      <c r="P1834" s="19"/>
      <c r="Q1834" s="20"/>
      <c r="R1834" s="25"/>
      <c r="S1834" s="20"/>
      <c r="X1834" s="19"/>
      <c r="Y1834" s="20"/>
    </row>
    <row r="1835" spans="16:25">
      <c r="P1835" s="19"/>
      <c r="Q1835" s="20"/>
      <c r="R1835" s="25"/>
      <c r="S1835" s="20"/>
      <c r="X1835" s="19"/>
      <c r="Y1835" s="20"/>
    </row>
    <row r="1836" spans="16:25">
      <c r="P1836" s="19"/>
      <c r="Q1836" s="20"/>
      <c r="R1836" s="25"/>
      <c r="S1836" s="20"/>
      <c r="X1836" s="19"/>
      <c r="Y1836" s="20"/>
    </row>
    <row r="1837" spans="16:25">
      <c r="P1837" s="19"/>
      <c r="Q1837" s="20"/>
      <c r="R1837" s="25"/>
      <c r="S1837" s="20"/>
      <c r="X1837" s="19"/>
      <c r="Y1837" s="20"/>
    </row>
    <row r="1838" spans="16:25">
      <c r="P1838" s="19"/>
      <c r="Q1838" s="20"/>
      <c r="R1838" s="25"/>
      <c r="S1838" s="20"/>
      <c r="X1838" s="19"/>
      <c r="Y1838" s="20"/>
    </row>
    <row r="1839" spans="16:25">
      <c r="P1839" s="19"/>
      <c r="Q1839" s="20"/>
      <c r="R1839" s="25"/>
      <c r="S1839" s="20"/>
      <c r="X1839" s="19"/>
      <c r="Y1839" s="20"/>
    </row>
    <row r="1840" spans="16:25">
      <c r="P1840" s="19"/>
      <c r="Q1840" s="20"/>
      <c r="R1840" s="25"/>
      <c r="S1840" s="20"/>
      <c r="X1840" s="19"/>
      <c r="Y1840" s="20"/>
    </row>
    <row r="1841" spans="16:25">
      <c r="P1841" s="19"/>
      <c r="Q1841" s="20"/>
      <c r="R1841" s="25"/>
      <c r="S1841" s="20"/>
      <c r="X1841" s="19"/>
      <c r="Y1841" s="20"/>
    </row>
    <row r="1842" spans="16:25">
      <c r="P1842" s="19"/>
      <c r="Q1842" s="20"/>
      <c r="R1842" s="25"/>
      <c r="S1842" s="20"/>
      <c r="X1842" s="19"/>
      <c r="Y1842" s="20"/>
    </row>
    <row r="1843" spans="16:25">
      <c r="P1843" s="19"/>
      <c r="Q1843" s="20"/>
      <c r="R1843" s="25"/>
      <c r="S1843" s="20"/>
      <c r="X1843" s="19"/>
      <c r="Y1843" s="20"/>
    </row>
    <row r="1844" spans="16:25">
      <c r="P1844" s="19"/>
      <c r="Q1844" s="20"/>
      <c r="R1844" s="25"/>
      <c r="S1844" s="20"/>
      <c r="X1844" s="19"/>
      <c r="Y1844" s="20"/>
    </row>
    <row r="1845" spans="16:25">
      <c r="P1845" s="19"/>
      <c r="Q1845" s="20"/>
      <c r="R1845" s="25"/>
      <c r="S1845" s="20"/>
      <c r="X1845" s="19"/>
      <c r="Y1845" s="20"/>
    </row>
    <row r="1846" spans="16:25">
      <c r="P1846" s="19"/>
      <c r="Q1846" s="20"/>
      <c r="R1846" s="25"/>
      <c r="S1846" s="20"/>
      <c r="X1846" s="19"/>
      <c r="Y1846" s="20"/>
    </row>
    <row r="1847" spans="16:25">
      <c r="P1847" s="19"/>
      <c r="Q1847" s="20"/>
      <c r="R1847" s="25"/>
      <c r="S1847" s="20"/>
      <c r="X1847" s="19"/>
      <c r="Y1847" s="20"/>
    </row>
    <row r="1848" spans="16:25">
      <c r="P1848" s="19"/>
      <c r="Q1848" s="20"/>
      <c r="R1848" s="25"/>
      <c r="S1848" s="20"/>
      <c r="X1848" s="19"/>
      <c r="Y1848" s="20"/>
    </row>
    <row r="1849" spans="16:25">
      <c r="P1849" s="19"/>
      <c r="Q1849" s="20"/>
      <c r="R1849" s="25"/>
      <c r="S1849" s="20"/>
      <c r="X1849" s="19"/>
      <c r="Y1849" s="20"/>
    </row>
    <row r="1850" spans="16:25">
      <c r="P1850" s="19"/>
      <c r="Q1850" s="20"/>
      <c r="R1850" s="25"/>
      <c r="S1850" s="20"/>
      <c r="X1850" s="19"/>
      <c r="Y1850" s="20"/>
    </row>
    <row r="1851" spans="16:25">
      <c r="P1851" s="19"/>
      <c r="Q1851" s="20"/>
      <c r="R1851" s="25"/>
      <c r="S1851" s="20"/>
      <c r="X1851" s="19"/>
      <c r="Y1851" s="20"/>
    </row>
    <row r="1852" spans="16:25">
      <c r="P1852" s="19"/>
      <c r="Q1852" s="20"/>
      <c r="R1852" s="25"/>
      <c r="S1852" s="20"/>
      <c r="X1852" s="19"/>
      <c r="Y1852" s="20"/>
    </row>
    <row r="1853" spans="16:25">
      <c r="P1853" s="19"/>
      <c r="Q1853" s="20"/>
      <c r="R1853" s="25"/>
      <c r="S1853" s="20"/>
      <c r="X1853" s="19"/>
      <c r="Y1853" s="20"/>
    </row>
    <row r="1854" spans="16:25">
      <c r="P1854" s="19"/>
      <c r="Q1854" s="20"/>
      <c r="R1854" s="25"/>
      <c r="S1854" s="20"/>
      <c r="X1854" s="19"/>
      <c r="Y1854" s="20"/>
    </row>
    <row r="1855" spans="16:25">
      <c r="P1855" s="19"/>
      <c r="Q1855" s="20"/>
      <c r="R1855" s="25"/>
      <c r="S1855" s="20"/>
      <c r="X1855" s="19"/>
      <c r="Y1855" s="20"/>
    </row>
    <row r="1856" spans="16:25">
      <c r="P1856" s="19"/>
      <c r="Q1856" s="20"/>
      <c r="R1856" s="25"/>
      <c r="S1856" s="20"/>
      <c r="X1856" s="19"/>
      <c r="Y1856" s="20"/>
    </row>
    <row r="1857" spans="16:25">
      <c r="P1857" s="19"/>
      <c r="Q1857" s="20"/>
      <c r="R1857" s="25"/>
      <c r="S1857" s="20"/>
      <c r="X1857" s="19"/>
      <c r="Y1857" s="20"/>
    </row>
    <row r="1858" spans="16:25">
      <c r="P1858" s="19"/>
      <c r="Q1858" s="20"/>
      <c r="R1858" s="25"/>
      <c r="S1858" s="20"/>
      <c r="X1858" s="19"/>
      <c r="Y1858" s="20"/>
    </row>
    <row r="1859" spans="16:25">
      <c r="P1859" s="19"/>
      <c r="Q1859" s="20"/>
      <c r="R1859" s="25"/>
      <c r="S1859" s="20"/>
      <c r="X1859" s="19"/>
      <c r="Y1859" s="20"/>
    </row>
    <row r="1860" spans="16:25">
      <c r="P1860" s="19"/>
      <c r="Q1860" s="20"/>
      <c r="R1860" s="25"/>
      <c r="S1860" s="20"/>
      <c r="X1860" s="19"/>
      <c r="Y1860" s="20"/>
    </row>
    <row r="1861" spans="16:25">
      <c r="P1861" s="19"/>
      <c r="Q1861" s="20"/>
      <c r="R1861" s="25"/>
      <c r="S1861" s="20"/>
      <c r="X1861" s="19"/>
      <c r="Y1861" s="20"/>
    </row>
    <row r="1862" spans="16:25">
      <c r="P1862" s="19"/>
      <c r="Q1862" s="20"/>
      <c r="R1862" s="25"/>
      <c r="S1862" s="20"/>
      <c r="X1862" s="19"/>
      <c r="Y1862" s="20"/>
    </row>
    <row r="1863" spans="16:25">
      <c r="P1863" s="19"/>
      <c r="Q1863" s="20"/>
      <c r="R1863" s="25"/>
      <c r="S1863" s="20"/>
      <c r="X1863" s="19"/>
      <c r="Y1863" s="20"/>
    </row>
    <row r="1864" spans="16:25">
      <c r="P1864" s="19"/>
      <c r="Q1864" s="20"/>
      <c r="R1864" s="25"/>
      <c r="S1864" s="20"/>
      <c r="X1864" s="19"/>
      <c r="Y1864" s="20"/>
    </row>
    <row r="1865" spans="16:25">
      <c r="P1865" s="19"/>
      <c r="Q1865" s="20"/>
      <c r="R1865" s="25"/>
      <c r="S1865" s="20"/>
      <c r="X1865" s="19"/>
      <c r="Y1865" s="20"/>
    </row>
    <row r="1866" spans="16:25">
      <c r="P1866" s="19"/>
      <c r="Q1866" s="20"/>
      <c r="R1866" s="25"/>
      <c r="S1866" s="20"/>
      <c r="X1866" s="19"/>
      <c r="Y1866" s="20"/>
    </row>
    <row r="1867" spans="16:25">
      <c r="P1867" s="19"/>
      <c r="Q1867" s="20"/>
      <c r="R1867" s="25"/>
      <c r="S1867" s="20"/>
      <c r="X1867" s="19"/>
      <c r="Y1867" s="20"/>
    </row>
    <row r="1868" spans="16:25">
      <c r="P1868" s="19"/>
      <c r="Q1868" s="20"/>
      <c r="R1868" s="25"/>
      <c r="S1868" s="20"/>
      <c r="X1868" s="19"/>
      <c r="Y1868" s="20"/>
    </row>
    <row r="1869" spans="16:25">
      <c r="P1869" s="19"/>
      <c r="Q1869" s="20"/>
      <c r="R1869" s="25"/>
      <c r="S1869" s="20"/>
      <c r="X1869" s="19"/>
      <c r="Y1869" s="20"/>
    </row>
    <row r="1870" spans="16:25">
      <c r="P1870" s="19"/>
      <c r="Q1870" s="20"/>
      <c r="R1870" s="25"/>
      <c r="S1870" s="20"/>
      <c r="X1870" s="19"/>
      <c r="Y1870" s="20"/>
    </row>
    <row r="1871" spans="16:25">
      <c r="P1871" s="19"/>
      <c r="Q1871" s="20"/>
      <c r="R1871" s="25"/>
      <c r="S1871" s="20"/>
      <c r="X1871" s="19"/>
      <c r="Y1871" s="20"/>
    </row>
    <row r="1872" spans="16:25">
      <c r="P1872" s="19"/>
      <c r="Q1872" s="20"/>
      <c r="R1872" s="25"/>
      <c r="S1872" s="20"/>
      <c r="X1872" s="19"/>
      <c r="Y1872" s="20"/>
    </row>
    <row r="1873" spans="16:25">
      <c r="P1873" s="19"/>
      <c r="Q1873" s="20"/>
      <c r="R1873" s="25"/>
      <c r="S1873" s="20"/>
      <c r="X1873" s="19"/>
      <c r="Y1873" s="20"/>
    </row>
    <row r="1874" spans="16:25">
      <c r="P1874" s="19"/>
      <c r="Q1874" s="20"/>
      <c r="R1874" s="25"/>
      <c r="S1874" s="20"/>
      <c r="X1874" s="19"/>
      <c r="Y1874" s="20"/>
    </row>
    <row r="1875" spans="16:25">
      <c r="P1875" s="19"/>
      <c r="Q1875" s="20"/>
      <c r="R1875" s="25"/>
      <c r="S1875" s="20"/>
      <c r="X1875" s="19"/>
      <c r="Y1875" s="20"/>
    </row>
    <row r="1876" spans="16:25">
      <c r="P1876" s="19"/>
      <c r="Q1876" s="20"/>
      <c r="R1876" s="25"/>
      <c r="S1876" s="20"/>
      <c r="X1876" s="19"/>
      <c r="Y1876" s="20"/>
    </row>
    <row r="1877" spans="16:25">
      <c r="P1877" s="19"/>
      <c r="Q1877" s="20"/>
      <c r="R1877" s="25"/>
      <c r="S1877" s="20"/>
      <c r="X1877" s="19"/>
      <c r="Y1877" s="20"/>
    </row>
    <row r="1878" spans="16:25">
      <c r="P1878" s="19"/>
      <c r="Q1878" s="20"/>
      <c r="R1878" s="25"/>
      <c r="S1878" s="20"/>
      <c r="X1878" s="19"/>
      <c r="Y1878" s="20"/>
    </row>
    <row r="1879" spans="16:25">
      <c r="P1879" s="19"/>
      <c r="Q1879" s="20"/>
      <c r="R1879" s="25"/>
      <c r="S1879" s="20"/>
      <c r="X1879" s="19"/>
      <c r="Y1879" s="20"/>
    </row>
    <row r="1880" spans="16:25">
      <c r="P1880" s="19"/>
      <c r="Q1880" s="20"/>
      <c r="R1880" s="25"/>
      <c r="S1880" s="20"/>
      <c r="X1880" s="19"/>
      <c r="Y1880" s="20"/>
    </row>
    <row r="1881" spans="16:25">
      <c r="P1881" s="19"/>
      <c r="Q1881" s="20"/>
      <c r="R1881" s="25"/>
      <c r="S1881" s="20"/>
      <c r="X1881" s="19"/>
      <c r="Y1881" s="20"/>
    </row>
    <row r="1882" spans="16:25">
      <c r="P1882" s="19"/>
      <c r="Q1882" s="20"/>
      <c r="R1882" s="25"/>
      <c r="S1882" s="20"/>
      <c r="X1882" s="19"/>
      <c r="Y1882" s="20"/>
    </row>
    <row r="1883" spans="16:25">
      <c r="P1883" s="19"/>
      <c r="Q1883" s="20"/>
      <c r="R1883" s="25"/>
      <c r="S1883" s="20"/>
      <c r="X1883" s="19"/>
      <c r="Y1883" s="20"/>
    </row>
    <row r="1884" spans="16:25">
      <c r="P1884" s="19"/>
      <c r="Q1884" s="20"/>
      <c r="R1884" s="25"/>
      <c r="S1884" s="20"/>
      <c r="X1884" s="19"/>
      <c r="Y1884" s="20"/>
    </row>
    <row r="1885" spans="16:25">
      <c r="P1885" s="19"/>
      <c r="Q1885" s="20"/>
      <c r="R1885" s="25"/>
      <c r="S1885" s="20"/>
      <c r="X1885" s="19"/>
      <c r="Y1885" s="20"/>
    </row>
    <row r="1886" spans="16:25">
      <c r="P1886" s="19"/>
      <c r="Q1886" s="20"/>
      <c r="R1886" s="25"/>
      <c r="S1886" s="20"/>
      <c r="X1886" s="19"/>
      <c r="Y1886" s="20"/>
    </row>
    <row r="1887" spans="16:25">
      <c r="P1887" s="19"/>
      <c r="Q1887" s="20"/>
      <c r="R1887" s="25"/>
      <c r="S1887" s="20"/>
      <c r="X1887" s="19"/>
      <c r="Y1887" s="20"/>
    </row>
    <row r="1888" spans="16:25">
      <c r="P1888" s="19"/>
      <c r="Q1888" s="20"/>
      <c r="R1888" s="25"/>
      <c r="S1888" s="20"/>
      <c r="X1888" s="19"/>
      <c r="Y1888" s="20"/>
    </row>
    <row r="1889" spans="16:25">
      <c r="P1889" s="19"/>
      <c r="Q1889" s="20"/>
      <c r="R1889" s="25"/>
      <c r="S1889" s="20"/>
      <c r="X1889" s="19"/>
      <c r="Y1889" s="20"/>
    </row>
    <row r="1890" spans="16:25">
      <c r="P1890" s="19"/>
      <c r="Q1890" s="20"/>
      <c r="R1890" s="25"/>
      <c r="S1890" s="20"/>
      <c r="X1890" s="19"/>
      <c r="Y1890" s="20"/>
    </row>
    <row r="1891" spans="16:25">
      <c r="P1891" s="19"/>
      <c r="Q1891" s="20"/>
      <c r="R1891" s="25"/>
      <c r="S1891" s="20"/>
      <c r="X1891" s="19"/>
      <c r="Y1891" s="20"/>
    </row>
    <row r="1892" spans="16:25">
      <c r="P1892" s="19"/>
      <c r="Q1892" s="20"/>
      <c r="R1892" s="25"/>
      <c r="S1892" s="20"/>
      <c r="X1892" s="19"/>
      <c r="Y1892" s="20"/>
    </row>
    <row r="1893" spans="16:25">
      <c r="P1893" s="19"/>
      <c r="Q1893" s="20"/>
      <c r="R1893" s="25"/>
      <c r="S1893" s="20"/>
      <c r="X1893" s="19"/>
      <c r="Y1893" s="20"/>
    </row>
    <row r="1894" spans="16:25">
      <c r="P1894" s="19"/>
      <c r="Q1894" s="20"/>
      <c r="R1894" s="25"/>
      <c r="S1894" s="20"/>
      <c r="X1894" s="19"/>
      <c r="Y1894" s="20"/>
    </row>
    <row r="1895" spans="16:25">
      <c r="P1895" s="19"/>
      <c r="Q1895" s="20"/>
      <c r="R1895" s="25"/>
      <c r="S1895" s="20"/>
      <c r="X1895" s="19"/>
      <c r="Y1895" s="20"/>
    </row>
    <row r="1896" spans="16:25">
      <c r="P1896" s="19"/>
      <c r="Q1896" s="20"/>
      <c r="R1896" s="25"/>
      <c r="S1896" s="20"/>
      <c r="X1896" s="19"/>
      <c r="Y1896" s="20"/>
    </row>
    <row r="1897" spans="16:25">
      <c r="P1897" s="19"/>
      <c r="Q1897" s="20"/>
      <c r="R1897" s="25"/>
      <c r="S1897" s="20"/>
      <c r="X1897" s="19"/>
      <c r="Y1897" s="20"/>
    </row>
    <row r="1898" spans="16:25">
      <c r="P1898" s="19"/>
      <c r="Q1898" s="20"/>
      <c r="R1898" s="25"/>
      <c r="S1898" s="20"/>
      <c r="X1898" s="19"/>
      <c r="Y1898" s="20"/>
    </row>
    <row r="1899" spans="16:25">
      <c r="P1899" s="19"/>
      <c r="Q1899" s="20"/>
      <c r="R1899" s="25"/>
      <c r="S1899" s="20"/>
      <c r="X1899" s="19"/>
      <c r="Y1899" s="20"/>
    </row>
    <row r="1900" spans="16:25">
      <c r="P1900" s="19"/>
      <c r="Q1900" s="20"/>
      <c r="R1900" s="25"/>
      <c r="S1900" s="20"/>
      <c r="X1900" s="19"/>
      <c r="Y1900" s="20"/>
    </row>
    <row r="1901" spans="16:25">
      <c r="P1901" s="19"/>
      <c r="Q1901" s="20"/>
      <c r="R1901" s="25"/>
      <c r="S1901" s="20"/>
      <c r="X1901" s="19"/>
      <c r="Y1901" s="20"/>
    </row>
    <row r="1902" spans="16:25">
      <c r="P1902" s="19"/>
      <c r="Q1902" s="20"/>
      <c r="R1902" s="25"/>
      <c r="S1902" s="20"/>
      <c r="X1902" s="19"/>
      <c r="Y1902" s="20"/>
    </row>
    <row r="1903" spans="16:25">
      <c r="P1903" s="19"/>
      <c r="Q1903" s="20"/>
      <c r="R1903" s="25"/>
      <c r="S1903" s="20"/>
      <c r="X1903" s="19"/>
      <c r="Y1903" s="20"/>
    </row>
    <row r="1904" spans="16:25">
      <c r="P1904" s="19"/>
      <c r="Q1904" s="20"/>
      <c r="R1904" s="25"/>
      <c r="S1904" s="20"/>
      <c r="X1904" s="19"/>
      <c r="Y1904" s="20"/>
    </row>
    <row r="1905" spans="16:25">
      <c r="P1905" s="19"/>
      <c r="Q1905" s="20"/>
      <c r="R1905" s="25"/>
      <c r="S1905" s="20"/>
      <c r="X1905" s="19"/>
      <c r="Y1905" s="20"/>
    </row>
    <row r="1906" spans="16:25">
      <c r="P1906" s="19"/>
      <c r="Q1906" s="20"/>
      <c r="R1906" s="25"/>
      <c r="S1906" s="20"/>
      <c r="X1906" s="19"/>
      <c r="Y1906" s="20"/>
    </row>
    <row r="1907" spans="16:25">
      <c r="P1907" s="19"/>
      <c r="Q1907" s="20"/>
      <c r="R1907" s="25"/>
      <c r="S1907" s="20"/>
      <c r="X1907" s="19"/>
      <c r="Y1907" s="20"/>
    </row>
    <row r="1908" spans="16:25">
      <c r="P1908" s="19"/>
      <c r="Q1908" s="20"/>
      <c r="R1908" s="25"/>
      <c r="S1908" s="20"/>
      <c r="X1908" s="19"/>
      <c r="Y1908" s="20"/>
    </row>
    <row r="1909" spans="16:25">
      <c r="P1909" s="19"/>
      <c r="Q1909" s="20"/>
      <c r="R1909" s="25"/>
      <c r="S1909" s="20"/>
      <c r="X1909" s="19"/>
      <c r="Y1909" s="20"/>
    </row>
    <row r="1910" spans="16:25">
      <c r="P1910" s="19"/>
      <c r="Q1910" s="20"/>
      <c r="R1910" s="25"/>
      <c r="S1910" s="20"/>
      <c r="X1910" s="19"/>
      <c r="Y1910" s="20"/>
    </row>
    <row r="1911" spans="16:25">
      <c r="P1911" s="19"/>
      <c r="Q1911" s="20"/>
      <c r="R1911" s="25"/>
      <c r="S1911" s="20"/>
      <c r="X1911" s="19"/>
      <c r="Y1911" s="20"/>
    </row>
    <row r="1912" spans="16:25">
      <c r="P1912" s="19"/>
      <c r="Q1912" s="20"/>
      <c r="R1912" s="25"/>
      <c r="S1912" s="20"/>
      <c r="X1912" s="19"/>
      <c r="Y1912" s="20"/>
    </row>
    <row r="1913" spans="16:25">
      <c r="P1913" s="19"/>
      <c r="Q1913" s="20"/>
      <c r="R1913" s="25"/>
      <c r="S1913" s="20"/>
      <c r="X1913" s="19"/>
      <c r="Y1913" s="20"/>
    </row>
    <row r="1914" spans="16:25">
      <c r="P1914" s="19"/>
      <c r="Q1914" s="20"/>
      <c r="R1914" s="25"/>
      <c r="S1914" s="20"/>
      <c r="X1914" s="19"/>
      <c r="Y1914" s="20"/>
    </row>
    <row r="1915" spans="16:25">
      <c r="P1915" s="19"/>
      <c r="Q1915" s="20"/>
      <c r="R1915" s="25"/>
      <c r="S1915" s="20"/>
      <c r="X1915" s="19"/>
      <c r="Y1915" s="20"/>
    </row>
    <row r="1916" spans="16:25">
      <c r="P1916" s="19"/>
      <c r="Q1916" s="20"/>
      <c r="R1916" s="25"/>
      <c r="S1916" s="20"/>
      <c r="X1916" s="19"/>
      <c r="Y1916" s="20"/>
    </row>
    <row r="1917" spans="16:25">
      <c r="P1917" s="19"/>
      <c r="Q1917" s="20"/>
      <c r="R1917" s="25"/>
      <c r="S1917" s="20"/>
      <c r="X1917" s="19"/>
      <c r="Y1917" s="20"/>
    </row>
    <row r="1918" spans="16:25">
      <c r="P1918" s="19"/>
      <c r="Q1918" s="20"/>
      <c r="R1918" s="25"/>
      <c r="S1918" s="20"/>
      <c r="X1918" s="19"/>
      <c r="Y1918" s="20"/>
    </row>
    <row r="1919" spans="16:25">
      <c r="P1919" s="19"/>
      <c r="Q1919" s="20"/>
      <c r="R1919" s="25"/>
      <c r="S1919" s="20"/>
      <c r="X1919" s="19"/>
      <c r="Y1919" s="20"/>
    </row>
    <row r="1920" spans="16:25">
      <c r="P1920" s="19"/>
      <c r="Q1920" s="20"/>
      <c r="R1920" s="25"/>
      <c r="S1920" s="20"/>
      <c r="X1920" s="19"/>
      <c r="Y1920" s="20"/>
    </row>
    <row r="1921" spans="16:25">
      <c r="P1921" s="19"/>
      <c r="Q1921" s="20"/>
      <c r="R1921" s="25"/>
      <c r="S1921" s="20"/>
      <c r="X1921" s="19"/>
      <c r="Y1921" s="20"/>
    </row>
    <row r="1922" spans="16:25">
      <c r="P1922" s="19"/>
      <c r="Q1922" s="20"/>
      <c r="R1922" s="25"/>
      <c r="S1922" s="20"/>
      <c r="X1922" s="19"/>
      <c r="Y1922" s="20"/>
    </row>
    <row r="1923" spans="16:25">
      <c r="P1923" s="19"/>
      <c r="Q1923" s="20"/>
      <c r="R1923" s="25"/>
      <c r="S1923" s="20"/>
      <c r="X1923" s="19"/>
      <c r="Y1923" s="20"/>
    </row>
    <row r="1924" spans="16:25">
      <c r="P1924" s="19"/>
      <c r="Q1924" s="20"/>
      <c r="R1924" s="25"/>
      <c r="S1924" s="20"/>
      <c r="X1924" s="19"/>
      <c r="Y1924" s="20"/>
    </row>
    <row r="1925" spans="16:25">
      <c r="P1925" s="19"/>
      <c r="Q1925" s="20"/>
      <c r="R1925" s="25"/>
      <c r="S1925" s="20"/>
      <c r="X1925" s="19"/>
      <c r="Y1925" s="20"/>
    </row>
    <row r="1926" spans="16:25">
      <c r="P1926" s="19"/>
      <c r="Q1926" s="20"/>
      <c r="R1926" s="25"/>
      <c r="S1926" s="20"/>
      <c r="X1926" s="19"/>
      <c r="Y1926" s="20"/>
    </row>
    <row r="1927" spans="16:25">
      <c r="P1927" s="19"/>
      <c r="Q1927" s="20"/>
      <c r="R1927" s="25"/>
      <c r="S1927" s="20"/>
      <c r="X1927" s="19"/>
      <c r="Y1927" s="20"/>
    </row>
    <row r="1928" spans="16:25">
      <c r="P1928" s="19"/>
      <c r="Q1928" s="20"/>
      <c r="R1928" s="25"/>
      <c r="S1928" s="20"/>
      <c r="X1928" s="19"/>
      <c r="Y1928" s="20"/>
    </row>
    <row r="1929" spans="16:25">
      <c r="P1929" s="19"/>
      <c r="Q1929" s="20"/>
      <c r="R1929" s="25"/>
      <c r="S1929" s="20"/>
      <c r="X1929" s="19"/>
      <c r="Y1929" s="20"/>
    </row>
    <row r="1930" spans="16:25">
      <c r="P1930" s="19"/>
      <c r="Q1930" s="20"/>
      <c r="R1930" s="25"/>
      <c r="S1930" s="20"/>
      <c r="X1930" s="19"/>
      <c r="Y1930" s="20"/>
    </row>
    <row r="1931" spans="16:25">
      <c r="P1931" s="19"/>
      <c r="Q1931" s="20"/>
      <c r="R1931" s="25"/>
      <c r="S1931" s="20"/>
      <c r="X1931" s="19"/>
      <c r="Y1931" s="20"/>
    </row>
    <row r="1932" spans="16:25">
      <c r="P1932" s="19"/>
      <c r="Q1932" s="20"/>
      <c r="R1932" s="25"/>
      <c r="S1932" s="20"/>
      <c r="X1932" s="19"/>
      <c r="Y1932" s="20"/>
    </row>
    <row r="1933" spans="16:25">
      <c r="P1933" s="19"/>
      <c r="Q1933" s="20"/>
      <c r="R1933" s="25"/>
      <c r="S1933" s="20"/>
      <c r="X1933" s="19"/>
      <c r="Y1933" s="20"/>
    </row>
    <row r="1934" spans="16:25">
      <c r="P1934" s="19"/>
      <c r="Q1934" s="20"/>
      <c r="R1934" s="25"/>
      <c r="S1934" s="20"/>
      <c r="X1934" s="19"/>
      <c r="Y1934" s="20"/>
    </row>
    <row r="1935" spans="16:25">
      <c r="P1935" s="19"/>
      <c r="Q1935" s="20"/>
      <c r="R1935" s="25"/>
      <c r="S1935" s="20"/>
      <c r="X1935" s="19"/>
      <c r="Y1935" s="20"/>
    </row>
    <row r="1936" spans="16:25">
      <c r="P1936" s="19"/>
      <c r="Q1936" s="20"/>
      <c r="R1936" s="25"/>
      <c r="S1936" s="20"/>
      <c r="X1936" s="19"/>
      <c r="Y1936" s="20"/>
    </row>
    <row r="1937" spans="16:25">
      <c r="P1937" s="19"/>
      <c r="Q1937" s="20"/>
      <c r="R1937" s="25"/>
      <c r="S1937" s="20"/>
      <c r="X1937" s="19"/>
      <c r="Y1937" s="20"/>
    </row>
    <row r="1938" spans="16:25">
      <c r="P1938" s="19"/>
      <c r="Q1938" s="20"/>
      <c r="R1938" s="25"/>
      <c r="S1938" s="20"/>
      <c r="X1938" s="19"/>
      <c r="Y1938" s="20"/>
    </row>
    <row r="1939" spans="16:25">
      <c r="P1939" s="19"/>
      <c r="Q1939" s="20"/>
      <c r="R1939" s="25"/>
      <c r="S1939" s="20"/>
      <c r="X1939" s="19"/>
      <c r="Y1939" s="20"/>
    </row>
    <row r="1940" spans="16:25">
      <c r="P1940" s="19"/>
      <c r="Q1940" s="20"/>
      <c r="R1940" s="25"/>
      <c r="S1940" s="20"/>
      <c r="X1940" s="19"/>
      <c r="Y1940" s="20"/>
    </row>
    <row r="1941" spans="16:25">
      <c r="P1941" s="19"/>
      <c r="Q1941" s="20"/>
      <c r="R1941" s="25"/>
      <c r="S1941" s="20"/>
      <c r="X1941" s="19"/>
      <c r="Y1941" s="20"/>
    </row>
    <row r="1942" spans="16:25">
      <c r="P1942" s="19"/>
      <c r="Q1942" s="20"/>
      <c r="R1942" s="25"/>
      <c r="S1942" s="20"/>
      <c r="X1942" s="19"/>
      <c r="Y1942" s="20"/>
    </row>
    <row r="1943" spans="16:25">
      <c r="P1943" s="19"/>
      <c r="Q1943" s="20"/>
      <c r="R1943" s="25"/>
      <c r="S1943" s="20"/>
      <c r="X1943" s="19"/>
      <c r="Y1943" s="20"/>
    </row>
    <row r="1944" spans="16:25">
      <c r="P1944" s="19"/>
      <c r="Q1944" s="20"/>
      <c r="R1944" s="25"/>
      <c r="S1944" s="20"/>
      <c r="X1944" s="19"/>
      <c r="Y1944" s="20"/>
    </row>
    <row r="1945" spans="16:25">
      <c r="P1945" s="19"/>
      <c r="Q1945" s="20"/>
      <c r="R1945" s="25"/>
      <c r="S1945" s="20"/>
      <c r="X1945" s="19"/>
      <c r="Y1945" s="20"/>
    </row>
    <row r="1946" spans="16:25">
      <c r="P1946" s="19"/>
      <c r="Q1946" s="20"/>
      <c r="R1946" s="25"/>
      <c r="S1946" s="20"/>
      <c r="X1946" s="19"/>
      <c r="Y1946" s="20"/>
    </row>
    <row r="1947" spans="16:25">
      <c r="P1947" s="19"/>
      <c r="Q1947" s="20"/>
      <c r="R1947" s="25"/>
      <c r="S1947" s="20"/>
      <c r="X1947" s="19"/>
      <c r="Y1947" s="20"/>
    </row>
    <row r="1948" spans="16:25">
      <c r="P1948" s="19"/>
      <c r="Q1948" s="20"/>
      <c r="R1948" s="25"/>
      <c r="S1948" s="20"/>
      <c r="X1948" s="19"/>
      <c r="Y1948" s="20"/>
    </row>
    <row r="1949" spans="16:25">
      <c r="P1949" s="19"/>
      <c r="Q1949" s="20"/>
      <c r="R1949" s="25"/>
      <c r="S1949" s="20"/>
      <c r="X1949" s="19"/>
      <c r="Y1949" s="20"/>
    </row>
    <row r="1950" spans="16:25">
      <c r="P1950" s="19"/>
      <c r="Q1950" s="20"/>
      <c r="R1950" s="25"/>
      <c r="S1950" s="20"/>
      <c r="X1950" s="19"/>
      <c r="Y1950" s="20"/>
    </row>
    <row r="1951" spans="16:25">
      <c r="P1951" s="19"/>
      <c r="Q1951" s="20"/>
      <c r="R1951" s="25"/>
      <c r="S1951" s="20"/>
      <c r="X1951" s="19"/>
      <c r="Y1951" s="20"/>
    </row>
    <row r="1952" spans="16:25">
      <c r="P1952" s="19"/>
      <c r="Q1952" s="20"/>
      <c r="R1952" s="25"/>
      <c r="S1952" s="20"/>
      <c r="X1952" s="19"/>
      <c r="Y1952" s="20"/>
    </row>
    <row r="1953" spans="16:25">
      <c r="P1953" s="19"/>
      <c r="Q1953" s="20"/>
      <c r="R1953" s="25"/>
      <c r="S1953" s="20"/>
      <c r="X1953" s="19"/>
      <c r="Y1953" s="20"/>
    </row>
    <row r="1954" spans="16:25">
      <c r="P1954" s="19"/>
      <c r="Q1954" s="20"/>
      <c r="R1954" s="25"/>
      <c r="S1954" s="20"/>
      <c r="X1954" s="19"/>
      <c r="Y1954" s="20"/>
    </row>
    <row r="1955" spans="16:25">
      <c r="P1955" s="19"/>
      <c r="Q1955" s="20"/>
      <c r="R1955" s="25"/>
      <c r="S1955" s="20"/>
      <c r="X1955" s="19"/>
      <c r="Y1955" s="20"/>
    </row>
    <row r="1956" spans="16:25">
      <c r="P1956" s="19"/>
      <c r="Q1956" s="20"/>
      <c r="R1956" s="25"/>
      <c r="S1956" s="20"/>
      <c r="X1956" s="19"/>
      <c r="Y1956" s="20"/>
    </row>
    <row r="1957" spans="16:25">
      <c r="P1957" s="19"/>
      <c r="Q1957" s="20"/>
      <c r="R1957" s="25"/>
      <c r="S1957" s="20"/>
      <c r="X1957" s="19"/>
      <c r="Y1957" s="20"/>
    </row>
    <row r="1958" spans="16:25">
      <c r="P1958" s="19"/>
      <c r="Q1958" s="20"/>
      <c r="R1958" s="25"/>
      <c r="S1958" s="20"/>
      <c r="X1958" s="19"/>
      <c r="Y1958" s="20"/>
    </row>
    <row r="1959" spans="16:25">
      <c r="P1959" s="19"/>
      <c r="Q1959" s="20"/>
      <c r="R1959" s="25"/>
      <c r="S1959" s="20"/>
      <c r="X1959" s="19"/>
      <c r="Y1959" s="20"/>
    </row>
    <row r="1960" spans="16:25">
      <c r="P1960" s="19"/>
      <c r="Q1960" s="20"/>
      <c r="R1960" s="25"/>
      <c r="S1960" s="20"/>
      <c r="X1960" s="19"/>
      <c r="Y1960" s="20"/>
    </row>
    <row r="1961" spans="16:25">
      <c r="P1961" s="19"/>
      <c r="Q1961" s="20"/>
      <c r="R1961" s="25"/>
      <c r="S1961" s="20"/>
      <c r="X1961" s="19"/>
      <c r="Y1961" s="20"/>
    </row>
    <row r="1962" spans="16:25">
      <c r="P1962" s="19"/>
      <c r="Q1962" s="20"/>
      <c r="R1962" s="25"/>
      <c r="S1962" s="20"/>
      <c r="X1962" s="19"/>
      <c r="Y1962" s="20"/>
    </row>
    <row r="1963" spans="16:25">
      <c r="P1963" s="19"/>
      <c r="Q1963" s="20"/>
      <c r="R1963" s="25"/>
      <c r="S1963" s="20"/>
      <c r="X1963" s="19"/>
      <c r="Y1963" s="20"/>
    </row>
    <row r="1964" spans="16:25">
      <c r="P1964" s="19"/>
      <c r="Q1964" s="20"/>
      <c r="R1964" s="25"/>
      <c r="S1964" s="20"/>
      <c r="X1964" s="19"/>
      <c r="Y1964" s="20"/>
    </row>
    <row r="1965" spans="16:25">
      <c r="P1965" s="19"/>
      <c r="Q1965" s="20"/>
      <c r="R1965" s="25"/>
      <c r="S1965" s="20"/>
      <c r="X1965" s="19"/>
      <c r="Y1965" s="20"/>
    </row>
    <row r="1966" spans="16:25">
      <c r="P1966" s="19"/>
      <c r="Q1966" s="20"/>
      <c r="R1966" s="25"/>
      <c r="S1966" s="20"/>
      <c r="X1966" s="19"/>
      <c r="Y1966" s="20"/>
    </row>
    <row r="1967" spans="16:25">
      <c r="P1967" s="19"/>
      <c r="Q1967" s="20"/>
      <c r="R1967" s="25"/>
      <c r="S1967" s="20"/>
      <c r="X1967" s="19"/>
      <c r="Y1967" s="20"/>
    </row>
    <row r="1968" spans="16:25">
      <c r="P1968" s="19"/>
      <c r="Q1968" s="20"/>
      <c r="R1968" s="25"/>
      <c r="S1968" s="20"/>
      <c r="X1968" s="19"/>
      <c r="Y1968" s="20"/>
    </row>
    <row r="1969" spans="16:25">
      <c r="P1969" s="19"/>
      <c r="Q1969" s="20"/>
      <c r="R1969" s="25"/>
      <c r="S1969" s="20"/>
      <c r="X1969" s="19"/>
      <c r="Y1969" s="20"/>
    </row>
    <row r="1970" spans="16:25">
      <c r="P1970" s="19"/>
      <c r="Q1970" s="20"/>
      <c r="R1970" s="25"/>
      <c r="S1970" s="20"/>
      <c r="X1970" s="19"/>
      <c r="Y1970" s="20"/>
    </row>
    <row r="1971" spans="16:25">
      <c r="P1971" s="19"/>
      <c r="Q1971" s="20"/>
      <c r="R1971" s="25"/>
      <c r="S1971" s="20"/>
      <c r="X1971" s="19"/>
      <c r="Y1971" s="20"/>
    </row>
    <row r="1972" spans="16:25">
      <c r="P1972" s="19"/>
      <c r="Q1972" s="20"/>
      <c r="R1972" s="25"/>
      <c r="S1972" s="20"/>
      <c r="X1972" s="19"/>
      <c r="Y1972" s="20"/>
    </row>
    <row r="1973" spans="16:25">
      <c r="P1973" s="19"/>
      <c r="Q1973" s="20"/>
      <c r="R1973" s="25"/>
      <c r="S1973" s="20"/>
      <c r="X1973" s="19"/>
      <c r="Y1973" s="20"/>
    </row>
    <row r="1974" spans="16:25">
      <c r="P1974" s="19"/>
      <c r="Q1974" s="20"/>
      <c r="R1974" s="25"/>
      <c r="S1974" s="20"/>
      <c r="X1974" s="19"/>
      <c r="Y1974" s="20"/>
    </row>
    <row r="1975" spans="16:25">
      <c r="P1975" s="19"/>
      <c r="Q1975" s="20"/>
      <c r="R1975" s="25"/>
      <c r="S1975" s="20"/>
      <c r="X1975" s="19"/>
      <c r="Y1975" s="20"/>
    </row>
    <row r="1976" spans="16:25">
      <c r="P1976" s="19"/>
      <c r="Q1976" s="20"/>
      <c r="R1976" s="25"/>
      <c r="S1976" s="20"/>
      <c r="X1976" s="19"/>
      <c r="Y1976" s="20"/>
    </row>
    <row r="1977" spans="16:25">
      <c r="P1977" s="19"/>
      <c r="Q1977" s="20"/>
      <c r="R1977" s="25"/>
      <c r="S1977" s="20"/>
      <c r="X1977" s="19"/>
      <c r="Y1977" s="20"/>
    </row>
    <row r="1978" spans="16:25">
      <c r="P1978" s="19"/>
      <c r="Q1978" s="20"/>
      <c r="R1978" s="25"/>
      <c r="S1978" s="20"/>
      <c r="X1978" s="19"/>
      <c r="Y1978" s="20"/>
    </row>
    <row r="1979" spans="16:25">
      <c r="P1979" s="19"/>
      <c r="Q1979" s="20"/>
      <c r="R1979" s="25"/>
      <c r="S1979" s="20"/>
      <c r="X1979" s="19"/>
      <c r="Y1979" s="20"/>
    </row>
    <row r="1980" spans="16:25">
      <c r="P1980" s="19"/>
      <c r="Q1980" s="20"/>
      <c r="R1980" s="25"/>
      <c r="S1980" s="20"/>
      <c r="X1980" s="19"/>
      <c r="Y1980" s="20"/>
    </row>
    <row r="1981" spans="16:25">
      <c r="P1981" s="19"/>
      <c r="Q1981" s="20"/>
      <c r="R1981" s="25"/>
      <c r="S1981" s="20"/>
      <c r="X1981" s="19"/>
      <c r="Y1981" s="20"/>
    </row>
    <row r="1982" spans="16:25">
      <c r="P1982" s="19"/>
      <c r="Q1982" s="20"/>
      <c r="R1982" s="25"/>
      <c r="S1982" s="20"/>
      <c r="X1982" s="19"/>
      <c r="Y1982" s="20"/>
    </row>
    <row r="1983" spans="16:25">
      <c r="P1983" s="19"/>
      <c r="Q1983" s="20"/>
      <c r="R1983" s="25"/>
      <c r="S1983" s="20"/>
      <c r="X1983" s="19"/>
      <c r="Y1983" s="20"/>
    </row>
    <row r="1984" spans="16:25">
      <c r="P1984" s="19"/>
      <c r="Q1984" s="20"/>
      <c r="R1984" s="25"/>
      <c r="S1984" s="20"/>
      <c r="X1984" s="19"/>
      <c r="Y1984" s="20"/>
    </row>
    <row r="1985" spans="16:25">
      <c r="P1985" s="19"/>
      <c r="Q1985" s="20"/>
      <c r="R1985" s="25"/>
      <c r="S1985" s="20"/>
      <c r="X1985" s="19"/>
      <c r="Y1985" s="20"/>
    </row>
    <row r="1986" spans="16:25">
      <c r="P1986" s="19"/>
      <c r="Q1986" s="20"/>
      <c r="R1986" s="25"/>
      <c r="S1986" s="20"/>
      <c r="X1986" s="19"/>
      <c r="Y1986" s="20"/>
    </row>
    <row r="1987" spans="16:25">
      <c r="P1987" s="19"/>
      <c r="Q1987" s="20"/>
      <c r="R1987" s="25"/>
      <c r="S1987" s="20"/>
      <c r="X1987" s="19"/>
      <c r="Y1987" s="20"/>
    </row>
    <row r="1988" spans="16:25">
      <c r="P1988" s="19"/>
      <c r="Q1988" s="20"/>
      <c r="R1988" s="25"/>
      <c r="S1988" s="20"/>
      <c r="X1988" s="19"/>
      <c r="Y1988" s="20"/>
    </row>
    <row r="1989" spans="16:25">
      <c r="P1989" s="19"/>
      <c r="Q1989" s="20"/>
      <c r="R1989" s="25"/>
      <c r="S1989" s="20"/>
      <c r="X1989" s="19"/>
      <c r="Y1989" s="20"/>
    </row>
    <row r="1990" spans="16:25">
      <c r="P1990" s="19"/>
      <c r="Q1990" s="20"/>
      <c r="R1990" s="25"/>
      <c r="S1990" s="20"/>
      <c r="X1990" s="19"/>
      <c r="Y1990" s="20"/>
    </row>
    <row r="1991" spans="16:25">
      <c r="P1991" s="19"/>
      <c r="Q1991" s="20"/>
      <c r="R1991" s="25"/>
      <c r="S1991" s="20"/>
      <c r="X1991" s="19"/>
      <c r="Y1991" s="20"/>
    </row>
    <row r="1992" spans="16:25">
      <c r="P1992" s="19"/>
      <c r="Q1992" s="20"/>
      <c r="R1992" s="25"/>
      <c r="S1992" s="20"/>
      <c r="X1992" s="19"/>
      <c r="Y1992" s="20"/>
    </row>
    <row r="1993" spans="16:25">
      <c r="P1993" s="19"/>
      <c r="Q1993" s="20"/>
      <c r="R1993" s="25"/>
      <c r="S1993" s="20"/>
      <c r="X1993" s="19"/>
      <c r="Y1993" s="20"/>
    </row>
    <row r="1994" spans="16:25">
      <c r="P1994" s="19"/>
      <c r="Q1994" s="20"/>
      <c r="R1994" s="25"/>
      <c r="S1994" s="20"/>
      <c r="X1994" s="19"/>
      <c r="Y1994" s="20"/>
    </row>
    <row r="1995" spans="16:25">
      <c r="P1995" s="19"/>
      <c r="Q1995" s="20"/>
      <c r="R1995" s="25"/>
      <c r="S1995" s="20"/>
      <c r="X1995" s="19"/>
      <c r="Y1995" s="20"/>
    </row>
    <row r="1996" spans="16:25">
      <c r="P1996" s="19"/>
      <c r="Q1996" s="20"/>
      <c r="R1996" s="25"/>
      <c r="S1996" s="20"/>
      <c r="X1996" s="19"/>
      <c r="Y1996" s="20"/>
    </row>
    <row r="1997" spans="16:25">
      <c r="P1997" s="19"/>
      <c r="Q1997" s="20"/>
      <c r="R1997" s="25"/>
      <c r="S1997" s="20"/>
      <c r="X1997" s="19"/>
      <c r="Y1997" s="20"/>
    </row>
    <row r="1998" spans="16:25">
      <c r="P1998" s="19"/>
      <c r="Q1998" s="20"/>
      <c r="R1998" s="25"/>
      <c r="S1998" s="20"/>
      <c r="X1998" s="19"/>
      <c r="Y1998" s="20"/>
    </row>
    <row r="1999" spans="16:25">
      <c r="P1999" s="19"/>
      <c r="Q1999" s="20"/>
      <c r="R1999" s="25"/>
      <c r="S1999" s="20"/>
      <c r="X1999" s="19"/>
      <c r="Y1999" s="20"/>
    </row>
    <row r="2000" spans="16:25">
      <c r="P2000" s="19"/>
      <c r="Q2000" s="20"/>
      <c r="R2000" s="25"/>
      <c r="S2000" s="20"/>
      <c r="X2000" s="19"/>
      <c r="Y2000" s="20"/>
    </row>
    <row r="2001" spans="16:25">
      <c r="P2001" s="19"/>
      <c r="Q2001" s="20"/>
      <c r="R2001" s="25"/>
      <c r="S2001" s="20"/>
      <c r="X2001" s="19"/>
      <c r="Y2001" s="20"/>
    </row>
    <row r="2002" spans="16:25">
      <c r="P2002" s="19"/>
      <c r="Q2002" s="20"/>
      <c r="R2002" s="25"/>
      <c r="S2002" s="20"/>
      <c r="X2002" s="19"/>
      <c r="Y2002" s="20"/>
    </row>
    <row r="2003" spans="16:25">
      <c r="P2003" s="19"/>
      <c r="Q2003" s="20"/>
      <c r="R2003" s="25"/>
      <c r="S2003" s="20"/>
      <c r="X2003" s="19"/>
      <c r="Y2003" s="20"/>
    </row>
    <row r="2004" spans="16:25">
      <c r="P2004" s="19"/>
      <c r="Q2004" s="20"/>
      <c r="R2004" s="25"/>
      <c r="S2004" s="20"/>
      <c r="X2004" s="19"/>
      <c r="Y2004" s="20"/>
    </row>
    <row r="2005" spans="16:25">
      <c r="P2005" s="19"/>
      <c r="Q2005" s="20"/>
      <c r="R2005" s="25"/>
      <c r="S2005" s="20"/>
      <c r="X2005" s="19"/>
      <c r="Y2005" s="20"/>
    </row>
    <row r="2006" spans="16:25">
      <c r="P2006" s="19"/>
      <c r="Q2006" s="20"/>
      <c r="R2006" s="25"/>
      <c r="S2006" s="20"/>
      <c r="X2006" s="19"/>
      <c r="Y2006" s="20"/>
    </row>
    <row r="2007" spans="16:25">
      <c r="P2007" s="19"/>
      <c r="Q2007" s="20"/>
      <c r="R2007" s="25"/>
      <c r="S2007" s="20"/>
      <c r="X2007" s="19"/>
      <c r="Y2007" s="20"/>
    </row>
    <row r="2008" spans="16:25">
      <c r="P2008" s="19"/>
      <c r="Q2008" s="20"/>
      <c r="R2008" s="25"/>
      <c r="S2008" s="20"/>
      <c r="X2008" s="19"/>
      <c r="Y2008" s="20"/>
    </row>
    <row r="2009" spans="16:25">
      <c r="P2009" s="19"/>
      <c r="Q2009" s="20"/>
      <c r="R2009" s="25"/>
      <c r="S2009" s="20"/>
      <c r="X2009" s="19"/>
      <c r="Y2009" s="20"/>
    </row>
    <row r="2010" spans="16:25">
      <c r="P2010" s="19"/>
      <c r="Q2010" s="20"/>
      <c r="R2010" s="25"/>
      <c r="S2010" s="20"/>
      <c r="X2010" s="19"/>
      <c r="Y2010" s="20"/>
    </row>
    <row r="2011" spans="16:25">
      <c r="P2011" s="19"/>
      <c r="Q2011" s="20"/>
      <c r="R2011" s="25"/>
      <c r="S2011" s="20"/>
      <c r="X2011" s="19"/>
      <c r="Y2011" s="20"/>
    </row>
    <row r="2012" spans="16:25">
      <c r="P2012" s="19"/>
      <c r="Q2012" s="20"/>
      <c r="R2012" s="25"/>
      <c r="S2012" s="20"/>
      <c r="X2012" s="19"/>
      <c r="Y2012" s="20"/>
    </row>
    <row r="2013" spans="16:25">
      <c r="P2013" s="19"/>
      <c r="Q2013" s="20"/>
      <c r="R2013" s="25"/>
      <c r="S2013" s="20"/>
      <c r="X2013" s="19"/>
      <c r="Y2013" s="20"/>
    </row>
    <row r="2014" spans="16:25">
      <c r="P2014" s="19"/>
      <c r="Q2014" s="20"/>
      <c r="R2014" s="25"/>
      <c r="S2014" s="20"/>
      <c r="X2014" s="19"/>
      <c r="Y2014" s="20"/>
    </row>
    <row r="2015" spans="16:25">
      <c r="P2015" s="19"/>
      <c r="Q2015" s="20"/>
      <c r="R2015" s="25"/>
      <c r="S2015" s="20"/>
      <c r="X2015" s="19"/>
      <c r="Y2015" s="20"/>
    </row>
    <row r="2016" spans="16:25">
      <c r="P2016" s="19"/>
      <c r="Q2016" s="20"/>
      <c r="R2016" s="25"/>
      <c r="S2016" s="20"/>
      <c r="X2016" s="19"/>
      <c r="Y2016" s="20"/>
    </row>
    <row r="2017" spans="16:25">
      <c r="P2017" s="19"/>
      <c r="Q2017" s="20"/>
      <c r="R2017" s="25"/>
      <c r="S2017" s="20"/>
      <c r="X2017" s="19"/>
      <c r="Y2017" s="20"/>
    </row>
    <row r="2018" spans="16:25">
      <c r="P2018" s="19"/>
      <c r="Q2018" s="20"/>
      <c r="R2018" s="25"/>
      <c r="S2018" s="20"/>
      <c r="X2018" s="19"/>
      <c r="Y2018" s="20"/>
    </row>
    <row r="2019" spans="16:25">
      <c r="P2019" s="19"/>
      <c r="Q2019" s="20"/>
      <c r="R2019" s="25"/>
      <c r="S2019" s="20"/>
      <c r="X2019" s="19"/>
      <c r="Y2019" s="20"/>
    </row>
    <row r="2020" spans="16:25">
      <c r="P2020" s="19"/>
      <c r="Q2020" s="20"/>
      <c r="R2020" s="25"/>
      <c r="S2020" s="20"/>
      <c r="X2020" s="19"/>
      <c r="Y2020" s="20"/>
    </row>
    <row r="2021" spans="16:25">
      <c r="P2021" s="19"/>
      <c r="Q2021" s="20"/>
      <c r="R2021" s="25"/>
      <c r="S2021" s="20"/>
      <c r="X2021" s="19"/>
      <c r="Y2021" s="20"/>
    </row>
    <row r="2022" spans="16:25">
      <c r="P2022" s="19"/>
      <c r="Q2022" s="20"/>
      <c r="R2022" s="25"/>
      <c r="S2022" s="20"/>
      <c r="X2022" s="19"/>
      <c r="Y2022" s="20"/>
    </row>
    <row r="2023" spans="16:25">
      <c r="P2023" s="19"/>
      <c r="Q2023" s="20"/>
      <c r="R2023" s="25"/>
      <c r="S2023" s="20"/>
      <c r="X2023" s="19"/>
      <c r="Y2023" s="20"/>
    </row>
    <row r="2024" spans="16:25">
      <c r="P2024" s="19"/>
      <c r="Q2024" s="20"/>
      <c r="R2024" s="25"/>
      <c r="S2024" s="20"/>
      <c r="X2024" s="19"/>
      <c r="Y2024" s="20"/>
    </row>
    <row r="2025" spans="16:25">
      <c r="P2025" s="19"/>
      <c r="Q2025" s="20"/>
      <c r="R2025" s="25"/>
      <c r="S2025" s="20"/>
      <c r="X2025" s="19"/>
      <c r="Y2025" s="20"/>
    </row>
    <row r="2026" spans="16:25">
      <c r="P2026" s="19"/>
      <c r="Q2026" s="20"/>
      <c r="R2026" s="25"/>
      <c r="S2026" s="20"/>
      <c r="X2026" s="19"/>
      <c r="Y2026" s="20"/>
    </row>
    <row r="2027" spans="16:25">
      <c r="P2027" s="19"/>
      <c r="Q2027" s="20"/>
      <c r="R2027" s="25"/>
      <c r="S2027" s="20"/>
      <c r="X2027" s="19"/>
      <c r="Y2027" s="20"/>
    </row>
    <row r="2028" spans="16:25">
      <c r="P2028" s="19"/>
      <c r="Q2028" s="20"/>
      <c r="R2028" s="25"/>
      <c r="S2028" s="20"/>
      <c r="X2028" s="19"/>
      <c r="Y2028" s="20"/>
    </row>
    <row r="2029" spans="16:25">
      <c r="P2029" s="19"/>
      <c r="Q2029" s="20"/>
      <c r="R2029" s="25"/>
      <c r="S2029" s="20"/>
      <c r="X2029" s="19"/>
      <c r="Y2029" s="20"/>
    </row>
    <row r="2030" spans="16:25">
      <c r="P2030" s="19"/>
      <c r="Q2030" s="20"/>
      <c r="R2030" s="25"/>
      <c r="S2030" s="20"/>
      <c r="X2030" s="19"/>
      <c r="Y2030" s="20"/>
    </row>
    <row r="2031" spans="16:25">
      <c r="P2031" s="19"/>
      <c r="Q2031" s="20"/>
      <c r="R2031" s="25"/>
      <c r="S2031" s="20"/>
      <c r="X2031" s="19"/>
      <c r="Y2031" s="20"/>
    </row>
    <row r="2032" spans="16:25">
      <c r="P2032" s="19"/>
      <c r="Q2032" s="20"/>
      <c r="R2032" s="25"/>
      <c r="S2032" s="20"/>
      <c r="X2032" s="19"/>
      <c r="Y2032" s="20"/>
    </row>
    <row r="2033" spans="16:25">
      <c r="P2033" s="19"/>
      <c r="Q2033" s="20"/>
      <c r="R2033" s="25"/>
      <c r="S2033" s="20"/>
      <c r="X2033" s="19"/>
      <c r="Y2033" s="20"/>
    </row>
    <row r="2034" spans="16:25">
      <c r="P2034" s="19"/>
      <c r="Q2034" s="20"/>
      <c r="R2034" s="25"/>
      <c r="S2034" s="20"/>
      <c r="X2034" s="19"/>
      <c r="Y2034" s="20"/>
    </row>
    <row r="2035" spans="16:25">
      <c r="P2035" s="19"/>
      <c r="Q2035" s="20"/>
      <c r="R2035" s="25"/>
      <c r="S2035" s="20"/>
      <c r="X2035" s="19"/>
      <c r="Y2035" s="20"/>
    </row>
    <row r="2036" spans="16:25">
      <c r="P2036" s="19"/>
      <c r="Q2036" s="20"/>
      <c r="R2036" s="25"/>
      <c r="S2036" s="20"/>
      <c r="X2036" s="19"/>
      <c r="Y2036" s="20"/>
    </row>
    <row r="2037" spans="16:25">
      <c r="P2037" s="19"/>
      <c r="Q2037" s="20"/>
      <c r="R2037" s="25"/>
      <c r="S2037" s="20"/>
      <c r="X2037" s="19"/>
      <c r="Y2037" s="20"/>
    </row>
    <row r="2038" spans="16:25">
      <c r="P2038" s="19"/>
      <c r="Q2038" s="20"/>
      <c r="R2038" s="25"/>
      <c r="S2038" s="20"/>
      <c r="X2038" s="19"/>
      <c r="Y2038" s="20"/>
    </row>
    <row r="2039" spans="16:25">
      <c r="P2039" s="19"/>
      <c r="Q2039" s="20"/>
      <c r="R2039" s="25"/>
      <c r="S2039" s="20"/>
      <c r="X2039" s="19"/>
      <c r="Y2039" s="20"/>
    </row>
    <row r="2040" spans="16:25">
      <c r="P2040" s="19"/>
      <c r="Q2040" s="20"/>
      <c r="R2040" s="25"/>
      <c r="S2040" s="20"/>
      <c r="X2040" s="19"/>
      <c r="Y2040" s="20"/>
    </row>
    <row r="2041" spans="16:25">
      <c r="P2041" s="19"/>
      <c r="Q2041" s="20"/>
      <c r="R2041" s="25"/>
      <c r="S2041" s="20"/>
      <c r="X2041" s="19"/>
      <c r="Y2041" s="20"/>
    </row>
    <row r="2042" spans="16:25">
      <c r="P2042" s="19"/>
      <c r="Q2042" s="20"/>
      <c r="R2042" s="25"/>
      <c r="S2042" s="20"/>
      <c r="X2042" s="19"/>
      <c r="Y2042" s="20"/>
    </row>
    <row r="2043" spans="16:25">
      <c r="P2043" s="19"/>
      <c r="Q2043" s="20"/>
      <c r="R2043" s="25"/>
      <c r="S2043" s="20"/>
      <c r="X2043" s="19"/>
      <c r="Y2043" s="20"/>
    </row>
    <row r="2044" spans="16:25">
      <c r="P2044" s="19"/>
      <c r="Q2044" s="20"/>
      <c r="R2044" s="25"/>
      <c r="S2044" s="20"/>
      <c r="X2044" s="19"/>
      <c r="Y2044" s="20"/>
    </row>
    <row r="2045" spans="16:25">
      <c r="P2045" s="19"/>
      <c r="Q2045" s="20"/>
      <c r="R2045" s="25"/>
      <c r="S2045" s="20"/>
      <c r="X2045" s="19"/>
      <c r="Y2045" s="20"/>
    </row>
    <row r="2046" spans="16:25">
      <c r="P2046" s="19"/>
      <c r="Q2046" s="20"/>
      <c r="R2046" s="25"/>
      <c r="S2046" s="20"/>
      <c r="X2046" s="19"/>
      <c r="Y2046" s="20"/>
    </row>
    <row r="2047" spans="16:25">
      <c r="P2047" s="19"/>
      <c r="Q2047" s="20"/>
      <c r="R2047" s="25"/>
      <c r="S2047" s="20"/>
      <c r="X2047" s="19"/>
      <c r="Y2047" s="20"/>
    </row>
    <row r="2048" spans="16:25">
      <c r="P2048" s="19"/>
      <c r="Q2048" s="20"/>
      <c r="R2048" s="25"/>
      <c r="S2048" s="20"/>
      <c r="X2048" s="19"/>
      <c r="Y2048" s="20"/>
    </row>
    <row r="2049" spans="16:25">
      <c r="P2049" s="19"/>
      <c r="Q2049" s="20"/>
      <c r="R2049" s="25"/>
      <c r="S2049" s="20"/>
      <c r="X2049" s="19"/>
      <c r="Y2049" s="20"/>
    </row>
    <row r="2050" spans="16:25">
      <c r="P2050" s="19"/>
      <c r="Q2050" s="20"/>
      <c r="R2050" s="25"/>
      <c r="S2050" s="20"/>
      <c r="X2050" s="19"/>
      <c r="Y2050" s="20"/>
    </row>
    <row r="2051" spans="16:25">
      <c r="P2051" s="19"/>
      <c r="Q2051" s="20"/>
      <c r="R2051" s="25"/>
      <c r="S2051" s="20"/>
      <c r="X2051" s="19"/>
      <c r="Y2051" s="20"/>
    </row>
    <row r="2052" spans="16:25">
      <c r="P2052" s="19"/>
      <c r="Q2052" s="20"/>
      <c r="R2052" s="25"/>
      <c r="S2052" s="20"/>
      <c r="X2052" s="19"/>
      <c r="Y2052" s="20"/>
    </row>
    <row r="2053" spans="16:25">
      <c r="P2053" s="19"/>
      <c r="Q2053" s="20"/>
      <c r="R2053" s="25"/>
      <c r="S2053" s="20"/>
      <c r="X2053" s="19"/>
      <c r="Y2053" s="20"/>
    </row>
    <row r="2054" spans="16:25">
      <c r="P2054" s="19"/>
      <c r="Q2054" s="20"/>
      <c r="R2054" s="25"/>
      <c r="S2054" s="20"/>
      <c r="X2054" s="19"/>
      <c r="Y2054" s="20"/>
    </row>
    <row r="2055" spans="16:25">
      <c r="P2055" s="19"/>
      <c r="Q2055" s="20"/>
      <c r="R2055" s="25"/>
      <c r="S2055" s="20"/>
      <c r="X2055" s="19"/>
      <c r="Y2055" s="20"/>
    </row>
    <row r="2056" spans="16:25">
      <c r="P2056" s="19"/>
      <c r="Q2056" s="20"/>
      <c r="R2056" s="25"/>
      <c r="S2056" s="20"/>
      <c r="X2056" s="19"/>
      <c r="Y2056" s="20"/>
    </row>
    <row r="2057" spans="16:25">
      <c r="P2057" s="19"/>
      <c r="Q2057" s="20"/>
      <c r="R2057" s="25"/>
      <c r="S2057" s="20"/>
      <c r="X2057" s="19"/>
      <c r="Y2057" s="20"/>
    </row>
    <row r="2058" spans="16:25">
      <c r="P2058" s="19"/>
      <c r="Q2058" s="20"/>
      <c r="R2058" s="25"/>
      <c r="S2058" s="20"/>
      <c r="X2058" s="19"/>
      <c r="Y2058" s="20"/>
    </row>
    <row r="2059" spans="16:25">
      <c r="P2059" s="19"/>
      <c r="Q2059" s="20"/>
      <c r="R2059" s="25"/>
      <c r="S2059" s="20"/>
      <c r="X2059" s="19"/>
      <c r="Y2059" s="20"/>
    </row>
    <row r="2060" spans="16:25">
      <c r="P2060" s="19"/>
      <c r="Q2060" s="20"/>
      <c r="R2060" s="25"/>
      <c r="S2060" s="20"/>
      <c r="X2060" s="19"/>
      <c r="Y2060" s="20"/>
    </row>
    <row r="2061" spans="16:25">
      <c r="P2061" s="19"/>
      <c r="Q2061" s="20"/>
      <c r="R2061" s="25"/>
      <c r="S2061" s="20"/>
      <c r="X2061" s="19"/>
      <c r="Y2061" s="20"/>
    </row>
    <row r="2062" spans="16:25">
      <c r="P2062" s="19"/>
      <c r="Q2062" s="20"/>
      <c r="R2062" s="25"/>
      <c r="S2062" s="20"/>
      <c r="X2062" s="19"/>
      <c r="Y2062" s="20"/>
    </row>
    <row r="2063" spans="16:25">
      <c r="P2063" s="19"/>
      <c r="Q2063" s="20"/>
      <c r="R2063" s="25"/>
      <c r="S2063" s="20"/>
      <c r="X2063" s="19"/>
      <c r="Y2063" s="20"/>
    </row>
    <row r="2064" spans="16:25">
      <c r="P2064" s="19"/>
      <c r="Q2064" s="20"/>
      <c r="R2064" s="25"/>
      <c r="S2064" s="20"/>
      <c r="X2064" s="19"/>
      <c r="Y2064" s="20"/>
    </row>
    <row r="2065" spans="16:25">
      <c r="P2065" s="19"/>
      <c r="Q2065" s="20"/>
      <c r="R2065" s="25"/>
      <c r="S2065" s="20"/>
      <c r="X2065" s="19"/>
      <c r="Y2065" s="20"/>
    </row>
    <row r="2066" spans="16:25">
      <c r="P2066" s="19"/>
      <c r="Q2066" s="20"/>
      <c r="R2066" s="25"/>
      <c r="S2066" s="20"/>
      <c r="X2066" s="19"/>
      <c r="Y2066" s="20"/>
    </row>
    <row r="2067" spans="16:25">
      <c r="P2067" s="19"/>
      <c r="Q2067" s="20"/>
      <c r="R2067" s="25"/>
      <c r="S2067" s="20"/>
      <c r="X2067" s="19"/>
      <c r="Y2067" s="20"/>
    </row>
    <row r="2068" spans="16:25">
      <c r="P2068" s="19"/>
      <c r="Q2068" s="20"/>
      <c r="R2068" s="25"/>
      <c r="S2068" s="20"/>
      <c r="X2068" s="19"/>
      <c r="Y2068" s="20"/>
    </row>
    <row r="2069" spans="16:25">
      <c r="P2069" s="19"/>
      <c r="Q2069" s="20"/>
      <c r="R2069" s="25"/>
      <c r="S2069" s="20"/>
      <c r="X2069" s="19"/>
      <c r="Y2069" s="20"/>
    </row>
    <row r="2070" spans="16:25">
      <c r="P2070" s="19"/>
      <c r="Q2070" s="20"/>
      <c r="R2070" s="25"/>
      <c r="S2070" s="20"/>
      <c r="X2070" s="19"/>
      <c r="Y2070" s="20"/>
    </row>
    <row r="2071" spans="16:25">
      <c r="P2071" s="19"/>
      <c r="Q2071" s="20"/>
      <c r="R2071" s="25"/>
      <c r="S2071" s="20"/>
      <c r="X2071" s="19"/>
      <c r="Y2071" s="20"/>
    </row>
    <row r="2072" spans="16:25">
      <c r="P2072" s="19"/>
      <c r="Q2072" s="20"/>
      <c r="R2072" s="25"/>
      <c r="S2072" s="20"/>
      <c r="X2072" s="19"/>
      <c r="Y2072" s="20"/>
    </row>
    <row r="2073" spans="16:25">
      <c r="P2073" s="19"/>
      <c r="Q2073" s="20"/>
      <c r="R2073" s="25"/>
      <c r="S2073" s="20"/>
      <c r="X2073" s="19"/>
      <c r="Y2073" s="20"/>
    </row>
    <row r="2074" spans="16:25">
      <c r="P2074" s="19"/>
      <c r="Q2074" s="20"/>
      <c r="R2074" s="25"/>
      <c r="S2074" s="20"/>
      <c r="X2074" s="19"/>
      <c r="Y2074" s="20"/>
    </row>
    <row r="2075" spans="16:25">
      <c r="P2075" s="19"/>
      <c r="Q2075" s="20"/>
      <c r="R2075" s="25"/>
      <c r="S2075" s="20"/>
      <c r="X2075" s="19"/>
      <c r="Y2075" s="20"/>
    </row>
    <row r="2076" spans="16:25">
      <c r="P2076" s="19"/>
      <c r="Q2076" s="20"/>
      <c r="R2076" s="25"/>
      <c r="S2076" s="20"/>
      <c r="X2076" s="19"/>
      <c r="Y2076" s="20"/>
    </row>
    <row r="2077" spans="16:25">
      <c r="P2077" s="19"/>
      <c r="Q2077" s="20"/>
      <c r="R2077" s="25"/>
      <c r="S2077" s="20"/>
      <c r="X2077" s="19"/>
      <c r="Y2077" s="20"/>
    </row>
    <row r="2078" spans="16:25">
      <c r="P2078" s="19"/>
      <c r="Q2078" s="20"/>
      <c r="R2078" s="25"/>
      <c r="S2078" s="20"/>
      <c r="X2078" s="19"/>
      <c r="Y2078" s="20"/>
    </row>
    <row r="2079" spans="16:25">
      <c r="P2079" s="19"/>
      <c r="Q2079" s="20"/>
      <c r="R2079" s="25"/>
      <c r="S2079" s="20"/>
      <c r="X2079" s="19"/>
      <c r="Y2079" s="20"/>
    </row>
    <row r="2080" spans="16:25">
      <c r="P2080" s="19"/>
      <c r="Q2080" s="20"/>
      <c r="R2080" s="25"/>
      <c r="S2080" s="20"/>
      <c r="X2080" s="19"/>
      <c r="Y2080" s="20"/>
    </row>
    <row r="2081" spans="16:25">
      <c r="P2081" s="19"/>
      <c r="Q2081" s="20"/>
      <c r="R2081" s="25"/>
      <c r="S2081" s="20"/>
      <c r="X2081" s="19"/>
      <c r="Y2081" s="20"/>
    </row>
    <row r="2082" spans="16:25">
      <c r="P2082" s="19"/>
      <c r="Q2082" s="20"/>
      <c r="R2082" s="25"/>
      <c r="S2082" s="20"/>
      <c r="X2082" s="19"/>
      <c r="Y2082" s="20"/>
    </row>
    <row r="2083" spans="16:25">
      <c r="P2083" s="19"/>
      <c r="Q2083" s="20"/>
      <c r="R2083" s="25"/>
      <c r="S2083" s="20"/>
      <c r="X2083" s="19"/>
      <c r="Y2083" s="20"/>
    </row>
    <row r="2084" spans="16:25">
      <c r="P2084" s="19"/>
      <c r="Q2084" s="20"/>
      <c r="R2084" s="25"/>
      <c r="S2084" s="20"/>
      <c r="X2084" s="19"/>
      <c r="Y2084" s="20"/>
    </row>
    <row r="2085" spans="16:25">
      <c r="P2085" s="19"/>
      <c r="Q2085" s="20"/>
      <c r="R2085" s="25"/>
      <c r="S2085" s="20"/>
      <c r="X2085" s="19"/>
      <c r="Y2085" s="20"/>
    </row>
    <row r="2086" spans="16:25">
      <c r="P2086" s="19"/>
      <c r="Q2086" s="20"/>
      <c r="R2086" s="25"/>
      <c r="S2086" s="20"/>
      <c r="X2086" s="19"/>
      <c r="Y2086" s="20"/>
    </row>
    <row r="2087" spans="16:25">
      <c r="P2087" s="19"/>
      <c r="Q2087" s="20"/>
      <c r="R2087" s="25"/>
      <c r="S2087" s="20"/>
      <c r="X2087" s="19"/>
      <c r="Y2087" s="20"/>
    </row>
    <row r="2088" spans="16:25">
      <c r="P2088" s="19"/>
      <c r="Q2088" s="20"/>
      <c r="R2088" s="25"/>
      <c r="S2088" s="20"/>
      <c r="X2088" s="19"/>
      <c r="Y2088" s="20"/>
    </row>
    <row r="2089" spans="16:25">
      <c r="P2089" s="19"/>
      <c r="Q2089" s="20"/>
      <c r="R2089" s="25"/>
      <c r="S2089" s="20"/>
      <c r="X2089" s="19"/>
      <c r="Y2089" s="20"/>
    </row>
    <row r="2090" spans="16:25">
      <c r="P2090" s="19"/>
      <c r="Q2090" s="20"/>
      <c r="R2090" s="25"/>
      <c r="S2090" s="20"/>
      <c r="X2090" s="19"/>
      <c r="Y2090" s="20"/>
    </row>
    <row r="2091" spans="16:25">
      <c r="P2091" s="19"/>
      <c r="Q2091" s="20"/>
      <c r="R2091" s="25"/>
      <c r="S2091" s="20"/>
      <c r="X2091" s="19"/>
      <c r="Y2091" s="20"/>
    </row>
    <row r="2092" spans="16:25">
      <c r="P2092" s="19"/>
      <c r="Q2092" s="20"/>
      <c r="R2092" s="25"/>
      <c r="S2092" s="20"/>
      <c r="X2092" s="19"/>
      <c r="Y2092" s="20"/>
    </row>
    <row r="2093" spans="16:25">
      <c r="P2093" s="19"/>
      <c r="Q2093" s="20"/>
      <c r="R2093" s="25"/>
      <c r="S2093" s="20"/>
      <c r="X2093" s="19"/>
      <c r="Y2093" s="20"/>
    </row>
    <row r="2094" spans="16:25">
      <c r="P2094" s="19"/>
      <c r="Q2094" s="20"/>
      <c r="R2094" s="25"/>
      <c r="S2094" s="20"/>
      <c r="X2094" s="19"/>
      <c r="Y2094" s="20"/>
    </row>
    <row r="2095" spans="16:25">
      <c r="P2095" s="19"/>
      <c r="Q2095" s="20"/>
      <c r="R2095" s="25"/>
      <c r="S2095" s="20"/>
      <c r="X2095" s="19"/>
      <c r="Y2095" s="20"/>
    </row>
    <row r="2096" spans="16:25">
      <c r="P2096" s="19"/>
      <c r="Q2096" s="20"/>
      <c r="R2096" s="25"/>
      <c r="S2096" s="20"/>
      <c r="X2096" s="19"/>
      <c r="Y2096" s="20"/>
    </row>
    <row r="2097" spans="16:25">
      <c r="P2097" s="19"/>
      <c r="Q2097" s="20"/>
      <c r="R2097" s="25"/>
      <c r="S2097" s="20"/>
      <c r="X2097" s="19"/>
      <c r="Y2097" s="20"/>
    </row>
    <row r="2098" spans="16:25">
      <c r="P2098" s="19"/>
      <c r="Q2098" s="20"/>
      <c r="R2098" s="25"/>
      <c r="S2098" s="20"/>
      <c r="X2098" s="19"/>
      <c r="Y2098" s="20"/>
    </row>
    <row r="2099" spans="16:25">
      <c r="P2099" s="19"/>
      <c r="Q2099" s="20"/>
      <c r="R2099" s="25"/>
      <c r="S2099" s="20"/>
      <c r="X2099" s="19"/>
      <c r="Y2099" s="20"/>
    </row>
    <row r="2100" spans="16:25">
      <c r="P2100" s="19"/>
      <c r="Q2100" s="20"/>
      <c r="R2100" s="25"/>
      <c r="S2100" s="20"/>
      <c r="X2100" s="19"/>
      <c r="Y2100" s="20"/>
    </row>
    <row r="2101" spans="16:25">
      <c r="P2101" s="19"/>
      <c r="Q2101" s="20"/>
      <c r="R2101" s="25"/>
      <c r="S2101" s="20"/>
      <c r="X2101" s="19"/>
      <c r="Y2101" s="20"/>
    </row>
    <row r="2102" spans="16:25">
      <c r="P2102" s="19"/>
      <c r="Q2102" s="20"/>
      <c r="R2102" s="25"/>
      <c r="S2102" s="20"/>
      <c r="X2102" s="19"/>
      <c r="Y2102" s="20"/>
    </row>
    <row r="2103" spans="16:25">
      <c r="P2103" s="19"/>
      <c r="Q2103" s="20"/>
      <c r="R2103" s="25"/>
      <c r="S2103" s="20"/>
      <c r="X2103" s="19"/>
      <c r="Y2103" s="20"/>
    </row>
    <row r="2104" spans="16:25">
      <c r="P2104" s="19"/>
      <c r="Q2104" s="20"/>
      <c r="R2104" s="25"/>
      <c r="S2104" s="20"/>
      <c r="X2104" s="19"/>
      <c r="Y2104" s="20"/>
    </row>
    <row r="2105" spans="16:25">
      <c r="P2105" s="19"/>
      <c r="Q2105" s="20"/>
      <c r="R2105" s="25"/>
      <c r="S2105" s="20"/>
      <c r="X2105" s="19"/>
      <c r="Y2105" s="20"/>
    </row>
    <row r="2106" spans="16:25">
      <c r="P2106" s="19"/>
      <c r="Q2106" s="20"/>
      <c r="R2106" s="25"/>
      <c r="S2106" s="20"/>
      <c r="X2106" s="19"/>
      <c r="Y2106" s="20"/>
    </row>
    <row r="2107" spans="16:25">
      <c r="P2107" s="19"/>
      <c r="Q2107" s="20"/>
      <c r="R2107" s="25"/>
      <c r="S2107" s="20"/>
      <c r="X2107" s="19"/>
      <c r="Y2107" s="20"/>
    </row>
    <row r="2108" spans="16:25">
      <c r="P2108" s="19"/>
      <c r="Q2108" s="20"/>
      <c r="R2108" s="25"/>
      <c r="S2108" s="20"/>
      <c r="X2108" s="19"/>
      <c r="Y2108" s="20"/>
    </row>
    <row r="2109" spans="16:25">
      <c r="P2109" s="19"/>
      <c r="Q2109" s="20"/>
      <c r="R2109" s="25"/>
      <c r="S2109" s="20"/>
      <c r="X2109" s="19"/>
      <c r="Y2109" s="20"/>
    </row>
    <row r="2110" spans="16:25">
      <c r="P2110" s="19"/>
      <c r="Q2110" s="20"/>
      <c r="R2110" s="25"/>
      <c r="S2110" s="20"/>
      <c r="X2110" s="19"/>
      <c r="Y2110" s="20"/>
    </row>
    <row r="2111" spans="16:25">
      <c r="P2111" s="19"/>
      <c r="Q2111" s="20"/>
      <c r="R2111" s="25"/>
      <c r="S2111" s="20"/>
      <c r="X2111" s="19"/>
      <c r="Y2111" s="20"/>
    </row>
    <row r="2112" spans="16:25">
      <c r="P2112" s="19"/>
      <c r="Q2112" s="20"/>
      <c r="R2112" s="25"/>
      <c r="S2112" s="20"/>
      <c r="X2112" s="19"/>
      <c r="Y2112" s="20"/>
    </row>
    <row r="2113" spans="16:25">
      <c r="P2113" s="19"/>
      <c r="Q2113" s="20"/>
      <c r="R2113" s="25"/>
      <c r="S2113" s="20"/>
      <c r="X2113" s="19"/>
      <c r="Y2113" s="20"/>
    </row>
    <row r="2114" spans="16:25">
      <c r="P2114" s="19"/>
      <c r="Q2114" s="20"/>
      <c r="R2114" s="25"/>
      <c r="S2114" s="20"/>
      <c r="X2114" s="19"/>
      <c r="Y2114" s="20"/>
    </row>
    <row r="2115" spans="16:25">
      <c r="P2115" s="19"/>
      <c r="Q2115" s="20"/>
      <c r="R2115" s="25"/>
      <c r="S2115" s="20"/>
      <c r="X2115" s="19"/>
      <c r="Y2115" s="20"/>
    </row>
    <row r="2116" spans="16:25">
      <c r="P2116" s="19"/>
      <c r="Q2116" s="20"/>
      <c r="R2116" s="25"/>
      <c r="S2116" s="20"/>
      <c r="X2116" s="19"/>
      <c r="Y2116" s="20"/>
    </row>
    <row r="2117" spans="16:25">
      <c r="P2117" s="19"/>
      <c r="Q2117" s="20"/>
      <c r="R2117" s="25"/>
      <c r="S2117" s="20"/>
      <c r="X2117" s="19"/>
      <c r="Y2117" s="20"/>
    </row>
    <row r="2118" spans="16:25">
      <c r="P2118" s="19"/>
      <c r="Q2118" s="20"/>
      <c r="R2118" s="25"/>
      <c r="S2118" s="20"/>
      <c r="X2118" s="19"/>
      <c r="Y2118" s="20"/>
    </row>
    <row r="2119" spans="16:25">
      <c r="P2119" s="19"/>
      <c r="Q2119" s="20"/>
      <c r="R2119" s="25"/>
      <c r="S2119" s="20"/>
      <c r="X2119" s="19"/>
      <c r="Y2119" s="20"/>
    </row>
    <row r="2120" spans="16:25">
      <c r="P2120" s="19"/>
      <c r="Q2120" s="20"/>
      <c r="R2120" s="25"/>
      <c r="S2120" s="20"/>
      <c r="X2120" s="19"/>
      <c r="Y2120" s="20"/>
    </row>
    <row r="2121" spans="16:25">
      <c r="P2121" s="19"/>
      <c r="Q2121" s="20"/>
      <c r="R2121" s="25"/>
      <c r="S2121" s="20"/>
      <c r="X2121" s="19"/>
      <c r="Y2121" s="20"/>
    </row>
    <row r="2122" spans="16:25">
      <c r="P2122" s="19"/>
      <c r="Q2122" s="20"/>
      <c r="R2122" s="25"/>
      <c r="S2122" s="20"/>
      <c r="X2122" s="19"/>
      <c r="Y2122" s="20"/>
    </row>
    <row r="2123" spans="16:25">
      <c r="P2123" s="19"/>
      <c r="Q2123" s="20"/>
      <c r="R2123" s="25"/>
      <c r="S2123" s="20"/>
      <c r="X2123" s="19"/>
      <c r="Y2123" s="20"/>
    </row>
    <row r="2124" spans="16:25">
      <c r="P2124" s="19"/>
      <c r="Q2124" s="20"/>
      <c r="R2124" s="25"/>
      <c r="S2124" s="20"/>
      <c r="X2124" s="19"/>
      <c r="Y2124" s="20"/>
    </row>
    <row r="2125" spans="16:25">
      <c r="P2125" s="19"/>
      <c r="Q2125" s="20"/>
      <c r="R2125" s="25"/>
      <c r="S2125" s="20"/>
      <c r="X2125" s="19"/>
      <c r="Y2125" s="20"/>
    </row>
    <row r="2126" spans="16:25">
      <c r="P2126" s="19"/>
      <c r="Q2126" s="20"/>
      <c r="R2126" s="25"/>
      <c r="S2126" s="20"/>
      <c r="X2126" s="19"/>
      <c r="Y2126" s="20"/>
    </row>
    <row r="2127" spans="16:25">
      <c r="P2127" s="19"/>
      <c r="Q2127" s="20"/>
      <c r="R2127" s="25"/>
      <c r="S2127" s="20"/>
      <c r="X2127" s="19"/>
      <c r="Y2127" s="20"/>
    </row>
    <row r="2128" spans="16:25">
      <c r="P2128" s="19"/>
      <c r="Q2128" s="20"/>
      <c r="R2128" s="25"/>
      <c r="S2128" s="20"/>
      <c r="X2128" s="19"/>
      <c r="Y2128" s="20"/>
    </row>
    <row r="2129" spans="16:25">
      <c r="P2129" s="19"/>
      <c r="Q2129" s="20"/>
      <c r="R2129" s="25"/>
      <c r="S2129" s="20"/>
      <c r="X2129" s="19"/>
      <c r="Y2129" s="20"/>
    </row>
    <row r="2130" spans="16:25">
      <c r="P2130" s="19"/>
      <c r="Q2130" s="20"/>
      <c r="R2130" s="25"/>
      <c r="S2130" s="20"/>
      <c r="X2130" s="19"/>
      <c r="Y2130" s="20"/>
    </row>
    <row r="2131" spans="16:25">
      <c r="P2131" s="19"/>
      <c r="Q2131" s="20"/>
      <c r="R2131" s="25"/>
      <c r="S2131" s="20"/>
      <c r="X2131" s="19"/>
      <c r="Y2131" s="20"/>
    </row>
    <row r="2132" spans="16:25">
      <c r="P2132" s="19"/>
      <c r="Q2132" s="20"/>
      <c r="R2132" s="25"/>
      <c r="S2132" s="20"/>
      <c r="X2132" s="19"/>
      <c r="Y2132" s="20"/>
    </row>
    <row r="2133" spans="16:25">
      <c r="P2133" s="19"/>
      <c r="Q2133" s="20"/>
      <c r="R2133" s="25"/>
      <c r="S2133" s="20"/>
      <c r="X2133" s="19"/>
      <c r="Y2133" s="20"/>
    </row>
    <row r="2134" spans="16:25">
      <c r="P2134" s="19"/>
      <c r="Q2134" s="20"/>
      <c r="R2134" s="25"/>
      <c r="S2134" s="20"/>
      <c r="X2134" s="19"/>
      <c r="Y2134" s="20"/>
    </row>
    <row r="2135" spans="16:25">
      <c r="P2135" s="19"/>
      <c r="Q2135" s="20"/>
      <c r="R2135" s="25"/>
      <c r="S2135" s="20"/>
      <c r="X2135" s="19"/>
      <c r="Y2135" s="20"/>
    </row>
    <row r="2136" spans="16:25">
      <c r="P2136" s="19"/>
      <c r="Q2136" s="20"/>
      <c r="R2136" s="25"/>
      <c r="S2136" s="20"/>
      <c r="X2136" s="19"/>
      <c r="Y2136" s="20"/>
    </row>
    <row r="2137" spans="16:25">
      <c r="P2137" s="19"/>
      <c r="Q2137" s="20"/>
      <c r="R2137" s="25"/>
      <c r="S2137" s="20"/>
      <c r="X2137" s="19"/>
      <c r="Y2137" s="20"/>
    </row>
    <row r="2138" spans="16:25">
      <c r="P2138" s="19"/>
      <c r="Q2138" s="20"/>
      <c r="R2138" s="25"/>
      <c r="S2138" s="20"/>
      <c r="X2138" s="19"/>
      <c r="Y2138" s="20"/>
    </row>
    <row r="2139" spans="16:25">
      <c r="P2139" s="19"/>
      <c r="Q2139" s="20"/>
      <c r="R2139" s="25"/>
      <c r="S2139" s="20"/>
      <c r="X2139" s="19"/>
      <c r="Y2139" s="20"/>
    </row>
    <row r="2140" spans="16:25">
      <c r="P2140" s="19"/>
      <c r="Q2140" s="20"/>
      <c r="R2140" s="25"/>
      <c r="S2140" s="20"/>
      <c r="X2140" s="19"/>
      <c r="Y2140" s="20"/>
    </row>
    <row r="2141" spans="16:25">
      <c r="P2141" s="19"/>
      <c r="Q2141" s="20"/>
      <c r="R2141" s="25"/>
      <c r="S2141" s="20"/>
      <c r="X2141" s="19"/>
      <c r="Y2141" s="20"/>
    </row>
    <row r="2142" spans="16:25">
      <c r="P2142" s="19"/>
      <c r="Q2142" s="20"/>
      <c r="R2142" s="25"/>
      <c r="S2142" s="20"/>
      <c r="X2142" s="19"/>
      <c r="Y2142" s="20"/>
    </row>
    <row r="2143" spans="16:25">
      <c r="P2143" s="19"/>
      <c r="Q2143" s="20"/>
      <c r="R2143" s="25"/>
      <c r="S2143" s="20"/>
      <c r="X2143" s="19"/>
      <c r="Y2143" s="20"/>
    </row>
    <row r="2144" spans="16:25">
      <c r="P2144" s="19"/>
      <c r="Q2144" s="20"/>
      <c r="R2144" s="25"/>
      <c r="S2144" s="20"/>
      <c r="X2144" s="19"/>
      <c r="Y2144" s="20"/>
    </row>
    <row r="2145" spans="16:25">
      <c r="P2145" s="19"/>
      <c r="Q2145" s="20"/>
      <c r="R2145" s="25"/>
      <c r="S2145" s="20"/>
      <c r="X2145" s="19"/>
      <c r="Y2145" s="20"/>
    </row>
    <row r="2146" spans="16:25">
      <c r="P2146" s="19"/>
      <c r="Q2146" s="20"/>
      <c r="R2146" s="25"/>
      <c r="S2146" s="20"/>
      <c r="X2146" s="19"/>
      <c r="Y2146" s="20"/>
    </row>
    <row r="2147" spans="16:25">
      <c r="P2147" s="19"/>
      <c r="Q2147" s="20"/>
      <c r="R2147" s="25"/>
      <c r="S2147" s="20"/>
      <c r="X2147" s="19"/>
      <c r="Y2147" s="20"/>
    </row>
    <row r="2148" spans="16:25">
      <c r="P2148" s="19"/>
      <c r="Q2148" s="20"/>
      <c r="R2148" s="25"/>
      <c r="S2148" s="20"/>
      <c r="X2148" s="19"/>
      <c r="Y2148" s="20"/>
    </row>
    <row r="2149" spans="16:25">
      <c r="P2149" s="19"/>
      <c r="Q2149" s="20"/>
      <c r="R2149" s="25"/>
      <c r="S2149" s="20"/>
      <c r="X2149" s="19"/>
      <c r="Y2149" s="20"/>
    </row>
    <row r="2150" spans="16:25">
      <c r="P2150" s="19"/>
      <c r="Q2150" s="20"/>
      <c r="R2150" s="25"/>
      <c r="S2150" s="20"/>
      <c r="X2150" s="19"/>
      <c r="Y2150" s="20"/>
    </row>
    <row r="2151" spans="16:25">
      <c r="P2151" s="19"/>
      <c r="Q2151" s="20"/>
      <c r="R2151" s="25"/>
      <c r="S2151" s="20"/>
      <c r="X2151" s="19"/>
      <c r="Y2151" s="20"/>
    </row>
    <row r="2152" spans="16:25">
      <c r="P2152" s="19"/>
      <c r="Q2152" s="20"/>
      <c r="R2152" s="25"/>
      <c r="S2152" s="20"/>
      <c r="X2152" s="19"/>
      <c r="Y2152" s="20"/>
    </row>
    <row r="2153" spans="16:25">
      <c r="P2153" s="19"/>
      <c r="Q2153" s="20"/>
      <c r="R2153" s="25"/>
      <c r="S2153" s="20"/>
      <c r="X2153" s="19"/>
      <c r="Y2153" s="20"/>
    </row>
    <row r="2154" spans="16:25">
      <c r="P2154" s="19"/>
      <c r="Q2154" s="20"/>
      <c r="R2154" s="25"/>
      <c r="S2154" s="20"/>
      <c r="X2154" s="19"/>
      <c r="Y2154" s="20"/>
    </row>
    <row r="2155" spans="16:25">
      <c r="P2155" s="19"/>
      <c r="Q2155" s="20"/>
      <c r="R2155" s="25"/>
      <c r="S2155" s="20"/>
      <c r="X2155" s="19"/>
      <c r="Y2155" s="20"/>
    </row>
    <row r="2156" spans="16:25">
      <c r="P2156" s="19"/>
      <c r="Q2156" s="20"/>
      <c r="R2156" s="25"/>
      <c r="S2156" s="20"/>
      <c r="X2156" s="19"/>
      <c r="Y2156" s="20"/>
    </row>
    <row r="2157" spans="16:25">
      <c r="P2157" s="19"/>
      <c r="Q2157" s="20"/>
      <c r="R2157" s="25"/>
      <c r="S2157" s="20"/>
      <c r="X2157" s="19"/>
      <c r="Y2157" s="20"/>
    </row>
    <row r="2158" spans="16:25">
      <c r="P2158" s="19"/>
      <c r="Q2158" s="20"/>
      <c r="R2158" s="25"/>
      <c r="S2158" s="20"/>
      <c r="X2158" s="19"/>
      <c r="Y2158" s="20"/>
    </row>
    <row r="2159" spans="16:25">
      <c r="P2159" s="19"/>
      <c r="Q2159" s="20"/>
      <c r="R2159" s="25"/>
      <c r="S2159" s="20"/>
      <c r="X2159" s="19"/>
      <c r="Y2159" s="20"/>
    </row>
    <row r="2160" spans="16:25">
      <c r="P2160" s="19"/>
      <c r="Q2160" s="20"/>
      <c r="R2160" s="25"/>
      <c r="S2160" s="20"/>
      <c r="X2160" s="19"/>
      <c r="Y2160" s="20"/>
    </row>
    <row r="2161" spans="16:25">
      <c r="P2161" s="19"/>
      <c r="Q2161" s="20"/>
      <c r="R2161" s="25"/>
      <c r="S2161" s="20"/>
      <c r="X2161" s="19"/>
      <c r="Y2161" s="20"/>
    </row>
    <row r="2162" spans="16:25">
      <c r="P2162" s="19"/>
      <c r="Q2162" s="20"/>
      <c r="R2162" s="25"/>
      <c r="S2162" s="20"/>
      <c r="X2162" s="19"/>
      <c r="Y2162" s="20"/>
    </row>
    <row r="2163" spans="16:25">
      <c r="P2163" s="19"/>
      <c r="Q2163" s="20"/>
      <c r="R2163" s="25"/>
      <c r="S2163" s="20"/>
      <c r="X2163" s="19"/>
      <c r="Y2163" s="20"/>
    </row>
    <row r="2164" spans="16:25">
      <c r="P2164" s="19"/>
      <c r="Q2164" s="20"/>
      <c r="R2164" s="25"/>
      <c r="S2164" s="20"/>
      <c r="X2164" s="19"/>
      <c r="Y2164" s="20"/>
    </row>
    <row r="2165" spans="16:25">
      <c r="P2165" s="19"/>
      <c r="Q2165" s="20"/>
      <c r="R2165" s="25"/>
      <c r="S2165" s="20"/>
      <c r="X2165" s="19"/>
      <c r="Y2165" s="20"/>
    </row>
    <row r="2166" spans="16:25">
      <c r="P2166" s="19"/>
      <c r="Q2166" s="20"/>
      <c r="R2166" s="25"/>
      <c r="S2166" s="20"/>
      <c r="X2166" s="19"/>
      <c r="Y2166" s="20"/>
    </row>
    <row r="2167" spans="16:25">
      <c r="P2167" s="19"/>
      <c r="Q2167" s="20"/>
      <c r="R2167" s="25"/>
      <c r="S2167" s="20"/>
      <c r="X2167" s="19"/>
      <c r="Y2167" s="20"/>
    </row>
    <row r="2168" spans="16:25">
      <c r="P2168" s="19"/>
      <c r="Q2168" s="20"/>
      <c r="R2168" s="25"/>
      <c r="S2168" s="20"/>
      <c r="X2168" s="19"/>
      <c r="Y2168" s="20"/>
    </row>
    <row r="2169" spans="16:25">
      <c r="P2169" s="19"/>
      <c r="Q2169" s="20"/>
      <c r="R2169" s="25"/>
      <c r="S2169" s="20"/>
      <c r="X2169" s="19"/>
      <c r="Y2169" s="20"/>
    </row>
    <row r="2170" spans="16:25">
      <c r="P2170" s="19"/>
      <c r="Q2170" s="20"/>
      <c r="R2170" s="25"/>
      <c r="S2170" s="20"/>
      <c r="X2170" s="19"/>
      <c r="Y2170" s="20"/>
    </row>
    <row r="2171" spans="16:25">
      <c r="P2171" s="19"/>
      <c r="Q2171" s="20"/>
      <c r="R2171" s="25"/>
      <c r="S2171" s="20"/>
      <c r="X2171" s="19"/>
      <c r="Y2171" s="20"/>
    </row>
    <row r="2172" spans="16:25">
      <c r="P2172" s="19"/>
      <c r="Q2172" s="20"/>
      <c r="R2172" s="25"/>
      <c r="S2172" s="20"/>
      <c r="X2172" s="19"/>
      <c r="Y2172" s="20"/>
    </row>
    <row r="2173" spans="16:25">
      <c r="P2173" s="19"/>
      <c r="Q2173" s="20"/>
      <c r="R2173" s="25"/>
      <c r="S2173" s="20"/>
      <c r="X2173" s="19"/>
      <c r="Y2173" s="20"/>
    </row>
    <row r="2174" spans="16:25">
      <c r="P2174" s="19"/>
      <c r="Q2174" s="20"/>
      <c r="R2174" s="25"/>
      <c r="S2174" s="20"/>
      <c r="X2174" s="19"/>
      <c r="Y2174" s="20"/>
    </row>
    <row r="2175" spans="16:25">
      <c r="P2175" s="19"/>
      <c r="Q2175" s="20"/>
      <c r="R2175" s="25"/>
      <c r="S2175" s="20"/>
      <c r="X2175" s="19"/>
      <c r="Y2175" s="20"/>
    </row>
    <row r="2176" spans="16:25">
      <c r="P2176" s="19"/>
      <c r="Q2176" s="20"/>
      <c r="R2176" s="25"/>
      <c r="S2176" s="20"/>
      <c r="X2176" s="19"/>
      <c r="Y2176" s="20"/>
    </row>
    <row r="2177" spans="16:25">
      <c r="P2177" s="19"/>
      <c r="Q2177" s="20"/>
      <c r="R2177" s="25"/>
      <c r="S2177" s="20"/>
      <c r="X2177" s="19"/>
      <c r="Y2177" s="20"/>
    </row>
    <row r="2178" spans="16:25">
      <c r="P2178" s="19"/>
      <c r="Q2178" s="20"/>
      <c r="R2178" s="25"/>
      <c r="S2178" s="20"/>
      <c r="X2178" s="19"/>
      <c r="Y2178" s="20"/>
    </row>
    <row r="2179" spans="16:25">
      <c r="P2179" s="19"/>
      <c r="Q2179" s="20"/>
      <c r="R2179" s="25"/>
      <c r="S2179" s="20"/>
      <c r="X2179" s="19"/>
      <c r="Y2179" s="20"/>
    </row>
    <row r="2180" spans="16:25">
      <c r="P2180" s="19"/>
      <c r="Q2180" s="20"/>
      <c r="R2180" s="25"/>
      <c r="S2180" s="20"/>
      <c r="X2180" s="19"/>
      <c r="Y2180" s="20"/>
    </row>
    <row r="2181" spans="16:25">
      <c r="P2181" s="19"/>
      <c r="Q2181" s="20"/>
      <c r="R2181" s="25"/>
      <c r="S2181" s="20"/>
      <c r="X2181" s="19"/>
      <c r="Y2181" s="20"/>
    </row>
    <row r="2182" spans="16:25">
      <c r="P2182" s="19"/>
      <c r="Q2182" s="20"/>
      <c r="R2182" s="25"/>
      <c r="S2182" s="20"/>
      <c r="X2182" s="19"/>
      <c r="Y2182" s="20"/>
    </row>
    <row r="2183" spans="16:25">
      <c r="P2183" s="19"/>
      <c r="Q2183" s="20"/>
      <c r="R2183" s="25"/>
      <c r="S2183" s="20"/>
      <c r="X2183" s="19"/>
      <c r="Y2183" s="20"/>
    </row>
    <row r="2184" spans="16:25">
      <c r="P2184" s="19"/>
      <c r="Q2184" s="20"/>
      <c r="R2184" s="25"/>
      <c r="S2184" s="20"/>
      <c r="X2184" s="19"/>
      <c r="Y2184" s="20"/>
    </row>
    <row r="2185" spans="16:25">
      <c r="P2185" s="19"/>
      <c r="Q2185" s="20"/>
      <c r="R2185" s="25"/>
      <c r="S2185" s="20"/>
      <c r="X2185" s="19"/>
      <c r="Y2185" s="20"/>
    </row>
    <row r="2186" spans="16:25">
      <c r="P2186" s="19"/>
      <c r="Q2186" s="20"/>
      <c r="R2186" s="25"/>
      <c r="S2186" s="20"/>
      <c r="X2186" s="19"/>
      <c r="Y2186" s="20"/>
    </row>
    <row r="2187" spans="16:25">
      <c r="P2187" s="19"/>
      <c r="Q2187" s="20"/>
      <c r="R2187" s="25"/>
      <c r="S2187" s="20"/>
      <c r="X2187" s="19"/>
      <c r="Y2187" s="20"/>
    </row>
    <row r="2188" spans="16:25">
      <c r="P2188" s="19"/>
      <c r="Q2188" s="20"/>
      <c r="R2188" s="25"/>
      <c r="S2188" s="20"/>
      <c r="X2188" s="19"/>
      <c r="Y2188" s="20"/>
    </row>
    <row r="2189" spans="16:25">
      <c r="P2189" s="19"/>
      <c r="Q2189" s="20"/>
      <c r="R2189" s="25"/>
      <c r="S2189" s="20"/>
      <c r="X2189" s="19"/>
      <c r="Y2189" s="20"/>
    </row>
    <row r="2190" spans="16:25">
      <c r="P2190" s="19"/>
      <c r="Q2190" s="20"/>
      <c r="R2190" s="25"/>
      <c r="S2190" s="20"/>
      <c r="X2190" s="19"/>
      <c r="Y2190" s="20"/>
    </row>
    <row r="2191" spans="16:25">
      <c r="P2191" s="19"/>
      <c r="Q2191" s="20"/>
      <c r="R2191" s="25"/>
      <c r="S2191" s="20"/>
      <c r="X2191" s="19"/>
      <c r="Y2191" s="20"/>
    </row>
    <row r="2192" spans="16:25">
      <c r="P2192" s="19"/>
      <c r="Q2192" s="20"/>
      <c r="R2192" s="25"/>
      <c r="S2192" s="20"/>
      <c r="X2192" s="19"/>
      <c r="Y2192" s="20"/>
    </row>
    <row r="2193" spans="16:25">
      <c r="P2193" s="19"/>
      <c r="Q2193" s="20"/>
      <c r="R2193" s="25"/>
      <c r="S2193" s="20"/>
      <c r="X2193" s="19"/>
      <c r="Y2193" s="20"/>
    </row>
    <row r="2194" spans="16:25">
      <c r="P2194" s="19"/>
      <c r="Q2194" s="20"/>
      <c r="R2194" s="25"/>
      <c r="S2194" s="20"/>
      <c r="X2194" s="19"/>
      <c r="Y2194" s="20"/>
    </row>
    <row r="2195" spans="16:25">
      <c r="P2195" s="19"/>
      <c r="Q2195" s="20"/>
      <c r="R2195" s="25"/>
      <c r="S2195" s="20"/>
      <c r="X2195" s="19"/>
      <c r="Y2195" s="20"/>
    </row>
    <row r="2196" spans="16:25">
      <c r="P2196" s="19"/>
      <c r="Q2196" s="20"/>
      <c r="R2196" s="25"/>
      <c r="S2196" s="20"/>
      <c r="X2196" s="19"/>
      <c r="Y2196" s="20"/>
    </row>
    <row r="2197" spans="16:25">
      <c r="P2197" s="19"/>
      <c r="Q2197" s="20"/>
      <c r="R2197" s="25"/>
      <c r="S2197" s="20"/>
      <c r="X2197" s="19"/>
      <c r="Y2197" s="20"/>
    </row>
    <row r="2198" spans="16:25">
      <c r="P2198" s="19"/>
      <c r="Q2198" s="20"/>
      <c r="R2198" s="25"/>
      <c r="S2198" s="20"/>
      <c r="X2198" s="19"/>
      <c r="Y2198" s="20"/>
    </row>
    <row r="2199" spans="16:25">
      <c r="P2199" s="19"/>
      <c r="Q2199" s="20"/>
      <c r="R2199" s="25"/>
      <c r="S2199" s="20"/>
      <c r="X2199" s="19"/>
      <c r="Y2199" s="20"/>
    </row>
    <row r="2200" spans="16:25">
      <c r="P2200" s="19"/>
      <c r="Q2200" s="20"/>
      <c r="R2200" s="25"/>
      <c r="S2200" s="20"/>
      <c r="X2200" s="19"/>
      <c r="Y2200" s="20"/>
    </row>
    <row r="2201" spans="16:25">
      <c r="P2201" s="19"/>
      <c r="Q2201" s="20"/>
      <c r="R2201" s="25"/>
      <c r="S2201" s="20"/>
      <c r="X2201" s="19"/>
      <c r="Y2201" s="20"/>
    </row>
    <row r="2202" spans="16:25">
      <c r="P2202" s="19"/>
      <c r="Q2202" s="20"/>
      <c r="R2202" s="25"/>
      <c r="S2202" s="20"/>
      <c r="X2202" s="19"/>
      <c r="Y2202" s="20"/>
    </row>
    <row r="2203" spans="16:25">
      <c r="P2203" s="19"/>
      <c r="Q2203" s="20"/>
      <c r="R2203" s="25"/>
      <c r="S2203" s="20"/>
      <c r="X2203" s="19"/>
      <c r="Y2203" s="20"/>
    </row>
    <row r="2204" spans="16:25">
      <c r="P2204" s="19"/>
      <c r="Q2204" s="20"/>
      <c r="R2204" s="25"/>
      <c r="S2204" s="20"/>
      <c r="X2204" s="19"/>
      <c r="Y2204" s="20"/>
    </row>
    <row r="2205" spans="16:25">
      <c r="P2205" s="19"/>
      <c r="Q2205" s="20"/>
      <c r="R2205" s="25"/>
      <c r="S2205" s="20"/>
      <c r="X2205" s="19"/>
      <c r="Y2205" s="20"/>
    </row>
    <row r="2206" spans="16:25">
      <c r="P2206" s="19"/>
      <c r="Q2206" s="20"/>
      <c r="R2206" s="25"/>
      <c r="S2206" s="20"/>
      <c r="X2206" s="19"/>
      <c r="Y2206" s="20"/>
    </row>
    <row r="2207" spans="16:25">
      <c r="P2207" s="19"/>
      <c r="Q2207" s="20"/>
      <c r="R2207" s="25"/>
      <c r="S2207" s="20"/>
      <c r="X2207" s="19"/>
      <c r="Y2207" s="20"/>
    </row>
    <row r="2208" spans="16:25">
      <c r="P2208" s="19"/>
      <c r="Q2208" s="20"/>
      <c r="R2208" s="25"/>
      <c r="S2208" s="20"/>
      <c r="X2208" s="19"/>
      <c r="Y2208" s="20"/>
    </row>
    <row r="2209" spans="16:25">
      <c r="P2209" s="19"/>
      <c r="Q2209" s="20"/>
      <c r="R2209" s="25"/>
      <c r="S2209" s="20"/>
      <c r="X2209" s="19"/>
      <c r="Y2209" s="20"/>
    </row>
    <row r="2210" spans="16:25">
      <c r="P2210" s="19"/>
      <c r="Q2210" s="20"/>
      <c r="R2210" s="25"/>
      <c r="S2210" s="20"/>
      <c r="X2210" s="19"/>
      <c r="Y2210" s="20"/>
    </row>
    <row r="2211" spans="16:25">
      <c r="P2211" s="19"/>
      <c r="Q2211" s="20"/>
      <c r="R2211" s="25"/>
      <c r="S2211" s="20"/>
      <c r="X2211" s="19"/>
      <c r="Y2211" s="20"/>
    </row>
    <row r="2212" spans="16:25">
      <c r="P2212" s="19"/>
      <c r="Q2212" s="20"/>
      <c r="R2212" s="25"/>
      <c r="S2212" s="20"/>
      <c r="X2212" s="19"/>
      <c r="Y2212" s="20"/>
    </row>
    <row r="2213" spans="16:25">
      <c r="P2213" s="19"/>
      <c r="Q2213" s="20"/>
      <c r="R2213" s="25"/>
      <c r="S2213" s="20"/>
      <c r="X2213" s="19"/>
      <c r="Y2213" s="20"/>
    </row>
    <row r="2214" spans="16:25">
      <c r="P2214" s="19"/>
      <c r="Q2214" s="20"/>
      <c r="R2214" s="25"/>
      <c r="S2214" s="20"/>
      <c r="X2214" s="19"/>
      <c r="Y2214" s="20"/>
    </row>
    <row r="2215" spans="16:25">
      <c r="P2215" s="19"/>
      <c r="Q2215" s="20"/>
      <c r="R2215" s="25"/>
      <c r="S2215" s="20"/>
      <c r="X2215" s="19"/>
      <c r="Y2215" s="20"/>
    </row>
    <row r="2216" spans="16:25">
      <c r="P2216" s="19"/>
      <c r="Q2216" s="20"/>
      <c r="R2216" s="25"/>
      <c r="S2216" s="20"/>
      <c r="X2216" s="19"/>
      <c r="Y2216" s="20"/>
    </row>
    <row r="2217" spans="16:25">
      <c r="P2217" s="19"/>
      <c r="Q2217" s="20"/>
      <c r="R2217" s="25"/>
      <c r="S2217" s="20"/>
      <c r="X2217" s="19"/>
      <c r="Y2217" s="20"/>
    </row>
    <row r="2218" spans="16:25">
      <c r="P2218" s="19"/>
      <c r="Q2218" s="20"/>
      <c r="R2218" s="25"/>
      <c r="S2218" s="20"/>
      <c r="X2218" s="19"/>
      <c r="Y2218" s="20"/>
    </row>
    <row r="2219" spans="16:25">
      <c r="P2219" s="19"/>
      <c r="Q2219" s="20"/>
      <c r="R2219" s="25"/>
      <c r="S2219" s="20"/>
      <c r="X2219" s="19"/>
      <c r="Y2219" s="20"/>
    </row>
    <row r="2220" spans="16:25">
      <c r="P2220" s="19"/>
      <c r="Q2220" s="20"/>
      <c r="R2220" s="25"/>
      <c r="S2220" s="20"/>
      <c r="X2220" s="19"/>
      <c r="Y2220" s="20"/>
    </row>
    <row r="2221" spans="16:25">
      <c r="P2221" s="19"/>
      <c r="Q2221" s="20"/>
      <c r="R2221" s="25"/>
      <c r="S2221" s="20"/>
      <c r="X2221" s="19"/>
      <c r="Y2221" s="20"/>
    </row>
    <row r="2222" spans="16:25">
      <c r="P2222" s="19"/>
      <c r="Q2222" s="20"/>
      <c r="R2222" s="25"/>
      <c r="S2222" s="20"/>
      <c r="X2222" s="19"/>
      <c r="Y2222" s="20"/>
    </row>
    <row r="2223" spans="16:25">
      <c r="P2223" s="19"/>
      <c r="Q2223" s="20"/>
      <c r="R2223" s="25"/>
      <c r="S2223" s="20"/>
      <c r="X2223" s="19"/>
      <c r="Y2223" s="20"/>
    </row>
    <row r="2224" spans="16:25">
      <c r="P2224" s="19"/>
      <c r="Q2224" s="20"/>
      <c r="R2224" s="25"/>
      <c r="S2224" s="20"/>
      <c r="X2224" s="19"/>
      <c r="Y2224" s="20"/>
    </row>
    <row r="2225" spans="16:25">
      <c r="P2225" s="19"/>
      <c r="Q2225" s="20"/>
      <c r="R2225" s="25"/>
      <c r="S2225" s="20"/>
      <c r="X2225" s="19"/>
      <c r="Y2225" s="20"/>
    </row>
    <row r="2226" spans="16:25">
      <c r="P2226" s="19"/>
      <c r="Q2226" s="20"/>
      <c r="R2226" s="25"/>
      <c r="S2226" s="20"/>
      <c r="X2226" s="19"/>
      <c r="Y2226" s="20"/>
    </row>
    <row r="2227" spans="16:25">
      <c r="P2227" s="19"/>
      <c r="Q2227" s="20"/>
      <c r="R2227" s="25"/>
      <c r="S2227" s="20"/>
      <c r="X2227" s="19"/>
      <c r="Y2227" s="20"/>
    </row>
    <row r="2228" spans="16:25">
      <c r="P2228" s="19"/>
      <c r="Q2228" s="20"/>
      <c r="R2228" s="25"/>
      <c r="S2228" s="20"/>
      <c r="X2228" s="19"/>
      <c r="Y2228" s="20"/>
    </row>
    <row r="2229" spans="16:25">
      <c r="P2229" s="19"/>
      <c r="Q2229" s="20"/>
      <c r="R2229" s="25"/>
      <c r="S2229" s="20"/>
      <c r="X2229" s="19"/>
      <c r="Y2229" s="20"/>
    </row>
    <row r="2230" spans="16:25">
      <c r="P2230" s="19"/>
      <c r="Q2230" s="20"/>
      <c r="R2230" s="25"/>
      <c r="S2230" s="20"/>
      <c r="X2230" s="19"/>
      <c r="Y2230" s="20"/>
    </row>
    <row r="2231" spans="16:25">
      <c r="P2231" s="19"/>
      <c r="Q2231" s="20"/>
      <c r="R2231" s="25"/>
      <c r="S2231" s="20"/>
      <c r="X2231" s="19"/>
      <c r="Y2231" s="20"/>
    </row>
    <row r="2232" spans="16:25">
      <c r="P2232" s="19"/>
      <c r="Q2232" s="20"/>
      <c r="R2232" s="25"/>
      <c r="S2232" s="20"/>
      <c r="X2232" s="19"/>
      <c r="Y2232" s="20"/>
    </row>
    <row r="2233" spans="16:25">
      <c r="P2233" s="19"/>
      <c r="Q2233" s="20"/>
      <c r="R2233" s="25"/>
      <c r="S2233" s="20"/>
      <c r="X2233" s="19"/>
      <c r="Y2233" s="20"/>
    </row>
    <row r="2234" spans="16:25">
      <c r="P2234" s="19"/>
      <c r="Q2234" s="20"/>
      <c r="R2234" s="25"/>
      <c r="S2234" s="20"/>
      <c r="X2234" s="19"/>
      <c r="Y2234" s="20"/>
    </row>
    <row r="2235" spans="16:25">
      <c r="P2235" s="19"/>
      <c r="Q2235" s="20"/>
      <c r="R2235" s="25"/>
      <c r="S2235" s="20"/>
      <c r="X2235" s="19"/>
      <c r="Y2235" s="20"/>
    </row>
    <row r="2236" spans="16:25">
      <c r="P2236" s="19"/>
      <c r="Q2236" s="20"/>
      <c r="R2236" s="25"/>
      <c r="S2236" s="20"/>
      <c r="X2236" s="19"/>
      <c r="Y2236" s="20"/>
    </row>
    <row r="2237" spans="16:25">
      <c r="P2237" s="19"/>
      <c r="Q2237" s="20"/>
      <c r="R2237" s="25"/>
      <c r="S2237" s="20"/>
      <c r="X2237" s="19"/>
      <c r="Y2237" s="20"/>
    </row>
    <row r="2238" spans="16:25">
      <c r="P2238" s="19"/>
      <c r="Q2238" s="20"/>
      <c r="R2238" s="25"/>
      <c r="S2238" s="20"/>
      <c r="X2238" s="19"/>
      <c r="Y2238" s="20"/>
    </row>
    <row r="2239" spans="16:25">
      <c r="P2239" s="19"/>
      <c r="Q2239" s="20"/>
      <c r="R2239" s="25"/>
      <c r="S2239" s="20"/>
      <c r="X2239" s="19"/>
      <c r="Y2239" s="20"/>
    </row>
    <row r="2240" spans="16:25">
      <c r="P2240" s="19"/>
      <c r="Q2240" s="20"/>
      <c r="R2240" s="25"/>
      <c r="S2240" s="20"/>
      <c r="X2240" s="19"/>
      <c r="Y2240" s="20"/>
    </row>
    <row r="2241" spans="16:25">
      <c r="P2241" s="19"/>
      <c r="Q2241" s="20"/>
      <c r="R2241" s="25"/>
      <c r="S2241" s="20"/>
      <c r="X2241" s="19"/>
      <c r="Y2241" s="20"/>
    </row>
    <row r="2242" spans="16:25">
      <c r="P2242" s="19"/>
      <c r="Q2242" s="20"/>
      <c r="R2242" s="25"/>
      <c r="S2242" s="20"/>
      <c r="X2242" s="19"/>
      <c r="Y2242" s="20"/>
    </row>
    <row r="2243" spans="16:25">
      <c r="P2243" s="19"/>
      <c r="Q2243" s="20"/>
      <c r="R2243" s="25"/>
      <c r="S2243" s="20"/>
      <c r="X2243" s="19"/>
      <c r="Y2243" s="20"/>
    </row>
    <row r="2244" spans="16:25">
      <c r="P2244" s="19"/>
      <c r="Q2244" s="20"/>
      <c r="R2244" s="25"/>
      <c r="S2244" s="20"/>
      <c r="X2244" s="19"/>
      <c r="Y2244" s="20"/>
    </row>
    <row r="2245" spans="16:25">
      <c r="P2245" s="19"/>
      <c r="Q2245" s="20"/>
      <c r="R2245" s="25"/>
      <c r="S2245" s="20"/>
      <c r="X2245" s="19"/>
      <c r="Y2245" s="20"/>
    </row>
    <row r="2246" spans="16:25">
      <c r="P2246" s="19"/>
      <c r="Q2246" s="20"/>
      <c r="R2246" s="25"/>
      <c r="S2246" s="20"/>
      <c r="X2246" s="19"/>
      <c r="Y2246" s="20"/>
    </row>
    <row r="2247" spans="16:25">
      <c r="P2247" s="19"/>
      <c r="Q2247" s="20"/>
      <c r="R2247" s="25"/>
      <c r="S2247" s="20"/>
      <c r="X2247" s="19"/>
      <c r="Y2247" s="20"/>
    </row>
    <row r="2248" spans="16:25">
      <c r="P2248" s="19"/>
      <c r="Q2248" s="20"/>
      <c r="R2248" s="25"/>
      <c r="S2248" s="20"/>
      <c r="X2248" s="19"/>
      <c r="Y2248" s="20"/>
    </row>
    <row r="2249" spans="16:25">
      <c r="P2249" s="19"/>
      <c r="Q2249" s="20"/>
      <c r="R2249" s="25"/>
      <c r="S2249" s="20"/>
      <c r="X2249" s="19"/>
      <c r="Y2249" s="20"/>
    </row>
    <row r="2250" spans="16:25">
      <c r="P2250" s="19"/>
      <c r="Q2250" s="20"/>
      <c r="R2250" s="25"/>
      <c r="S2250" s="20"/>
      <c r="X2250" s="19"/>
      <c r="Y2250" s="20"/>
    </row>
    <row r="2251" spans="16:25">
      <c r="P2251" s="19"/>
      <c r="Q2251" s="20"/>
      <c r="R2251" s="25"/>
      <c r="S2251" s="20"/>
      <c r="X2251" s="19"/>
      <c r="Y2251" s="20"/>
    </row>
    <row r="2252" spans="16:25">
      <c r="P2252" s="19"/>
      <c r="Q2252" s="20"/>
      <c r="R2252" s="25"/>
      <c r="S2252" s="20"/>
      <c r="X2252" s="19"/>
      <c r="Y2252" s="20"/>
    </row>
    <row r="2253" spans="16:25">
      <c r="P2253" s="19"/>
      <c r="Q2253" s="20"/>
      <c r="R2253" s="25"/>
      <c r="S2253" s="20"/>
      <c r="X2253" s="19"/>
      <c r="Y2253" s="20"/>
    </row>
    <row r="2254" spans="16:25">
      <c r="P2254" s="19"/>
      <c r="Q2254" s="20"/>
      <c r="R2254" s="25"/>
      <c r="S2254" s="20"/>
      <c r="X2254" s="19"/>
      <c r="Y2254" s="20"/>
    </row>
    <row r="2255" spans="16:25">
      <c r="P2255" s="19"/>
      <c r="Q2255" s="20"/>
      <c r="R2255" s="25"/>
      <c r="S2255" s="20"/>
      <c r="X2255" s="19"/>
      <c r="Y2255" s="20"/>
    </row>
    <row r="2256" spans="16:25">
      <c r="P2256" s="19"/>
      <c r="Q2256" s="20"/>
      <c r="R2256" s="25"/>
      <c r="S2256" s="20"/>
      <c r="X2256" s="19"/>
      <c r="Y2256" s="20"/>
    </row>
    <row r="2257" spans="16:25">
      <c r="P2257" s="19"/>
      <c r="Q2257" s="20"/>
      <c r="R2257" s="25"/>
      <c r="S2257" s="20"/>
      <c r="X2257" s="19"/>
      <c r="Y2257" s="20"/>
    </row>
    <row r="2258" spans="16:25">
      <c r="P2258" s="19"/>
      <c r="Q2258" s="20"/>
      <c r="R2258" s="25"/>
      <c r="S2258" s="20"/>
      <c r="X2258" s="19"/>
      <c r="Y2258" s="20"/>
    </row>
    <row r="2259" spans="16:25">
      <c r="P2259" s="19"/>
      <c r="Q2259" s="20"/>
      <c r="R2259" s="25"/>
      <c r="S2259" s="20"/>
      <c r="X2259" s="19"/>
      <c r="Y2259" s="20"/>
    </row>
    <row r="2260" spans="16:25">
      <c r="P2260" s="19"/>
      <c r="Q2260" s="20"/>
      <c r="R2260" s="25"/>
      <c r="S2260" s="20"/>
      <c r="X2260" s="19"/>
      <c r="Y2260" s="20"/>
    </row>
    <row r="2261" spans="16:25">
      <c r="P2261" s="19"/>
      <c r="Q2261" s="20"/>
      <c r="R2261" s="25"/>
      <c r="S2261" s="20"/>
      <c r="X2261" s="19"/>
      <c r="Y2261" s="20"/>
    </row>
    <row r="2262" spans="16:25">
      <c r="P2262" s="19"/>
      <c r="Q2262" s="20"/>
      <c r="R2262" s="25"/>
      <c r="S2262" s="20"/>
      <c r="X2262" s="19"/>
      <c r="Y2262" s="20"/>
    </row>
    <row r="2263" spans="16:25">
      <c r="P2263" s="19"/>
      <c r="Q2263" s="20"/>
      <c r="R2263" s="25"/>
      <c r="S2263" s="20"/>
      <c r="X2263" s="19"/>
      <c r="Y2263" s="20"/>
    </row>
    <row r="2264" spans="16:25">
      <c r="P2264" s="19"/>
      <c r="Q2264" s="20"/>
      <c r="R2264" s="25"/>
      <c r="S2264" s="20"/>
      <c r="X2264" s="19"/>
      <c r="Y2264" s="20"/>
    </row>
    <row r="2265" spans="16:25">
      <c r="P2265" s="19"/>
      <c r="Q2265" s="20"/>
      <c r="R2265" s="25"/>
      <c r="S2265" s="20"/>
      <c r="X2265" s="19"/>
      <c r="Y2265" s="20"/>
    </row>
    <row r="2266" spans="16:25">
      <c r="P2266" s="19"/>
      <c r="Q2266" s="20"/>
      <c r="R2266" s="25"/>
      <c r="S2266" s="20"/>
      <c r="X2266" s="19"/>
      <c r="Y2266" s="20"/>
    </row>
    <row r="2267" spans="16:25">
      <c r="P2267" s="19"/>
      <c r="Q2267" s="20"/>
      <c r="R2267" s="25"/>
      <c r="S2267" s="20"/>
      <c r="X2267" s="19"/>
      <c r="Y2267" s="20"/>
    </row>
    <row r="2268" spans="16:25">
      <c r="P2268" s="19"/>
      <c r="Q2268" s="20"/>
      <c r="R2268" s="25"/>
      <c r="S2268" s="20"/>
      <c r="X2268" s="19"/>
      <c r="Y2268" s="20"/>
    </row>
    <row r="2269" spans="16:25">
      <c r="P2269" s="19"/>
      <c r="Q2269" s="20"/>
      <c r="R2269" s="25"/>
      <c r="S2269" s="20"/>
      <c r="X2269" s="19"/>
      <c r="Y2269" s="20"/>
    </row>
    <row r="2270" spans="16:25">
      <c r="P2270" s="19"/>
      <c r="Q2270" s="20"/>
      <c r="R2270" s="25"/>
      <c r="S2270" s="20"/>
      <c r="X2270" s="19"/>
      <c r="Y2270" s="20"/>
    </row>
    <row r="2271" spans="16:25">
      <c r="P2271" s="19"/>
      <c r="Q2271" s="20"/>
      <c r="R2271" s="25"/>
      <c r="S2271" s="20"/>
      <c r="X2271" s="19"/>
      <c r="Y2271" s="20"/>
    </row>
    <row r="2272" spans="16:25">
      <c r="P2272" s="19"/>
      <c r="Q2272" s="20"/>
      <c r="R2272" s="25"/>
      <c r="S2272" s="20"/>
      <c r="X2272" s="19"/>
      <c r="Y2272" s="20"/>
    </row>
    <row r="2273" spans="16:25">
      <c r="P2273" s="19"/>
      <c r="Q2273" s="20"/>
      <c r="R2273" s="25"/>
      <c r="S2273" s="20"/>
      <c r="X2273" s="19"/>
      <c r="Y2273" s="20"/>
    </row>
    <row r="2274" spans="16:25">
      <c r="P2274" s="19"/>
      <c r="Q2274" s="20"/>
      <c r="R2274" s="25"/>
      <c r="S2274" s="20"/>
      <c r="X2274" s="19"/>
      <c r="Y2274" s="20"/>
    </row>
    <row r="2275" spans="16:25">
      <c r="P2275" s="19"/>
      <c r="Q2275" s="20"/>
      <c r="R2275" s="25"/>
      <c r="S2275" s="20"/>
      <c r="X2275" s="19"/>
      <c r="Y2275" s="20"/>
    </row>
    <row r="2276" spans="16:25">
      <c r="P2276" s="19"/>
      <c r="Q2276" s="20"/>
      <c r="R2276" s="25"/>
      <c r="S2276" s="20"/>
      <c r="X2276" s="19"/>
      <c r="Y2276" s="20"/>
    </row>
    <row r="2277" spans="16:25">
      <c r="P2277" s="19"/>
      <c r="Q2277" s="20"/>
      <c r="R2277" s="25"/>
      <c r="S2277" s="20"/>
      <c r="X2277" s="19"/>
      <c r="Y2277" s="20"/>
    </row>
    <row r="2278" spans="16:25">
      <c r="P2278" s="19"/>
      <c r="Q2278" s="20"/>
      <c r="R2278" s="25"/>
      <c r="S2278" s="20"/>
      <c r="X2278" s="19"/>
      <c r="Y2278" s="20"/>
    </row>
    <row r="2279" spans="16:25">
      <c r="P2279" s="19"/>
      <c r="Q2279" s="20"/>
      <c r="R2279" s="25"/>
      <c r="S2279" s="20"/>
      <c r="X2279" s="19"/>
      <c r="Y2279" s="20"/>
    </row>
    <row r="2280" spans="16:25">
      <c r="P2280" s="19"/>
      <c r="Q2280" s="20"/>
      <c r="R2280" s="25"/>
      <c r="S2280" s="20"/>
      <c r="X2280" s="19"/>
      <c r="Y2280" s="20"/>
    </row>
    <row r="2281" spans="16:25">
      <c r="P2281" s="19"/>
      <c r="Q2281" s="20"/>
      <c r="R2281" s="25"/>
      <c r="S2281" s="20"/>
      <c r="X2281" s="19"/>
      <c r="Y2281" s="20"/>
    </row>
    <row r="2282" spans="16:25">
      <c r="P2282" s="19"/>
      <c r="Q2282" s="20"/>
      <c r="R2282" s="25"/>
      <c r="S2282" s="20"/>
      <c r="X2282" s="19"/>
      <c r="Y2282" s="20"/>
    </row>
    <row r="2283" spans="16:25">
      <c r="P2283" s="19"/>
      <c r="Q2283" s="20"/>
      <c r="R2283" s="25"/>
      <c r="S2283" s="20"/>
      <c r="X2283" s="19"/>
      <c r="Y2283" s="20"/>
    </row>
    <row r="2284" spans="16:25">
      <c r="P2284" s="19"/>
      <c r="Q2284" s="20"/>
      <c r="R2284" s="25"/>
      <c r="S2284" s="20"/>
      <c r="X2284" s="19"/>
      <c r="Y2284" s="20"/>
    </row>
    <row r="2285" spans="16:25">
      <c r="P2285" s="19"/>
      <c r="Q2285" s="20"/>
      <c r="R2285" s="25"/>
      <c r="S2285" s="20"/>
      <c r="X2285" s="19"/>
      <c r="Y2285" s="20"/>
    </row>
    <row r="2286" spans="16:25">
      <c r="P2286" s="19"/>
      <c r="Q2286" s="20"/>
      <c r="R2286" s="25"/>
      <c r="S2286" s="20"/>
      <c r="X2286" s="19"/>
      <c r="Y2286" s="20"/>
    </row>
    <row r="2287" spans="16:25">
      <c r="P2287" s="19"/>
      <c r="Q2287" s="20"/>
      <c r="R2287" s="25"/>
      <c r="S2287" s="20"/>
      <c r="X2287" s="19"/>
      <c r="Y2287" s="20"/>
    </row>
    <row r="2288" spans="16:25">
      <c r="P2288" s="19"/>
      <c r="Q2288" s="20"/>
      <c r="R2288" s="25"/>
      <c r="S2288" s="20"/>
      <c r="X2288" s="19"/>
      <c r="Y2288" s="20"/>
    </row>
    <row r="2289" spans="16:25">
      <c r="P2289" s="19"/>
      <c r="Q2289" s="20"/>
      <c r="R2289" s="25"/>
      <c r="S2289" s="20"/>
      <c r="X2289" s="19"/>
      <c r="Y2289" s="20"/>
    </row>
    <row r="2290" spans="16:25">
      <c r="P2290" s="19"/>
      <c r="Q2290" s="20"/>
      <c r="R2290" s="25"/>
      <c r="S2290" s="20"/>
      <c r="X2290" s="19"/>
      <c r="Y2290" s="20"/>
    </row>
    <row r="2291" spans="16:25">
      <c r="P2291" s="19"/>
      <c r="Q2291" s="20"/>
      <c r="R2291" s="25"/>
      <c r="S2291" s="20"/>
      <c r="X2291" s="19"/>
      <c r="Y2291" s="20"/>
    </row>
    <row r="2292" spans="16:25">
      <c r="P2292" s="19"/>
      <c r="Q2292" s="20"/>
      <c r="R2292" s="25"/>
      <c r="S2292" s="20"/>
      <c r="X2292" s="19"/>
      <c r="Y2292" s="20"/>
    </row>
    <row r="2293" spans="16:25">
      <c r="P2293" s="19"/>
      <c r="Q2293" s="20"/>
      <c r="R2293" s="25"/>
      <c r="S2293" s="20"/>
      <c r="X2293" s="19"/>
      <c r="Y2293" s="20"/>
    </row>
    <row r="2294" spans="16:25">
      <c r="P2294" s="19"/>
      <c r="Q2294" s="20"/>
      <c r="R2294" s="25"/>
      <c r="S2294" s="20"/>
      <c r="X2294" s="19"/>
      <c r="Y2294" s="20"/>
    </row>
    <row r="2295" spans="16:25">
      <c r="P2295" s="19"/>
      <c r="Q2295" s="20"/>
      <c r="R2295" s="25"/>
      <c r="S2295" s="20"/>
      <c r="X2295" s="19"/>
      <c r="Y2295" s="20"/>
    </row>
    <row r="2296" spans="16:25">
      <c r="P2296" s="19"/>
      <c r="Q2296" s="20"/>
      <c r="R2296" s="25"/>
      <c r="S2296" s="20"/>
      <c r="X2296" s="19"/>
      <c r="Y2296" s="20"/>
    </row>
    <row r="2297" spans="16:25">
      <c r="P2297" s="19"/>
      <c r="Q2297" s="20"/>
      <c r="R2297" s="25"/>
      <c r="S2297" s="20"/>
      <c r="X2297" s="19"/>
      <c r="Y2297" s="20"/>
    </row>
    <row r="2298" spans="16:25">
      <c r="P2298" s="19"/>
      <c r="Q2298" s="20"/>
      <c r="R2298" s="25"/>
      <c r="S2298" s="20"/>
      <c r="X2298" s="19"/>
      <c r="Y2298" s="20"/>
    </row>
    <row r="2299" spans="16:25">
      <c r="P2299" s="19"/>
      <c r="Q2299" s="20"/>
      <c r="R2299" s="25"/>
      <c r="S2299" s="20"/>
      <c r="X2299" s="19"/>
      <c r="Y2299" s="20"/>
    </row>
    <row r="2300" spans="16:25">
      <c r="P2300" s="19"/>
      <c r="Q2300" s="20"/>
      <c r="R2300" s="25"/>
      <c r="S2300" s="20"/>
      <c r="X2300" s="19"/>
      <c r="Y2300" s="20"/>
    </row>
    <row r="2301" spans="16:25">
      <c r="P2301" s="19"/>
      <c r="Q2301" s="20"/>
      <c r="R2301" s="25"/>
      <c r="S2301" s="20"/>
      <c r="X2301" s="19"/>
      <c r="Y2301" s="20"/>
    </row>
    <row r="2302" spans="16:25">
      <c r="P2302" s="19"/>
      <c r="Q2302" s="20"/>
      <c r="R2302" s="25"/>
      <c r="S2302" s="20"/>
      <c r="X2302" s="19"/>
      <c r="Y2302" s="20"/>
    </row>
    <row r="2303" spans="16:25">
      <c r="P2303" s="19"/>
      <c r="Q2303" s="20"/>
      <c r="R2303" s="25"/>
      <c r="S2303" s="20"/>
      <c r="X2303" s="19"/>
      <c r="Y2303" s="20"/>
    </row>
    <row r="2304" spans="16:25">
      <c r="P2304" s="19"/>
      <c r="Q2304" s="20"/>
      <c r="R2304" s="25"/>
      <c r="S2304" s="20"/>
      <c r="X2304" s="19"/>
      <c r="Y2304" s="20"/>
    </row>
    <row r="2305" spans="16:25">
      <c r="P2305" s="19"/>
      <c r="Q2305" s="20"/>
      <c r="R2305" s="25"/>
      <c r="S2305" s="20"/>
      <c r="X2305" s="19"/>
      <c r="Y2305" s="20"/>
    </row>
    <row r="2306" spans="16:25">
      <c r="P2306" s="19"/>
      <c r="Q2306" s="20"/>
      <c r="R2306" s="25"/>
      <c r="S2306" s="20"/>
      <c r="X2306" s="19"/>
      <c r="Y2306" s="20"/>
    </row>
    <row r="2307" spans="16:25">
      <c r="P2307" s="19"/>
      <c r="Q2307" s="20"/>
      <c r="R2307" s="25"/>
      <c r="S2307" s="20"/>
      <c r="X2307" s="19"/>
      <c r="Y2307" s="20"/>
    </row>
    <row r="2308" spans="16:25">
      <c r="P2308" s="19"/>
      <c r="Q2308" s="20"/>
      <c r="R2308" s="25"/>
      <c r="S2308" s="20"/>
      <c r="X2308" s="19"/>
      <c r="Y2308" s="20"/>
    </row>
    <row r="2309" spans="16:25">
      <c r="P2309" s="19"/>
      <c r="Q2309" s="20"/>
      <c r="R2309" s="25"/>
      <c r="S2309" s="20"/>
      <c r="X2309" s="19"/>
      <c r="Y2309" s="20"/>
    </row>
    <row r="2310" spans="16:25">
      <c r="P2310" s="19"/>
      <c r="Q2310" s="20"/>
      <c r="R2310" s="25"/>
      <c r="S2310" s="20"/>
      <c r="X2310" s="19"/>
      <c r="Y2310" s="20"/>
    </row>
    <row r="2311" spans="16:25">
      <c r="P2311" s="19"/>
      <c r="Q2311" s="20"/>
      <c r="R2311" s="25"/>
      <c r="S2311" s="20"/>
      <c r="X2311" s="19"/>
      <c r="Y2311" s="20"/>
    </row>
    <row r="2312" spans="16:25">
      <c r="P2312" s="19"/>
      <c r="Q2312" s="20"/>
      <c r="R2312" s="25"/>
      <c r="S2312" s="20"/>
      <c r="X2312" s="19"/>
      <c r="Y2312" s="20"/>
    </row>
    <row r="2313" spans="16:25">
      <c r="P2313" s="19"/>
      <c r="Q2313" s="20"/>
      <c r="R2313" s="25"/>
      <c r="S2313" s="20"/>
      <c r="X2313" s="19"/>
      <c r="Y2313" s="20"/>
    </row>
    <row r="2314" spans="16:25">
      <c r="P2314" s="19"/>
      <c r="Q2314" s="20"/>
      <c r="R2314" s="25"/>
      <c r="S2314" s="20"/>
      <c r="X2314" s="19"/>
      <c r="Y2314" s="20"/>
    </row>
    <row r="2315" spans="16:25">
      <c r="P2315" s="19"/>
      <c r="Q2315" s="20"/>
      <c r="R2315" s="25"/>
      <c r="S2315" s="20"/>
      <c r="X2315" s="19"/>
      <c r="Y2315" s="20"/>
    </row>
    <row r="2316" spans="16:25">
      <c r="P2316" s="19"/>
      <c r="Q2316" s="20"/>
      <c r="R2316" s="25"/>
      <c r="S2316" s="20"/>
      <c r="X2316" s="19"/>
      <c r="Y2316" s="20"/>
    </row>
    <row r="2317" spans="16:25">
      <c r="P2317" s="19"/>
      <c r="Q2317" s="20"/>
      <c r="R2317" s="25"/>
      <c r="S2317" s="20"/>
      <c r="X2317" s="19"/>
      <c r="Y2317" s="20"/>
    </row>
    <row r="2318" spans="16:25">
      <c r="P2318" s="19"/>
      <c r="Q2318" s="20"/>
      <c r="R2318" s="25"/>
      <c r="S2318" s="20"/>
      <c r="X2318" s="19"/>
      <c r="Y2318" s="20"/>
    </row>
    <row r="2319" spans="16:25">
      <c r="P2319" s="19"/>
      <c r="Q2319" s="20"/>
      <c r="R2319" s="25"/>
      <c r="S2319" s="20"/>
      <c r="X2319" s="19"/>
      <c r="Y2319" s="20"/>
    </row>
    <row r="2320" spans="16:25">
      <c r="P2320" s="19"/>
      <c r="Q2320" s="20"/>
      <c r="R2320" s="25"/>
      <c r="S2320" s="20"/>
      <c r="X2320" s="19"/>
      <c r="Y2320" s="20"/>
    </row>
    <row r="2321" spans="16:25">
      <c r="P2321" s="19"/>
      <c r="Q2321" s="20"/>
      <c r="R2321" s="25"/>
      <c r="S2321" s="20"/>
      <c r="X2321" s="19"/>
      <c r="Y2321" s="20"/>
    </row>
    <row r="2322" spans="16:25">
      <c r="P2322" s="19"/>
      <c r="Q2322" s="20"/>
      <c r="R2322" s="25"/>
      <c r="S2322" s="20"/>
      <c r="X2322" s="19"/>
      <c r="Y2322" s="20"/>
    </row>
    <row r="2323" spans="16:25">
      <c r="P2323" s="19"/>
      <c r="Q2323" s="20"/>
      <c r="R2323" s="25"/>
      <c r="S2323" s="20"/>
      <c r="X2323" s="19"/>
      <c r="Y2323" s="20"/>
    </row>
    <row r="2324" spans="16:25">
      <c r="P2324" s="19"/>
      <c r="Q2324" s="20"/>
      <c r="R2324" s="25"/>
      <c r="S2324" s="20"/>
      <c r="X2324" s="19"/>
      <c r="Y2324" s="20"/>
    </row>
    <row r="2325" spans="16:25">
      <c r="P2325" s="19"/>
      <c r="Q2325" s="20"/>
      <c r="R2325" s="25"/>
      <c r="S2325" s="20"/>
      <c r="X2325" s="19"/>
      <c r="Y2325" s="20"/>
    </row>
    <row r="2326" spans="16:25">
      <c r="P2326" s="19"/>
      <c r="Q2326" s="20"/>
      <c r="R2326" s="25"/>
      <c r="S2326" s="20"/>
      <c r="X2326" s="19"/>
      <c r="Y2326" s="20"/>
    </row>
    <row r="2327" spans="16:25">
      <c r="P2327" s="19"/>
      <c r="Q2327" s="20"/>
      <c r="R2327" s="25"/>
      <c r="S2327" s="20"/>
      <c r="X2327" s="19"/>
      <c r="Y2327" s="20"/>
    </row>
    <row r="2328" spans="16:25">
      <c r="P2328" s="19"/>
      <c r="Q2328" s="20"/>
      <c r="R2328" s="25"/>
      <c r="S2328" s="20"/>
      <c r="X2328" s="19"/>
      <c r="Y2328" s="20"/>
    </row>
    <row r="2329" spans="16:25">
      <c r="P2329" s="19"/>
      <c r="Q2329" s="20"/>
      <c r="R2329" s="25"/>
      <c r="S2329" s="20"/>
      <c r="X2329" s="19"/>
      <c r="Y2329" s="20"/>
    </row>
    <row r="2330" spans="16:25">
      <c r="P2330" s="19"/>
      <c r="Q2330" s="20"/>
      <c r="R2330" s="25"/>
      <c r="S2330" s="20"/>
      <c r="X2330" s="19"/>
      <c r="Y2330" s="20"/>
    </row>
    <row r="2331" spans="16:25">
      <c r="P2331" s="19"/>
      <c r="Q2331" s="20"/>
      <c r="R2331" s="25"/>
      <c r="S2331" s="20"/>
      <c r="X2331" s="19"/>
      <c r="Y2331" s="20"/>
    </row>
    <row r="2332" spans="16:25">
      <c r="P2332" s="19"/>
      <c r="Q2332" s="20"/>
      <c r="R2332" s="25"/>
      <c r="S2332" s="20"/>
      <c r="X2332" s="19"/>
      <c r="Y2332" s="20"/>
    </row>
    <row r="2333" spans="16:25">
      <c r="P2333" s="19"/>
      <c r="Q2333" s="20"/>
      <c r="R2333" s="25"/>
      <c r="S2333" s="20"/>
      <c r="X2333" s="19"/>
      <c r="Y2333" s="20"/>
    </row>
    <row r="2334" spans="16:25">
      <c r="P2334" s="19"/>
      <c r="Q2334" s="20"/>
      <c r="R2334" s="25"/>
      <c r="S2334" s="20"/>
      <c r="X2334" s="19"/>
      <c r="Y2334" s="20"/>
    </row>
    <row r="2335" spans="16:25">
      <c r="P2335" s="19"/>
      <c r="Q2335" s="20"/>
      <c r="R2335" s="25"/>
      <c r="S2335" s="20"/>
      <c r="X2335" s="19"/>
      <c r="Y2335" s="20"/>
    </row>
    <row r="2336" spans="16:25">
      <c r="P2336" s="19"/>
      <c r="Q2336" s="20"/>
      <c r="R2336" s="25"/>
      <c r="S2336" s="20"/>
      <c r="X2336" s="19"/>
      <c r="Y2336" s="20"/>
    </row>
    <row r="2337" spans="16:25">
      <c r="P2337" s="19"/>
      <c r="Q2337" s="20"/>
      <c r="R2337" s="25"/>
      <c r="S2337" s="20"/>
      <c r="X2337" s="19"/>
      <c r="Y2337" s="20"/>
    </row>
    <row r="2338" spans="16:25">
      <c r="P2338" s="19"/>
      <c r="Q2338" s="20"/>
      <c r="R2338" s="25"/>
      <c r="S2338" s="20"/>
      <c r="X2338" s="19"/>
      <c r="Y2338" s="20"/>
    </row>
    <row r="2339" spans="16:25">
      <c r="P2339" s="19"/>
      <c r="Q2339" s="20"/>
      <c r="R2339" s="25"/>
      <c r="S2339" s="20"/>
      <c r="X2339" s="19"/>
      <c r="Y2339" s="20"/>
    </row>
    <row r="2340" spans="16:25">
      <c r="P2340" s="19"/>
      <c r="Q2340" s="20"/>
      <c r="R2340" s="25"/>
      <c r="S2340" s="20"/>
      <c r="X2340" s="19"/>
      <c r="Y2340" s="20"/>
    </row>
    <row r="2341" spans="16:25">
      <c r="P2341" s="19"/>
      <c r="Q2341" s="20"/>
      <c r="R2341" s="25"/>
      <c r="S2341" s="20"/>
      <c r="X2341" s="19"/>
      <c r="Y2341" s="20"/>
    </row>
    <row r="2342" spans="16:25">
      <c r="P2342" s="19"/>
      <c r="Q2342" s="20"/>
      <c r="R2342" s="25"/>
      <c r="S2342" s="20"/>
      <c r="X2342" s="19"/>
      <c r="Y2342" s="20"/>
    </row>
    <row r="2343" spans="16:25">
      <c r="P2343" s="19"/>
      <c r="Q2343" s="20"/>
      <c r="R2343" s="25"/>
      <c r="S2343" s="20"/>
      <c r="X2343" s="19"/>
      <c r="Y2343" s="20"/>
    </row>
    <row r="2344" spans="16:25">
      <c r="P2344" s="19"/>
      <c r="Q2344" s="20"/>
      <c r="R2344" s="25"/>
      <c r="S2344" s="20"/>
      <c r="X2344" s="19"/>
      <c r="Y2344" s="20"/>
    </row>
    <row r="2345" spans="16:25">
      <c r="P2345" s="19"/>
      <c r="Q2345" s="20"/>
      <c r="R2345" s="25"/>
      <c r="S2345" s="20"/>
      <c r="X2345" s="19"/>
      <c r="Y2345" s="20"/>
    </row>
    <row r="2346" spans="16:25">
      <c r="P2346" s="19"/>
      <c r="Q2346" s="20"/>
      <c r="R2346" s="25"/>
      <c r="S2346" s="20"/>
      <c r="X2346" s="19"/>
      <c r="Y2346" s="20"/>
    </row>
    <row r="2347" spans="16:25">
      <c r="P2347" s="19"/>
      <c r="Q2347" s="20"/>
      <c r="R2347" s="25"/>
      <c r="S2347" s="20"/>
      <c r="X2347" s="19"/>
      <c r="Y2347" s="20"/>
    </row>
    <row r="2348" spans="16:25">
      <c r="P2348" s="19"/>
      <c r="Q2348" s="20"/>
      <c r="R2348" s="25"/>
      <c r="S2348" s="20"/>
      <c r="X2348" s="19"/>
      <c r="Y2348" s="20"/>
    </row>
    <row r="2349" spans="16:25">
      <c r="P2349" s="19"/>
      <c r="Q2349" s="20"/>
      <c r="R2349" s="25"/>
      <c r="S2349" s="20"/>
      <c r="X2349" s="19"/>
      <c r="Y2349" s="20"/>
    </row>
    <row r="2350" spans="16:25">
      <c r="P2350" s="19"/>
      <c r="Q2350" s="20"/>
      <c r="R2350" s="25"/>
      <c r="S2350" s="20"/>
      <c r="X2350" s="19"/>
      <c r="Y2350" s="20"/>
    </row>
    <row r="2351" spans="16:25">
      <c r="P2351" s="19"/>
      <c r="Q2351" s="20"/>
      <c r="R2351" s="25"/>
      <c r="S2351" s="20"/>
      <c r="X2351" s="19"/>
      <c r="Y2351" s="20"/>
    </row>
    <row r="2352" spans="16:25">
      <c r="P2352" s="19"/>
      <c r="Q2352" s="20"/>
      <c r="R2352" s="25"/>
      <c r="S2352" s="20"/>
      <c r="X2352" s="19"/>
      <c r="Y2352" s="20"/>
    </row>
    <row r="2353" spans="16:25">
      <c r="P2353" s="19"/>
      <c r="Q2353" s="20"/>
      <c r="R2353" s="25"/>
      <c r="S2353" s="20"/>
      <c r="X2353" s="19"/>
      <c r="Y2353" s="20"/>
    </row>
    <row r="2354" spans="16:25">
      <c r="P2354" s="19"/>
      <c r="Q2354" s="20"/>
      <c r="R2354" s="25"/>
      <c r="S2354" s="20"/>
      <c r="X2354" s="19"/>
      <c r="Y2354" s="20"/>
    </row>
    <row r="2355" spans="16:25">
      <c r="P2355" s="19"/>
      <c r="Q2355" s="20"/>
      <c r="R2355" s="25"/>
      <c r="S2355" s="20"/>
      <c r="X2355" s="19"/>
      <c r="Y2355" s="20"/>
    </row>
    <row r="2356" spans="16:25">
      <c r="P2356" s="19"/>
      <c r="Q2356" s="20"/>
      <c r="R2356" s="25"/>
      <c r="S2356" s="20"/>
      <c r="X2356" s="19"/>
      <c r="Y2356" s="20"/>
    </row>
    <row r="2357" spans="16:25">
      <c r="P2357" s="19"/>
      <c r="Q2357" s="20"/>
      <c r="R2357" s="25"/>
      <c r="S2357" s="20"/>
      <c r="X2357" s="19"/>
      <c r="Y2357" s="20"/>
    </row>
    <row r="2358" spans="16:25">
      <c r="P2358" s="19"/>
      <c r="Q2358" s="20"/>
      <c r="R2358" s="25"/>
      <c r="S2358" s="20"/>
      <c r="X2358" s="19"/>
      <c r="Y2358" s="20"/>
    </row>
    <row r="2359" spans="16:25">
      <c r="P2359" s="19"/>
      <c r="Q2359" s="20"/>
      <c r="R2359" s="25"/>
      <c r="S2359" s="20"/>
      <c r="X2359" s="19"/>
      <c r="Y2359" s="20"/>
    </row>
    <row r="2360" spans="16:25">
      <c r="P2360" s="19"/>
      <c r="Q2360" s="20"/>
      <c r="R2360" s="25"/>
      <c r="S2360" s="20"/>
      <c r="X2360" s="19"/>
      <c r="Y2360" s="20"/>
    </row>
    <row r="2361" spans="16:25">
      <c r="P2361" s="19"/>
      <c r="Q2361" s="20"/>
      <c r="R2361" s="25"/>
      <c r="S2361" s="20"/>
      <c r="X2361" s="19"/>
      <c r="Y2361" s="20"/>
    </row>
    <row r="2362" spans="16:25">
      <c r="P2362" s="19"/>
      <c r="Q2362" s="20"/>
      <c r="R2362" s="25"/>
      <c r="S2362" s="20"/>
      <c r="X2362" s="19"/>
      <c r="Y2362" s="20"/>
    </row>
    <row r="2363" spans="16:25">
      <c r="P2363" s="19"/>
      <c r="Q2363" s="20"/>
      <c r="R2363" s="25"/>
      <c r="S2363" s="20"/>
      <c r="X2363" s="19"/>
      <c r="Y2363" s="20"/>
    </row>
    <row r="2364" spans="16:25">
      <c r="P2364" s="19"/>
      <c r="Q2364" s="20"/>
      <c r="R2364" s="25"/>
      <c r="S2364" s="20"/>
      <c r="X2364" s="19"/>
      <c r="Y2364" s="20"/>
    </row>
    <row r="2365" spans="16:25">
      <c r="P2365" s="19"/>
      <c r="Q2365" s="20"/>
      <c r="R2365" s="25"/>
      <c r="S2365" s="20"/>
      <c r="X2365" s="19"/>
      <c r="Y2365" s="20"/>
    </row>
    <row r="2366" spans="16:25">
      <c r="P2366" s="19"/>
      <c r="Q2366" s="20"/>
      <c r="R2366" s="25"/>
      <c r="S2366" s="20"/>
      <c r="X2366" s="19"/>
      <c r="Y2366" s="20"/>
    </row>
    <row r="2367" spans="16:25">
      <c r="P2367" s="19"/>
      <c r="Q2367" s="20"/>
      <c r="R2367" s="25"/>
      <c r="S2367" s="20"/>
      <c r="X2367" s="19"/>
      <c r="Y2367" s="20"/>
    </row>
    <row r="2368" spans="16:25">
      <c r="P2368" s="19"/>
      <c r="Q2368" s="20"/>
      <c r="R2368" s="25"/>
      <c r="S2368" s="20"/>
      <c r="X2368" s="19"/>
      <c r="Y2368" s="20"/>
    </row>
    <row r="2369" spans="16:25">
      <c r="P2369" s="19"/>
      <c r="Q2369" s="20"/>
      <c r="R2369" s="25"/>
      <c r="S2369" s="20"/>
      <c r="X2369" s="19"/>
      <c r="Y2369" s="20"/>
    </row>
    <row r="2370" spans="16:25">
      <c r="P2370" s="19"/>
      <c r="Q2370" s="20"/>
      <c r="R2370" s="25"/>
      <c r="S2370" s="20"/>
      <c r="X2370" s="19"/>
      <c r="Y2370" s="20"/>
    </row>
    <row r="2371" spans="16:25">
      <c r="P2371" s="19"/>
      <c r="Q2371" s="20"/>
      <c r="R2371" s="25"/>
      <c r="S2371" s="20"/>
      <c r="X2371" s="19"/>
      <c r="Y2371" s="20"/>
    </row>
    <row r="2372" spans="16:25">
      <c r="P2372" s="19"/>
      <c r="Q2372" s="20"/>
      <c r="R2372" s="25"/>
      <c r="S2372" s="20"/>
      <c r="X2372" s="19"/>
      <c r="Y2372" s="20"/>
    </row>
    <row r="2373" spans="16:25">
      <c r="P2373" s="19"/>
      <c r="Q2373" s="20"/>
      <c r="R2373" s="25"/>
      <c r="S2373" s="20"/>
      <c r="X2373" s="19"/>
      <c r="Y2373" s="20"/>
    </row>
    <row r="2374" spans="16:25">
      <c r="P2374" s="19"/>
      <c r="Q2374" s="20"/>
      <c r="R2374" s="25"/>
      <c r="S2374" s="20"/>
      <c r="X2374" s="19"/>
      <c r="Y2374" s="20"/>
    </row>
    <row r="2375" spans="16:25">
      <c r="P2375" s="19"/>
      <c r="Q2375" s="20"/>
      <c r="R2375" s="25"/>
      <c r="S2375" s="20"/>
      <c r="X2375" s="19"/>
      <c r="Y2375" s="20"/>
    </row>
    <row r="2376" spans="16:25">
      <c r="P2376" s="19"/>
      <c r="Q2376" s="20"/>
      <c r="R2376" s="25"/>
      <c r="S2376" s="20"/>
      <c r="X2376" s="19"/>
      <c r="Y2376" s="20"/>
    </row>
    <row r="2377" spans="16:25">
      <c r="P2377" s="19"/>
      <c r="Q2377" s="20"/>
      <c r="R2377" s="25"/>
      <c r="S2377" s="20"/>
      <c r="X2377" s="19"/>
      <c r="Y2377" s="20"/>
    </row>
    <row r="2378" spans="16:25">
      <c r="P2378" s="19"/>
      <c r="Q2378" s="20"/>
      <c r="R2378" s="25"/>
      <c r="S2378" s="20"/>
      <c r="X2378" s="19"/>
      <c r="Y2378" s="20"/>
    </row>
    <row r="2379" spans="16:25">
      <c r="P2379" s="19"/>
      <c r="Q2379" s="20"/>
      <c r="R2379" s="25"/>
      <c r="S2379" s="20"/>
      <c r="X2379" s="19"/>
      <c r="Y2379" s="20"/>
    </row>
    <row r="2380" spans="16:25">
      <c r="P2380" s="19"/>
      <c r="Q2380" s="20"/>
      <c r="R2380" s="25"/>
      <c r="S2380" s="20"/>
      <c r="X2380" s="19"/>
      <c r="Y2380" s="20"/>
    </row>
    <row r="2381" spans="16:25">
      <c r="P2381" s="19"/>
      <c r="Q2381" s="20"/>
      <c r="R2381" s="25"/>
      <c r="S2381" s="20"/>
      <c r="X2381" s="19"/>
      <c r="Y2381" s="20"/>
    </row>
    <row r="2382" spans="16:25">
      <c r="P2382" s="19"/>
      <c r="Q2382" s="20"/>
      <c r="R2382" s="25"/>
      <c r="S2382" s="20"/>
      <c r="X2382" s="19"/>
      <c r="Y2382" s="20"/>
    </row>
    <row r="2383" spans="16:25">
      <c r="P2383" s="19"/>
      <c r="Q2383" s="20"/>
      <c r="R2383" s="25"/>
      <c r="S2383" s="20"/>
      <c r="X2383" s="19"/>
      <c r="Y2383" s="20"/>
    </row>
    <row r="2384" spans="16:25">
      <c r="P2384" s="19"/>
      <c r="Q2384" s="20"/>
      <c r="R2384" s="25"/>
      <c r="S2384" s="20"/>
      <c r="X2384" s="19"/>
      <c r="Y2384" s="20"/>
    </row>
    <row r="2385" spans="16:25">
      <c r="P2385" s="19"/>
      <c r="Q2385" s="20"/>
      <c r="R2385" s="25"/>
      <c r="S2385" s="20"/>
      <c r="X2385" s="19"/>
      <c r="Y2385" s="20"/>
    </row>
    <row r="2386" spans="16:25">
      <c r="P2386" s="19"/>
      <c r="Q2386" s="20"/>
      <c r="R2386" s="25"/>
      <c r="S2386" s="20"/>
      <c r="X2386" s="19"/>
      <c r="Y2386" s="20"/>
    </row>
    <row r="2387" spans="16:25">
      <c r="P2387" s="19"/>
      <c r="Q2387" s="20"/>
      <c r="R2387" s="25"/>
      <c r="S2387" s="20"/>
      <c r="X2387" s="19"/>
      <c r="Y2387" s="20"/>
    </row>
    <row r="2388" spans="16:25">
      <c r="P2388" s="19"/>
      <c r="Q2388" s="20"/>
      <c r="R2388" s="25"/>
      <c r="S2388" s="20"/>
      <c r="X2388" s="19"/>
      <c r="Y2388" s="20"/>
    </row>
    <row r="2389" spans="16:25">
      <c r="P2389" s="19"/>
      <c r="Q2389" s="20"/>
      <c r="R2389" s="25"/>
      <c r="S2389" s="20"/>
      <c r="X2389" s="19"/>
      <c r="Y2389" s="20"/>
    </row>
    <row r="2390" spans="16:25">
      <c r="P2390" s="19"/>
      <c r="Q2390" s="20"/>
      <c r="R2390" s="25"/>
      <c r="S2390" s="20"/>
      <c r="X2390" s="19"/>
      <c r="Y2390" s="20"/>
    </row>
    <row r="2391" spans="16:25">
      <c r="P2391" s="19"/>
      <c r="Q2391" s="20"/>
      <c r="R2391" s="25"/>
      <c r="S2391" s="20"/>
      <c r="X2391" s="19"/>
      <c r="Y2391" s="20"/>
    </row>
    <row r="2392" spans="16:25">
      <c r="P2392" s="19"/>
      <c r="Q2392" s="20"/>
      <c r="R2392" s="25"/>
      <c r="S2392" s="20"/>
      <c r="X2392" s="19"/>
      <c r="Y2392" s="20"/>
    </row>
    <row r="2393" spans="16:25">
      <c r="P2393" s="19"/>
      <c r="Q2393" s="20"/>
      <c r="R2393" s="25"/>
      <c r="S2393" s="20"/>
      <c r="X2393" s="19"/>
      <c r="Y2393" s="20"/>
    </row>
    <row r="2394" spans="16:25">
      <c r="P2394" s="19"/>
      <c r="Q2394" s="20"/>
      <c r="R2394" s="25"/>
      <c r="S2394" s="20"/>
      <c r="X2394" s="19"/>
      <c r="Y2394" s="20"/>
    </row>
    <row r="2395" spans="16:25">
      <c r="P2395" s="19"/>
      <c r="Q2395" s="20"/>
      <c r="R2395" s="25"/>
      <c r="S2395" s="20"/>
      <c r="X2395" s="19"/>
      <c r="Y2395" s="20"/>
    </row>
    <row r="2396" spans="16:25">
      <c r="P2396" s="19"/>
      <c r="Q2396" s="20"/>
      <c r="R2396" s="25"/>
      <c r="S2396" s="20"/>
      <c r="X2396" s="19"/>
      <c r="Y2396" s="20"/>
    </row>
    <row r="2397" spans="16:25">
      <c r="P2397" s="19"/>
      <c r="Q2397" s="20"/>
      <c r="R2397" s="25"/>
      <c r="S2397" s="20"/>
      <c r="X2397" s="19"/>
      <c r="Y2397" s="20"/>
    </row>
    <row r="2398" spans="16:25">
      <c r="P2398" s="19"/>
      <c r="Q2398" s="20"/>
      <c r="R2398" s="25"/>
      <c r="S2398" s="20"/>
      <c r="X2398" s="19"/>
      <c r="Y2398" s="20"/>
    </row>
    <row r="2399" spans="16:25">
      <c r="P2399" s="19"/>
      <c r="Q2399" s="20"/>
      <c r="R2399" s="25"/>
      <c r="S2399" s="20"/>
      <c r="X2399" s="19"/>
      <c r="Y2399" s="20"/>
    </row>
    <row r="2400" spans="16:25">
      <c r="P2400" s="19"/>
      <c r="Q2400" s="20"/>
      <c r="R2400" s="25"/>
      <c r="S2400" s="20"/>
      <c r="X2400" s="19"/>
      <c r="Y2400" s="20"/>
    </row>
    <row r="2401" spans="16:25">
      <c r="P2401" s="19"/>
      <c r="Q2401" s="20"/>
      <c r="R2401" s="25"/>
      <c r="S2401" s="20"/>
      <c r="X2401" s="19"/>
      <c r="Y2401" s="20"/>
    </row>
    <row r="2402" spans="16:25">
      <c r="P2402" s="19"/>
      <c r="Q2402" s="20"/>
      <c r="R2402" s="25"/>
      <c r="S2402" s="20"/>
      <c r="X2402" s="19"/>
      <c r="Y2402" s="20"/>
    </row>
    <row r="2403" spans="16:25">
      <c r="P2403" s="19"/>
      <c r="Q2403" s="20"/>
      <c r="R2403" s="25"/>
      <c r="S2403" s="20"/>
      <c r="X2403" s="19"/>
      <c r="Y2403" s="20"/>
    </row>
    <row r="2404" spans="16:25">
      <c r="P2404" s="19"/>
      <c r="Q2404" s="20"/>
      <c r="R2404" s="25"/>
      <c r="S2404" s="20"/>
      <c r="X2404" s="19"/>
      <c r="Y2404" s="20"/>
    </row>
    <row r="2405" spans="16:25">
      <c r="P2405" s="19"/>
      <c r="Q2405" s="20"/>
      <c r="R2405" s="25"/>
      <c r="S2405" s="20"/>
      <c r="X2405" s="19"/>
      <c r="Y2405" s="20"/>
    </row>
    <row r="2406" spans="16:25">
      <c r="P2406" s="19"/>
      <c r="Q2406" s="20"/>
      <c r="R2406" s="25"/>
      <c r="S2406" s="20"/>
      <c r="X2406" s="19"/>
      <c r="Y2406" s="20"/>
    </row>
    <row r="2407" spans="16:25">
      <c r="P2407" s="19"/>
      <c r="Q2407" s="20"/>
      <c r="R2407" s="25"/>
      <c r="S2407" s="20"/>
      <c r="X2407" s="19"/>
      <c r="Y2407" s="20"/>
    </row>
    <row r="2408" spans="16:25">
      <c r="P2408" s="19"/>
      <c r="Q2408" s="20"/>
      <c r="R2408" s="25"/>
      <c r="S2408" s="20"/>
      <c r="X2408" s="19"/>
      <c r="Y2408" s="20"/>
    </row>
    <row r="2409" spans="16:25">
      <c r="P2409" s="19"/>
      <c r="Q2409" s="20"/>
      <c r="R2409" s="25"/>
      <c r="S2409" s="20"/>
      <c r="X2409" s="19"/>
      <c r="Y2409" s="20"/>
    </row>
    <row r="2410" spans="16:25">
      <c r="P2410" s="19"/>
      <c r="Q2410" s="20"/>
      <c r="R2410" s="25"/>
      <c r="S2410" s="20"/>
      <c r="X2410" s="19"/>
      <c r="Y2410" s="20"/>
    </row>
    <row r="2411" spans="16:25">
      <c r="P2411" s="19"/>
      <c r="Q2411" s="20"/>
      <c r="R2411" s="25"/>
      <c r="S2411" s="20"/>
      <c r="X2411" s="19"/>
      <c r="Y2411" s="20"/>
    </row>
    <row r="2412" spans="16:25">
      <c r="P2412" s="19"/>
      <c r="Q2412" s="20"/>
      <c r="R2412" s="25"/>
      <c r="S2412" s="20"/>
      <c r="X2412" s="19"/>
      <c r="Y2412" s="20"/>
    </row>
    <row r="2413" spans="16:25">
      <c r="P2413" s="19"/>
      <c r="Q2413" s="20"/>
      <c r="R2413" s="25"/>
      <c r="S2413" s="20"/>
      <c r="X2413" s="19"/>
      <c r="Y2413" s="20"/>
    </row>
    <row r="2414" spans="16:25">
      <c r="P2414" s="19"/>
      <c r="Q2414" s="20"/>
      <c r="R2414" s="25"/>
      <c r="S2414" s="20"/>
      <c r="X2414" s="19"/>
      <c r="Y2414" s="20"/>
    </row>
    <row r="2415" spans="16:25">
      <c r="P2415" s="19"/>
      <c r="Q2415" s="20"/>
      <c r="R2415" s="25"/>
      <c r="S2415" s="20"/>
      <c r="X2415" s="19"/>
      <c r="Y2415" s="20"/>
    </row>
    <row r="2416" spans="16:25">
      <c r="P2416" s="19"/>
      <c r="Q2416" s="20"/>
      <c r="R2416" s="25"/>
      <c r="S2416" s="20"/>
      <c r="X2416" s="19"/>
      <c r="Y2416" s="20"/>
    </row>
    <row r="2417" spans="16:25">
      <c r="P2417" s="19"/>
      <c r="Q2417" s="20"/>
      <c r="R2417" s="25"/>
      <c r="S2417" s="20"/>
      <c r="X2417" s="19"/>
      <c r="Y2417" s="20"/>
    </row>
    <row r="2418" spans="16:25">
      <c r="P2418" s="19"/>
      <c r="Q2418" s="20"/>
      <c r="R2418" s="25"/>
      <c r="S2418" s="20"/>
      <c r="X2418" s="19"/>
      <c r="Y2418" s="20"/>
    </row>
    <row r="2419" spans="16:25">
      <c r="P2419" s="19"/>
      <c r="Q2419" s="20"/>
      <c r="R2419" s="25"/>
      <c r="S2419" s="20"/>
      <c r="X2419" s="19"/>
      <c r="Y2419" s="20"/>
    </row>
    <row r="2420" spans="16:25">
      <c r="P2420" s="19"/>
      <c r="Q2420" s="20"/>
      <c r="R2420" s="25"/>
      <c r="S2420" s="20"/>
      <c r="X2420" s="19"/>
      <c r="Y2420" s="20"/>
    </row>
    <row r="2421" spans="16:25">
      <c r="P2421" s="19"/>
      <c r="Q2421" s="20"/>
      <c r="R2421" s="25"/>
      <c r="S2421" s="20"/>
      <c r="X2421" s="19"/>
      <c r="Y2421" s="20"/>
    </row>
    <row r="2422" spans="16:25">
      <c r="P2422" s="19"/>
      <c r="Q2422" s="20"/>
      <c r="R2422" s="25"/>
      <c r="S2422" s="20"/>
      <c r="X2422" s="19"/>
      <c r="Y2422" s="20"/>
    </row>
    <row r="2423" spans="16:25">
      <c r="P2423" s="19"/>
      <c r="Q2423" s="20"/>
      <c r="R2423" s="25"/>
      <c r="S2423" s="20"/>
      <c r="X2423" s="19"/>
      <c r="Y2423" s="20"/>
    </row>
    <row r="2424" spans="16:25">
      <c r="P2424" s="19"/>
      <c r="Q2424" s="20"/>
      <c r="R2424" s="25"/>
      <c r="S2424" s="20"/>
      <c r="X2424" s="19"/>
      <c r="Y2424" s="20"/>
    </row>
    <row r="2425" spans="16:25">
      <c r="P2425" s="19"/>
      <c r="Q2425" s="20"/>
      <c r="R2425" s="25"/>
      <c r="S2425" s="20"/>
      <c r="X2425" s="19"/>
      <c r="Y2425" s="20"/>
    </row>
    <row r="2426" spans="16:25">
      <c r="P2426" s="19"/>
      <c r="Q2426" s="20"/>
      <c r="R2426" s="25"/>
      <c r="S2426" s="20"/>
      <c r="X2426" s="19"/>
      <c r="Y2426" s="20"/>
    </row>
    <row r="2427" spans="16:25">
      <c r="P2427" s="19"/>
      <c r="Q2427" s="20"/>
      <c r="R2427" s="25"/>
      <c r="S2427" s="20"/>
      <c r="X2427" s="19"/>
      <c r="Y2427" s="20"/>
    </row>
    <row r="2428" spans="16:25">
      <c r="P2428" s="19"/>
      <c r="Q2428" s="20"/>
      <c r="R2428" s="25"/>
      <c r="S2428" s="20"/>
      <c r="X2428" s="19"/>
      <c r="Y2428" s="20"/>
    </row>
    <row r="2429" spans="16:25">
      <c r="P2429" s="19"/>
      <c r="Q2429" s="20"/>
      <c r="R2429" s="25"/>
      <c r="S2429" s="20"/>
      <c r="X2429" s="19"/>
      <c r="Y2429" s="20"/>
    </row>
    <row r="2430" spans="16:25">
      <c r="P2430" s="19"/>
      <c r="Q2430" s="20"/>
      <c r="R2430" s="25"/>
      <c r="S2430" s="20"/>
      <c r="X2430" s="19"/>
      <c r="Y2430" s="20"/>
    </row>
    <row r="2431" spans="16:25">
      <c r="P2431" s="19"/>
      <c r="Q2431" s="20"/>
      <c r="R2431" s="25"/>
      <c r="S2431" s="20"/>
      <c r="X2431" s="19"/>
      <c r="Y2431" s="20"/>
    </row>
    <row r="2432" spans="16:25">
      <c r="P2432" s="19"/>
      <c r="Q2432" s="20"/>
      <c r="R2432" s="25"/>
      <c r="S2432" s="20"/>
      <c r="X2432" s="19"/>
      <c r="Y2432" s="20"/>
    </row>
    <row r="2433" spans="16:25">
      <c r="P2433" s="19"/>
      <c r="Q2433" s="20"/>
      <c r="R2433" s="25"/>
      <c r="S2433" s="20"/>
      <c r="X2433" s="19"/>
      <c r="Y2433" s="20"/>
    </row>
    <row r="2434" spans="16:25">
      <c r="P2434" s="19"/>
      <c r="Q2434" s="20"/>
      <c r="R2434" s="25"/>
      <c r="S2434" s="20"/>
      <c r="X2434" s="19"/>
      <c r="Y2434" s="20"/>
    </row>
    <row r="2435" spans="16:25">
      <c r="P2435" s="19"/>
      <c r="Q2435" s="20"/>
      <c r="R2435" s="25"/>
      <c r="S2435" s="20"/>
      <c r="X2435" s="19"/>
      <c r="Y2435" s="20"/>
    </row>
    <row r="2436" spans="16:25">
      <c r="P2436" s="19"/>
      <c r="Q2436" s="20"/>
      <c r="R2436" s="25"/>
      <c r="S2436" s="20"/>
      <c r="X2436" s="19"/>
      <c r="Y2436" s="20"/>
    </row>
    <row r="2437" spans="16:25">
      <c r="P2437" s="19"/>
      <c r="Q2437" s="20"/>
      <c r="R2437" s="25"/>
      <c r="S2437" s="20"/>
      <c r="X2437" s="19"/>
      <c r="Y2437" s="20"/>
    </row>
    <row r="2438" spans="16:25">
      <c r="P2438" s="19"/>
      <c r="Q2438" s="20"/>
      <c r="R2438" s="25"/>
      <c r="S2438" s="20"/>
      <c r="X2438" s="19"/>
      <c r="Y2438" s="20"/>
    </row>
    <row r="2439" spans="16:25">
      <c r="P2439" s="19"/>
      <c r="Q2439" s="20"/>
      <c r="R2439" s="25"/>
      <c r="S2439" s="20"/>
      <c r="X2439" s="19"/>
      <c r="Y2439" s="20"/>
    </row>
    <row r="2440" spans="16:25">
      <c r="P2440" s="19"/>
      <c r="Q2440" s="20"/>
      <c r="R2440" s="25"/>
      <c r="S2440" s="20"/>
      <c r="X2440" s="19"/>
      <c r="Y2440" s="20"/>
    </row>
    <row r="2441" spans="16:25">
      <c r="P2441" s="19"/>
      <c r="Q2441" s="20"/>
      <c r="R2441" s="25"/>
      <c r="S2441" s="20"/>
      <c r="X2441" s="19"/>
      <c r="Y2441" s="20"/>
    </row>
    <row r="2442" spans="16:25">
      <c r="P2442" s="19"/>
      <c r="Q2442" s="20"/>
      <c r="R2442" s="25"/>
      <c r="S2442" s="20"/>
      <c r="X2442" s="19"/>
      <c r="Y2442" s="20"/>
    </row>
    <row r="2443" spans="16:25">
      <c r="P2443" s="19"/>
      <c r="Q2443" s="20"/>
      <c r="R2443" s="25"/>
      <c r="S2443" s="20"/>
      <c r="X2443" s="19"/>
      <c r="Y2443" s="20"/>
    </row>
    <row r="2444" spans="16:25">
      <c r="P2444" s="19"/>
      <c r="Q2444" s="20"/>
      <c r="R2444" s="25"/>
      <c r="S2444" s="20"/>
      <c r="X2444" s="19"/>
      <c r="Y2444" s="20"/>
    </row>
    <row r="2445" spans="16:25">
      <c r="P2445" s="19"/>
      <c r="Q2445" s="20"/>
      <c r="R2445" s="25"/>
      <c r="S2445" s="20"/>
      <c r="X2445" s="19"/>
      <c r="Y2445" s="20"/>
    </row>
    <row r="2446" spans="16:25">
      <c r="P2446" s="19"/>
      <c r="Q2446" s="20"/>
      <c r="R2446" s="25"/>
      <c r="S2446" s="20"/>
      <c r="X2446" s="19"/>
      <c r="Y2446" s="20"/>
    </row>
    <row r="2447" spans="16:25">
      <c r="P2447" s="19"/>
      <c r="Q2447" s="20"/>
      <c r="R2447" s="25"/>
      <c r="S2447" s="20"/>
      <c r="X2447" s="19"/>
      <c r="Y2447" s="20"/>
    </row>
    <row r="2448" spans="16:25">
      <c r="P2448" s="19"/>
      <c r="Q2448" s="20"/>
      <c r="R2448" s="25"/>
      <c r="S2448" s="20"/>
      <c r="X2448" s="19"/>
      <c r="Y2448" s="20"/>
    </row>
    <row r="2449" spans="16:25">
      <c r="P2449" s="19"/>
      <c r="Q2449" s="20"/>
      <c r="R2449" s="25"/>
      <c r="S2449" s="20"/>
      <c r="X2449" s="19"/>
      <c r="Y2449" s="20"/>
    </row>
    <row r="2450" spans="16:25">
      <c r="P2450" s="19"/>
      <c r="Q2450" s="20"/>
      <c r="R2450" s="25"/>
      <c r="S2450" s="20"/>
      <c r="X2450" s="19"/>
      <c r="Y2450" s="20"/>
    </row>
    <row r="2451" spans="16:25">
      <c r="P2451" s="19"/>
      <c r="Q2451" s="20"/>
      <c r="R2451" s="25"/>
      <c r="S2451" s="20"/>
      <c r="X2451" s="19"/>
      <c r="Y2451" s="20"/>
    </row>
    <row r="2452" spans="16:25">
      <c r="P2452" s="19"/>
      <c r="Q2452" s="20"/>
      <c r="R2452" s="25"/>
      <c r="S2452" s="20"/>
      <c r="X2452" s="19"/>
      <c r="Y2452" s="20"/>
    </row>
    <row r="2453" spans="16:25">
      <c r="P2453" s="19"/>
      <c r="Q2453" s="20"/>
      <c r="R2453" s="25"/>
      <c r="S2453" s="20"/>
      <c r="X2453" s="19"/>
      <c r="Y2453" s="20"/>
    </row>
    <row r="2454" spans="16:25">
      <c r="P2454" s="19"/>
      <c r="Q2454" s="20"/>
      <c r="R2454" s="25"/>
      <c r="S2454" s="20"/>
      <c r="X2454" s="19"/>
      <c r="Y2454" s="20"/>
    </row>
    <row r="2455" spans="16:25">
      <c r="P2455" s="19"/>
      <c r="Q2455" s="20"/>
      <c r="R2455" s="25"/>
      <c r="S2455" s="20"/>
      <c r="X2455" s="19"/>
      <c r="Y2455" s="20"/>
    </row>
    <row r="2456" spans="16:25">
      <c r="P2456" s="19"/>
      <c r="Q2456" s="20"/>
      <c r="R2456" s="25"/>
      <c r="S2456" s="20"/>
      <c r="X2456" s="19"/>
      <c r="Y2456" s="20"/>
    </row>
    <row r="2457" spans="16:25">
      <c r="P2457" s="19"/>
      <c r="Q2457" s="20"/>
      <c r="R2457" s="25"/>
      <c r="S2457" s="20"/>
      <c r="X2457" s="19"/>
      <c r="Y2457" s="20"/>
    </row>
    <row r="2458" spans="16:25">
      <c r="P2458" s="19"/>
      <c r="Q2458" s="20"/>
      <c r="R2458" s="25"/>
      <c r="S2458" s="20"/>
      <c r="X2458" s="19"/>
      <c r="Y2458" s="20"/>
    </row>
    <row r="2459" spans="16:25">
      <c r="P2459" s="19"/>
      <c r="Q2459" s="20"/>
      <c r="R2459" s="25"/>
      <c r="S2459" s="20"/>
      <c r="X2459" s="19"/>
      <c r="Y2459" s="20"/>
    </row>
    <row r="2460" spans="16:25">
      <c r="P2460" s="19"/>
      <c r="Q2460" s="20"/>
      <c r="R2460" s="25"/>
      <c r="S2460" s="20"/>
      <c r="X2460" s="19"/>
      <c r="Y2460" s="20"/>
    </row>
    <row r="2461" spans="16:25">
      <c r="P2461" s="19"/>
      <c r="Q2461" s="20"/>
      <c r="R2461" s="25"/>
      <c r="S2461" s="20"/>
      <c r="X2461" s="19"/>
      <c r="Y2461" s="20"/>
    </row>
    <row r="2462" spans="16:25">
      <c r="P2462" s="19"/>
      <c r="Q2462" s="20"/>
      <c r="R2462" s="25"/>
      <c r="S2462" s="20"/>
      <c r="X2462" s="19"/>
      <c r="Y2462" s="20"/>
    </row>
    <row r="2463" spans="16:25">
      <c r="P2463" s="19"/>
      <c r="Q2463" s="20"/>
      <c r="R2463" s="25"/>
      <c r="S2463" s="20"/>
      <c r="X2463" s="19"/>
      <c r="Y2463" s="20"/>
    </row>
    <row r="2464" spans="16:25">
      <c r="P2464" s="19"/>
      <c r="Q2464" s="20"/>
      <c r="R2464" s="25"/>
      <c r="S2464" s="20"/>
      <c r="X2464" s="19"/>
      <c r="Y2464" s="20"/>
    </row>
    <row r="2465" spans="16:25">
      <c r="P2465" s="19"/>
      <c r="Q2465" s="20"/>
      <c r="R2465" s="25"/>
      <c r="S2465" s="20"/>
      <c r="X2465" s="19"/>
      <c r="Y2465" s="20"/>
    </row>
    <row r="2466" spans="16:25">
      <c r="P2466" s="19"/>
      <c r="Q2466" s="20"/>
      <c r="R2466" s="25"/>
      <c r="S2466" s="20"/>
      <c r="X2466" s="19"/>
      <c r="Y2466" s="20"/>
    </row>
    <row r="2467" spans="16:25">
      <c r="P2467" s="19"/>
      <c r="Q2467" s="20"/>
      <c r="R2467" s="25"/>
      <c r="S2467" s="20"/>
      <c r="X2467" s="19"/>
      <c r="Y2467" s="20"/>
    </row>
    <row r="2468" spans="16:25">
      <c r="P2468" s="19"/>
      <c r="Q2468" s="20"/>
      <c r="R2468" s="25"/>
      <c r="S2468" s="20"/>
      <c r="X2468" s="19"/>
      <c r="Y2468" s="20"/>
    </row>
    <row r="2469" spans="16:25">
      <c r="P2469" s="19"/>
      <c r="Q2469" s="20"/>
      <c r="R2469" s="25"/>
      <c r="S2469" s="20"/>
      <c r="X2469" s="19"/>
      <c r="Y2469" s="20"/>
    </row>
    <row r="2470" spans="16:25">
      <c r="P2470" s="19"/>
      <c r="Q2470" s="20"/>
      <c r="R2470" s="25"/>
      <c r="S2470" s="20"/>
      <c r="X2470" s="19"/>
      <c r="Y2470" s="20"/>
    </row>
    <row r="2471" spans="16:25">
      <c r="P2471" s="19"/>
      <c r="Q2471" s="20"/>
      <c r="R2471" s="25"/>
      <c r="S2471" s="20"/>
      <c r="X2471" s="19"/>
      <c r="Y2471" s="20"/>
    </row>
    <row r="2472" spans="16:25">
      <c r="P2472" s="19"/>
      <c r="Q2472" s="20"/>
      <c r="R2472" s="25"/>
      <c r="S2472" s="20"/>
      <c r="X2472" s="19"/>
      <c r="Y2472" s="20"/>
    </row>
    <row r="2473" spans="16:25">
      <c r="P2473" s="19"/>
      <c r="Q2473" s="20"/>
      <c r="R2473" s="25"/>
      <c r="S2473" s="20"/>
      <c r="X2473" s="19"/>
      <c r="Y2473" s="20"/>
    </row>
    <row r="2474" spans="16:25">
      <c r="P2474" s="19"/>
      <c r="Q2474" s="20"/>
      <c r="R2474" s="25"/>
      <c r="S2474" s="20"/>
      <c r="X2474" s="19"/>
      <c r="Y2474" s="20"/>
    </row>
    <row r="2475" spans="16:25">
      <c r="P2475" s="19"/>
      <c r="Q2475" s="20"/>
      <c r="R2475" s="25"/>
      <c r="S2475" s="20"/>
      <c r="X2475" s="19"/>
      <c r="Y2475" s="20"/>
    </row>
    <row r="2476" spans="16:25">
      <c r="P2476" s="19"/>
      <c r="Q2476" s="20"/>
      <c r="R2476" s="25"/>
      <c r="S2476" s="20"/>
      <c r="X2476" s="19"/>
      <c r="Y2476" s="20"/>
    </row>
    <row r="2477" spans="16:25">
      <c r="P2477" s="19"/>
      <c r="Q2477" s="20"/>
      <c r="R2477" s="25"/>
      <c r="S2477" s="20"/>
      <c r="X2477" s="19"/>
      <c r="Y2477" s="20"/>
    </row>
    <row r="2478" spans="16:25">
      <c r="P2478" s="19"/>
      <c r="Q2478" s="20"/>
      <c r="R2478" s="25"/>
      <c r="S2478" s="20"/>
      <c r="X2478" s="19"/>
      <c r="Y2478" s="20"/>
    </row>
    <row r="2479" spans="16:25">
      <c r="P2479" s="19"/>
      <c r="Q2479" s="20"/>
      <c r="R2479" s="25"/>
      <c r="S2479" s="20"/>
      <c r="X2479" s="19"/>
      <c r="Y2479" s="20"/>
    </row>
    <row r="2480" spans="16:25">
      <c r="P2480" s="19"/>
      <c r="Q2480" s="20"/>
      <c r="R2480" s="25"/>
      <c r="S2480" s="20"/>
      <c r="X2480" s="19"/>
      <c r="Y2480" s="20"/>
    </row>
    <row r="2481" spans="16:25">
      <c r="P2481" s="19"/>
      <c r="Q2481" s="20"/>
      <c r="R2481" s="25"/>
      <c r="S2481" s="20"/>
      <c r="X2481" s="19"/>
      <c r="Y2481" s="20"/>
    </row>
    <row r="2482" spans="16:25">
      <c r="P2482" s="19"/>
      <c r="Q2482" s="20"/>
      <c r="R2482" s="25"/>
      <c r="S2482" s="20"/>
      <c r="X2482" s="19"/>
      <c r="Y2482" s="20"/>
    </row>
    <row r="2483" spans="16:25">
      <c r="P2483" s="19"/>
      <c r="Q2483" s="20"/>
      <c r="R2483" s="25"/>
      <c r="S2483" s="20"/>
      <c r="X2483" s="19"/>
      <c r="Y2483" s="20"/>
    </row>
    <row r="2484" spans="16:25">
      <c r="P2484" s="19"/>
      <c r="Q2484" s="20"/>
      <c r="R2484" s="25"/>
      <c r="S2484" s="20"/>
      <c r="X2484" s="19"/>
      <c r="Y2484" s="20"/>
    </row>
    <row r="2485" spans="16:25">
      <c r="P2485" s="19"/>
      <c r="Q2485" s="20"/>
      <c r="R2485" s="25"/>
      <c r="S2485" s="20"/>
      <c r="X2485" s="19"/>
      <c r="Y2485" s="20"/>
    </row>
    <row r="2486" spans="16:25">
      <c r="P2486" s="19"/>
      <c r="Q2486" s="20"/>
      <c r="R2486" s="25"/>
      <c r="S2486" s="20"/>
      <c r="X2486" s="19"/>
      <c r="Y2486" s="20"/>
    </row>
    <row r="2487" spans="16:25">
      <c r="P2487" s="19"/>
      <c r="Q2487" s="20"/>
      <c r="R2487" s="25"/>
      <c r="S2487" s="20"/>
      <c r="X2487" s="19"/>
      <c r="Y2487" s="20"/>
    </row>
    <row r="2488" spans="16:25">
      <c r="P2488" s="19"/>
      <c r="Q2488" s="20"/>
      <c r="R2488" s="25"/>
      <c r="S2488" s="20"/>
      <c r="X2488" s="19"/>
      <c r="Y2488" s="20"/>
    </row>
    <row r="2489" spans="16:25">
      <c r="P2489" s="19"/>
      <c r="Q2489" s="20"/>
      <c r="R2489" s="25"/>
      <c r="S2489" s="20"/>
      <c r="X2489" s="19"/>
      <c r="Y2489" s="20"/>
    </row>
    <row r="2490" spans="16:25">
      <c r="P2490" s="19"/>
      <c r="Q2490" s="20"/>
      <c r="R2490" s="25"/>
      <c r="S2490" s="20"/>
      <c r="X2490" s="19"/>
      <c r="Y2490" s="20"/>
    </row>
    <row r="2491" spans="16:25">
      <c r="P2491" s="19"/>
      <c r="Q2491" s="20"/>
      <c r="R2491" s="25"/>
      <c r="S2491" s="20"/>
      <c r="X2491" s="19"/>
      <c r="Y2491" s="20"/>
    </row>
    <row r="2492" spans="16:25">
      <c r="P2492" s="19"/>
      <c r="Q2492" s="20"/>
      <c r="R2492" s="25"/>
      <c r="S2492" s="20"/>
      <c r="X2492" s="19"/>
      <c r="Y2492" s="20"/>
    </row>
    <row r="2493" spans="16:25">
      <c r="P2493" s="19"/>
      <c r="Q2493" s="20"/>
      <c r="R2493" s="25"/>
      <c r="S2493" s="20"/>
      <c r="X2493" s="19"/>
      <c r="Y2493" s="20"/>
    </row>
    <row r="2494" spans="16:25">
      <c r="P2494" s="19"/>
      <c r="Q2494" s="20"/>
      <c r="R2494" s="25"/>
      <c r="S2494" s="20"/>
      <c r="X2494" s="19"/>
      <c r="Y2494" s="20"/>
    </row>
    <row r="2495" spans="16:25">
      <c r="P2495" s="19"/>
      <c r="Q2495" s="20"/>
      <c r="R2495" s="25"/>
      <c r="S2495" s="20"/>
      <c r="X2495" s="19"/>
      <c r="Y2495" s="20"/>
    </row>
    <row r="2496" spans="16:25">
      <c r="P2496" s="19"/>
      <c r="Q2496" s="20"/>
      <c r="R2496" s="25"/>
      <c r="S2496" s="20"/>
      <c r="X2496" s="19"/>
      <c r="Y2496" s="20"/>
    </row>
    <row r="2497" spans="16:25">
      <c r="P2497" s="19"/>
      <c r="Q2497" s="20"/>
      <c r="R2497" s="25"/>
      <c r="S2497" s="20"/>
      <c r="X2497" s="19"/>
      <c r="Y2497" s="20"/>
    </row>
    <row r="2498" spans="16:25">
      <c r="P2498" s="19"/>
      <c r="Q2498" s="20"/>
      <c r="R2498" s="25"/>
      <c r="S2498" s="20"/>
      <c r="X2498" s="19"/>
      <c r="Y2498" s="20"/>
    </row>
    <row r="2499" spans="16:25">
      <c r="P2499" s="19"/>
      <c r="Q2499" s="20"/>
      <c r="R2499" s="25"/>
      <c r="S2499" s="20"/>
      <c r="X2499" s="19"/>
      <c r="Y2499" s="20"/>
    </row>
    <row r="2500" spans="16:25">
      <c r="P2500" s="19"/>
      <c r="Q2500" s="20"/>
      <c r="R2500" s="25"/>
      <c r="S2500" s="20"/>
      <c r="X2500" s="19"/>
      <c r="Y2500" s="20"/>
    </row>
    <row r="2501" spans="16:25">
      <c r="P2501" s="19"/>
      <c r="Q2501" s="20"/>
      <c r="R2501" s="25"/>
      <c r="S2501" s="20"/>
      <c r="X2501" s="19"/>
      <c r="Y2501" s="20"/>
    </row>
    <row r="2502" spans="16:25">
      <c r="P2502" s="19"/>
      <c r="Q2502" s="20"/>
      <c r="R2502" s="25"/>
      <c r="S2502" s="20"/>
      <c r="X2502" s="19"/>
      <c r="Y2502" s="20"/>
    </row>
    <row r="2503" spans="16:25">
      <c r="P2503" s="19"/>
      <c r="Q2503" s="20"/>
      <c r="R2503" s="25"/>
      <c r="S2503" s="20"/>
      <c r="X2503" s="19"/>
      <c r="Y2503" s="20"/>
    </row>
    <row r="2504" spans="16:25">
      <c r="P2504" s="19"/>
      <c r="Q2504" s="20"/>
      <c r="R2504" s="25"/>
      <c r="S2504" s="20"/>
      <c r="X2504" s="19"/>
      <c r="Y2504" s="20"/>
    </row>
    <row r="2505" spans="16:25">
      <c r="P2505" s="19"/>
      <c r="Q2505" s="20"/>
      <c r="R2505" s="25"/>
      <c r="S2505" s="20"/>
      <c r="X2505" s="19"/>
      <c r="Y2505" s="20"/>
    </row>
    <row r="2506" spans="16:25">
      <c r="P2506" s="19"/>
      <c r="Q2506" s="20"/>
      <c r="R2506" s="25"/>
      <c r="S2506" s="20"/>
      <c r="X2506" s="19"/>
      <c r="Y2506" s="20"/>
    </row>
    <row r="2507" spans="16:25">
      <c r="P2507" s="19"/>
      <c r="Q2507" s="20"/>
      <c r="R2507" s="25"/>
      <c r="S2507" s="20"/>
      <c r="X2507" s="19"/>
      <c r="Y2507" s="20"/>
    </row>
    <row r="2508" spans="16:25">
      <c r="P2508" s="19"/>
      <c r="Q2508" s="20"/>
      <c r="R2508" s="25"/>
      <c r="S2508" s="20"/>
      <c r="X2508" s="19"/>
      <c r="Y2508" s="20"/>
    </row>
    <row r="2509" spans="16:25">
      <c r="P2509" s="19"/>
      <c r="Q2509" s="20"/>
      <c r="R2509" s="25"/>
      <c r="S2509" s="20"/>
      <c r="X2509" s="19"/>
      <c r="Y2509" s="20"/>
    </row>
    <row r="2510" spans="16:25">
      <c r="P2510" s="19"/>
      <c r="Q2510" s="20"/>
      <c r="R2510" s="25"/>
      <c r="S2510" s="20"/>
      <c r="X2510" s="19"/>
      <c r="Y2510" s="20"/>
    </row>
    <row r="2511" spans="16:25">
      <c r="P2511" s="19"/>
      <c r="Q2511" s="20"/>
      <c r="R2511" s="25"/>
      <c r="S2511" s="20"/>
      <c r="X2511" s="19"/>
      <c r="Y2511" s="20"/>
    </row>
    <row r="2512" spans="16:25">
      <c r="P2512" s="19"/>
      <c r="Q2512" s="20"/>
      <c r="R2512" s="25"/>
      <c r="S2512" s="20"/>
      <c r="X2512" s="19"/>
      <c r="Y2512" s="20"/>
    </row>
    <row r="2513" spans="16:25">
      <c r="P2513" s="19"/>
      <c r="Q2513" s="20"/>
      <c r="R2513" s="25"/>
      <c r="S2513" s="20"/>
      <c r="X2513" s="19"/>
      <c r="Y2513" s="20"/>
    </row>
    <row r="2514" spans="16:25">
      <c r="P2514" s="19"/>
      <c r="Q2514" s="20"/>
      <c r="R2514" s="25"/>
      <c r="S2514" s="20"/>
      <c r="X2514" s="19"/>
      <c r="Y2514" s="20"/>
    </row>
    <row r="2515" spans="16:25">
      <c r="P2515" s="19"/>
      <c r="Q2515" s="20"/>
      <c r="R2515" s="25"/>
      <c r="S2515" s="20"/>
      <c r="X2515" s="19"/>
      <c r="Y2515" s="20"/>
    </row>
    <row r="2516" spans="16:25">
      <c r="P2516" s="19"/>
      <c r="Q2516" s="20"/>
      <c r="R2516" s="25"/>
      <c r="S2516" s="20"/>
      <c r="X2516" s="19"/>
      <c r="Y2516" s="20"/>
    </row>
    <row r="2517" spans="16:25">
      <c r="P2517" s="19"/>
      <c r="Q2517" s="20"/>
      <c r="R2517" s="25"/>
      <c r="S2517" s="20"/>
      <c r="X2517" s="19"/>
      <c r="Y2517" s="20"/>
    </row>
    <row r="2518" spans="16:25">
      <c r="P2518" s="19"/>
      <c r="Q2518" s="20"/>
      <c r="R2518" s="25"/>
      <c r="S2518" s="20"/>
      <c r="X2518" s="19"/>
      <c r="Y2518" s="20"/>
    </row>
    <row r="2519" spans="16:25">
      <c r="P2519" s="19"/>
      <c r="Q2519" s="20"/>
      <c r="R2519" s="25"/>
      <c r="S2519" s="20"/>
      <c r="X2519" s="19"/>
      <c r="Y2519" s="20"/>
    </row>
    <row r="2520" spans="16:25">
      <c r="P2520" s="19"/>
      <c r="Q2520" s="20"/>
      <c r="R2520" s="25"/>
      <c r="S2520" s="20"/>
      <c r="X2520" s="19"/>
      <c r="Y2520" s="20"/>
    </row>
    <row r="2521" spans="16:25">
      <c r="P2521" s="19"/>
      <c r="Q2521" s="20"/>
      <c r="R2521" s="25"/>
      <c r="S2521" s="20"/>
      <c r="X2521" s="19"/>
      <c r="Y2521" s="20"/>
    </row>
    <row r="2522" spans="16:25">
      <c r="P2522" s="19"/>
      <c r="Q2522" s="20"/>
      <c r="R2522" s="25"/>
      <c r="S2522" s="20"/>
      <c r="X2522" s="19"/>
      <c r="Y2522" s="20"/>
    </row>
    <row r="2523" spans="16:25">
      <c r="P2523" s="19"/>
      <c r="Q2523" s="20"/>
      <c r="R2523" s="25"/>
      <c r="S2523" s="20"/>
      <c r="X2523" s="19"/>
      <c r="Y2523" s="20"/>
    </row>
    <row r="2524" spans="16:25">
      <c r="P2524" s="19"/>
      <c r="Q2524" s="20"/>
      <c r="R2524" s="25"/>
      <c r="S2524" s="20"/>
      <c r="X2524" s="19"/>
      <c r="Y2524" s="20"/>
    </row>
    <row r="2525" spans="16:25">
      <c r="P2525" s="19"/>
      <c r="Q2525" s="20"/>
      <c r="R2525" s="25"/>
      <c r="S2525" s="20"/>
      <c r="X2525" s="19"/>
      <c r="Y2525" s="20"/>
    </row>
    <row r="2526" spans="16:25">
      <c r="P2526" s="19"/>
      <c r="Q2526" s="20"/>
      <c r="R2526" s="25"/>
      <c r="S2526" s="20"/>
      <c r="X2526" s="19"/>
      <c r="Y2526" s="20"/>
    </row>
    <row r="2527" spans="16:25">
      <c r="P2527" s="19"/>
      <c r="Q2527" s="20"/>
      <c r="R2527" s="25"/>
      <c r="S2527" s="20"/>
      <c r="X2527" s="19"/>
      <c r="Y2527" s="20"/>
    </row>
    <row r="2528" spans="16:25">
      <c r="P2528" s="19"/>
      <c r="Q2528" s="20"/>
      <c r="R2528" s="25"/>
      <c r="S2528" s="20"/>
      <c r="X2528" s="19"/>
      <c r="Y2528" s="20"/>
    </row>
    <row r="2529" spans="16:25">
      <c r="P2529" s="19"/>
      <c r="Q2529" s="20"/>
      <c r="R2529" s="25"/>
      <c r="S2529" s="20"/>
      <c r="X2529" s="19"/>
      <c r="Y2529" s="20"/>
    </row>
    <row r="2530" spans="16:25">
      <c r="P2530" s="19"/>
      <c r="Q2530" s="20"/>
      <c r="R2530" s="25"/>
      <c r="S2530" s="20"/>
      <c r="X2530" s="19"/>
      <c r="Y2530" s="20"/>
    </row>
    <row r="2531" spans="16:25">
      <c r="P2531" s="19"/>
      <c r="Q2531" s="20"/>
      <c r="R2531" s="25"/>
      <c r="S2531" s="20"/>
      <c r="X2531" s="19"/>
      <c r="Y2531" s="20"/>
    </row>
    <row r="2532" spans="16:25">
      <c r="P2532" s="19"/>
      <c r="Q2532" s="20"/>
      <c r="R2532" s="25"/>
      <c r="S2532" s="20"/>
      <c r="X2532" s="19"/>
      <c r="Y2532" s="20"/>
    </row>
    <row r="2533" spans="16:25">
      <c r="P2533" s="19"/>
      <c r="Q2533" s="20"/>
      <c r="R2533" s="25"/>
      <c r="S2533" s="20"/>
      <c r="X2533" s="19"/>
      <c r="Y2533" s="20"/>
    </row>
    <row r="2534" spans="16:25">
      <c r="P2534" s="19"/>
      <c r="Q2534" s="20"/>
      <c r="R2534" s="25"/>
      <c r="S2534" s="20"/>
      <c r="X2534" s="19"/>
      <c r="Y2534" s="20"/>
    </row>
    <row r="2535" spans="16:25">
      <c r="P2535" s="19"/>
      <c r="Q2535" s="20"/>
      <c r="R2535" s="25"/>
      <c r="S2535" s="20"/>
      <c r="X2535" s="19"/>
      <c r="Y2535" s="20"/>
    </row>
    <row r="2536" spans="16:25">
      <c r="P2536" s="19"/>
      <c r="Q2536" s="20"/>
      <c r="R2536" s="25"/>
      <c r="S2536" s="20"/>
      <c r="X2536" s="19"/>
      <c r="Y2536" s="20"/>
    </row>
    <row r="2537" spans="16:25">
      <c r="P2537" s="19"/>
      <c r="Q2537" s="20"/>
      <c r="R2537" s="25"/>
      <c r="S2537" s="20"/>
      <c r="X2537" s="19"/>
      <c r="Y2537" s="20"/>
    </row>
    <row r="2538" spans="16:25">
      <c r="P2538" s="19"/>
      <c r="Q2538" s="20"/>
      <c r="R2538" s="25"/>
      <c r="S2538" s="20"/>
      <c r="X2538" s="19"/>
      <c r="Y2538" s="20"/>
    </row>
    <row r="2539" spans="16:25">
      <c r="P2539" s="19"/>
      <c r="Q2539" s="20"/>
      <c r="R2539" s="25"/>
      <c r="S2539" s="20"/>
      <c r="X2539" s="19"/>
      <c r="Y2539" s="20"/>
    </row>
    <row r="2540" spans="16:25">
      <c r="P2540" s="19"/>
      <c r="Q2540" s="20"/>
      <c r="R2540" s="25"/>
      <c r="S2540" s="20"/>
      <c r="X2540" s="19"/>
      <c r="Y2540" s="20"/>
    </row>
    <row r="2541" spans="16:25">
      <c r="P2541" s="19"/>
      <c r="Q2541" s="20"/>
      <c r="R2541" s="25"/>
      <c r="S2541" s="20"/>
      <c r="X2541" s="19"/>
      <c r="Y2541" s="20"/>
    </row>
    <row r="2542" spans="16:25">
      <c r="P2542" s="19"/>
      <c r="Q2542" s="20"/>
      <c r="R2542" s="25"/>
      <c r="S2542" s="20"/>
      <c r="X2542" s="19"/>
      <c r="Y2542" s="20"/>
    </row>
    <row r="2543" spans="16:25">
      <c r="P2543" s="19"/>
      <c r="Q2543" s="20"/>
      <c r="R2543" s="25"/>
      <c r="S2543" s="20"/>
      <c r="X2543" s="19"/>
      <c r="Y2543" s="20"/>
    </row>
    <row r="2544" spans="16:25">
      <c r="P2544" s="19"/>
      <c r="Q2544" s="20"/>
      <c r="R2544" s="25"/>
      <c r="S2544" s="20"/>
      <c r="X2544" s="19"/>
      <c r="Y2544" s="20"/>
    </row>
    <row r="2545" spans="16:25">
      <c r="P2545" s="19"/>
      <c r="Q2545" s="20"/>
      <c r="R2545" s="25"/>
      <c r="S2545" s="20"/>
      <c r="X2545" s="19"/>
      <c r="Y2545" s="20"/>
    </row>
    <row r="2546" spans="16:25">
      <c r="P2546" s="19"/>
      <c r="Q2546" s="20"/>
      <c r="R2546" s="25"/>
      <c r="S2546" s="20"/>
      <c r="X2546" s="19"/>
      <c r="Y2546" s="20"/>
    </row>
    <row r="2547" spans="16:25">
      <c r="P2547" s="19"/>
      <c r="Q2547" s="20"/>
      <c r="R2547" s="25"/>
      <c r="S2547" s="20"/>
      <c r="X2547" s="19"/>
      <c r="Y2547" s="20"/>
    </row>
    <row r="2548" spans="16:25">
      <c r="P2548" s="19"/>
      <c r="Q2548" s="20"/>
      <c r="R2548" s="25"/>
      <c r="S2548" s="20"/>
      <c r="X2548" s="19"/>
      <c r="Y2548" s="20"/>
    </row>
    <row r="2549" spans="16:25">
      <c r="P2549" s="19"/>
      <c r="Q2549" s="20"/>
      <c r="R2549" s="25"/>
      <c r="S2549" s="20"/>
      <c r="X2549" s="19"/>
      <c r="Y2549" s="20"/>
    </row>
    <row r="2550" spans="16:25">
      <c r="P2550" s="19"/>
      <c r="Q2550" s="20"/>
      <c r="R2550" s="25"/>
      <c r="S2550" s="20"/>
      <c r="X2550" s="19"/>
      <c r="Y2550" s="20"/>
    </row>
    <row r="2551" spans="16:25">
      <c r="P2551" s="19"/>
      <c r="Q2551" s="20"/>
      <c r="R2551" s="25"/>
      <c r="S2551" s="20"/>
      <c r="X2551" s="19"/>
      <c r="Y2551" s="20"/>
    </row>
    <row r="2552" spans="16:25">
      <c r="P2552" s="19"/>
      <c r="Q2552" s="20"/>
      <c r="R2552" s="25"/>
      <c r="S2552" s="20"/>
      <c r="X2552" s="19"/>
      <c r="Y2552" s="20"/>
    </row>
    <row r="2553" spans="16:25">
      <c r="P2553" s="19"/>
      <c r="Q2553" s="20"/>
      <c r="R2553" s="25"/>
      <c r="S2553" s="20"/>
      <c r="X2553" s="19"/>
      <c r="Y2553" s="20"/>
    </row>
    <row r="2554" spans="16:25">
      <c r="P2554" s="19"/>
      <c r="Q2554" s="20"/>
      <c r="R2554" s="25"/>
      <c r="S2554" s="20"/>
      <c r="X2554" s="19"/>
      <c r="Y2554" s="20"/>
    </row>
    <row r="2555" spans="16:25">
      <c r="P2555" s="19"/>
      <c r="Q2555" s="20"/>
      <c r="R2555" s="25"/>
      <c r="S2555" s="20"/>
      <c r="X2555" s="19"/>
      <c r="Y2555" s="20"/>
    </row>
    <row r="2556" spans="16:25">
      <c r="P2556" s="19"/>
      <c r="Q2556" s="20"/>
      <c r="R2556" s="25"/>
      <c r="S2556" s="20"/>
      <c r="X2556" s="19"/>
      <c r="Y2556" s="20"/>
    </row>
    <row r="2557" spans="16:25">
      <c r="P2557" s="19"/>
      <c r="Q2557" s="20"/>
      <c r="R2557" s="25"/>
      <c r="S2557" s="20"/>
      <c r="X2557" s="19"/>
      <c r="Y2557" s="20"/>
    </row>
    <row r="2558" spans="16:25">
      <c r="P2558" s="19"/>
      <c r="Q2558" s="20"/>
      <c r="R2558" s="25"/>
      <c r="S2558" s="20"/>
      <c r="X2558" s="19"/>
      <c r="Y2558" s="20"/>
    </row>
    <row r="2559" spans="16:25">
      <c r="P2559" s="19"/>
      <c r="Q2559" s="20"/>
      <c r="R2559" s="25"/>
      <c r="S2559" s="20"/>
      <c r="X2559" s="19"/>
      <c r="Y2559" s="20"/>
    </row>
    <row r="2560" spans="16:25">
      <c r="P2560" s="19"/>
      <c r="Q2560" s="20"/>
      <c r="R2560" s="25"/>
      <c r="S2560" s="20"/>
      <c r="X2560" s="19"/>
      <c r="Y2560" s="20"/>
    </row>
    <row r="2561" spans="16:25">
      <c r="P2561" s="19"/>
      <c r="Q2561" s="20"/>
      <c r="R2561" s="25"/>
      <c r="S2561" s="20"/>
      <c r="X2561" s="19"/>
      <c r="Y2561" s="20"/>
    </row>
    <row r="2562" spans="16:25">
      <c r="P2562" s="19"/>
      <c r="Q2562" s="20"/>
      <c r="R2562" s="25"/>
      <c r="S2562" s="20"/>
      <c r="X2562" s="19"/>
      <c r="Y2562" s="20"/>
    </row>
    <row r="2563" spans="16:25">
      <c r="P2563" s="19"/>
      <c r="Q2563" s="20"/>
      <c r="R2563" s="25"/>
      <c r="S2563" s="20"/>
      <c r="X2563" s="19"/>
      <c r="Y2563" s="20"/>
    </row>
    <row r="2564" spans="16:25">
      <c r="P2564" s="19"/>
      <c r="Q2564" s="20"/>
      <c r="R2564" s="25"/>
      <c r="S2564" s="20"/>
      <c r="X2564" s="19"/>
      <c r="Y2564" s="20"/>
    </row>
    <row r="2565" spans="16:25">
      <c r="P2565" s="19"/>
      <c r="Q2565" s="20"/>
      <c r="R2565" s="25"/>
      <c r="S2565" s="20"/>
      <c r="X2565" s="19"/>
      <c r="Y2565" s="20"/>
    </row>
    <row r="2566" spans="16:25">
      <c r="P2566" s="19"/>
      <c r="Q2566" s="20"/>
      <c r="R2566" s="25"/>
      <c r="S2566" s="20"/>
      <c r="X2566" s="19"/>
      <c r="Y2566" s="20"/>
    </row>
    <row r="2567" spans="16:25">
      <c r="P2567" s="19"/>
      <c r="Q2567" s="20"/>
      <c r="R2567" s="25"/>
      <c r="S2567" s="20"/>
      <c r="X2567" s="19"/>
      <c r="Y2567" s="20"/>
    </row>
    <row r="2568" spans="16:25">
      <c r="P2568" s="19"/>
      <c r="Q2568" s="20"/>
      <c r="R2568" s="25"/>
      <c r="S2568" s="20"/>
      <c r="X2568" s="19"/>
      <c r="Y2568" s="20"/>
    </row>
    <row r="2569" spans="16:25">
      <c r="P2569" s="19"/>
      <c r="Q2569" s="20"/>
      <c r="R2569" s="25"/>
      <c r="S2569" s="20"/>
      <c r="X2569" s="19"/>
      <c r="Y2569" s="20"/>
    </row>
    <row r="2570" spans="16:25">
      <c r="P2570" s="19"/>
      <c r="Q2570" s="20"/>
      <c r="R2570" s="25"/>
      <c r="S2570" s="20"/>
      <c r="X2570" s="19"/>
      <c r="Y2570" s="20"/>
    </row>
    <row r="2571" spans="16:25">
      <c r="P2571" s="19"/>
      <c r="Q2571" s="20"/>
      <c r="R2571" s="25"/>
      <c r="S2571" s="20"/>
      <c r="X2571" s="19"/>
      <c r="Y2571" s="20"/>
    </row>
    <row r="2572" spans="16:25">
      <c r="P2572" s="19"/>
      <c r="Q2572" s="20"/>
      <c r="R2572" s="25"/>
      <c r="S2572" s="20"/>
      <c r="X2572" s="19"/>
      <c r="Y2572" s="20"/>
    </row>
    <row r="2573" spans="16:25">
      <c r="P2573" s="19"/>
      <c r="Q2573" s="20"/>
      <c r="R2573" s="25"/>
      <c r="S2573" s="20"/>
      <c r="X2573" s="19"/>
      <c r="Y2573" s="20"/>
    </row>
    <row r="2574" spans="16:25">
      <c r="P2574" s="19"/>
      <c r="Q2574" s="20"/>
      <c r="R2574" s="25"/>
      <c r="S2574" s="20"/>
      <c r="X2574" s="19"/>
      <c r="Y2574" s="20"/>
    </row>
    <row r="2575" spans="16:25">
      <c r="P2575" s="19"/>
      <c r="Q2575" s="20"/>
      <c r="R2575" s="25"/>
      <c r="S2575" s="20"/>
      <c r="X2575" s="19"/>
      <c r="Y2575" s="20"/>
    </row>
    <row r="2576" spans="16:25">
      <c r="P2576" s="19"/>
      <c r="Q2576" s="20"/>
      <c r="R2576" s="25"/>
      <c r="S2576" s="20"/>
      <c r="X2576" s="19"/>
      <c r="Y2576" s="20"/>
    </row>
    <row r="2577" spans="16:25">
      <c r="P2577" s="19"/>
      <c r="Q2577" s="20"/>
      <c r="R2577" s="25"/>
      <c r="S2577" s="20"/>
      <c r="X2577" s="19"/>
      <c r="Y2577" s="20"/>
    </row>
    <row r="2578" spans="16:25">
      <c r="P2578" s="19"/>
      <c r="Q2578" s="20"/>
      <c r="R2578" s="25"/>
      <c r="S2578" s="20"/>
      <c r="X2578" s="19"/>
      <c r="Y2578" s="20"/>
    </row>
    <row r="2579" spans="16:25">
      <c r="P2579" s="19"/>
      <c r="Q2579" s="20"/>
      <c r="R2579" s="25"/>
      <c r="S2579" s="20"/>
      <c r="X2579" s="19"/>
      <c r="Y2579" s="20"/>
    </row>
    <row r="2580" spans="16:25">
      <c r="P2580" s="19"/>
      <c r="Q2580" s="20"/>
      <c r="R2580" s="25"/>
      <c r="S2580" s="20"/>
      <c r="X2580" s="19"/>
      <c r="Y2580" s="20"/>
    </row>
    <row r="2581" spans="16:25">
      <c r="P2581" s="19"/>
      <c r="Q2581" s="20"/>
      <c r="R2581" s="25"/>
      <c r="S2581" s="20"/>
      <c r="X2581" s="19"/>
      <c r="Y2581" s="20"/>
    </row>
    <row r="2582" spans="16:25">
      <c r="P2582" s="19"/>
      <c r="Q2582" s="20"/>
      <c r="R2582" s="25"/>
      <c r="S2582" s="20"/>
      <c r="X2582" s="19"/>
      <c r="Y2582" s="20"/>
    </row>
    <row r="2583" spans="16:25">
      <c r="P2583" s="19"/>
      <c r="Q2583" s="20"/>
      <c r="R2583" s="25"/>
      <c r="S2583" s="20"/>
      <c r="X2583" s="19"/>
      <c r="Y2583" s="20"/>
    </row>
    <row r="2584" spans="16:25">
      <c r="P2584" s="19"/>
      <c r="Q2584" s="20"/>
      <c r="R2584" s="25"/>
      <c r="S2584" s="20"/>
      <c r="X2584" s="19"/>
      <c r="Y2584" s="20"/>
    </row>
    <row r="2585" spans="16:25">
      <c r="P2585" s="19"/>
      <c r="Q2585" s="20"/>
      <c r="R2585" s="25"/>
      <c r="S2585" s="20"/>
      <c r="X2585" s="19"/>
      <c r="Y2585" s="20"/>
    </row>
    <row r="2586" spans="16:25">
      <c r="P2586" s="19"/>
      <c r="Q2586" s="20"/>
      <c r="R2586" s="25"/>
      <c r="S2586" s="20"/>
      <c r="X2586" s="19"/>
      <c r="Y2586" s="20"/>
    </row>
    <row r="2587" spans="16:25">
      <c r="P2587" s="19"/>
      <c r="Q2587" s="20"/>
      <c r="R2587" s="25"/>
      <c r="S2587" s="20"/>
      <c r="X2587" s="19"/>
      <c r="Y2587" s="20"/>
    </row>
    <row r="2588" spans="16:25">
      <c r="P2588" s="19"/>
      <c r="Q2588" s="20"/>
      <c r="R2588" s="25"/>
      <c r="S2588" s="20"/>
      <c r="X2588" s="19"/>
      <c r="Y2588" s="20"/>
    </row>
    <row r="2589" spans="16:25">
      <c r="P2589" s="19"/>
      <c r="Q2589" s="20"/>
      <c r="R2589" s="25"/>
      <c r="S2589" s="20"/>
      <c r="X2589" s="19"/>
      <c r="Y2589" s="20"/>
    </row>
    <row r="2590" spans="16:25">
      <c r="P2590" s="19"/>
      <c r="Q2590" s="20"/>
      <c r="R2590" s="25"/>
      <c r="S2590" s="20"/>
      <c r="X2590" s="19"/>
      <c r="Y2590" s="20"/>
    </row>
    <row r="2591" spans="16:25">
      <c r="P2591" s="19"/>
      <c r="Q2591" s="20"/>
      <c r="R2591" s="25"/>
      <c r="S2591" s="20"/>
      <c r="X2591" s="19"/>
      <c r="Y2591" s="20"/>
    </row>
    <row r="2592" spans="16:25">
      <c r="P2592" s="19"/>
      <c r="Q2592" s="20"/>
      <c r="R2592" s="25"/>
      <c r="S2592" s="20"/>
      <c r="X2592" s="19"/>
      <c r="Y2592" s="20"/>
    </row>
    <row r="2593" spans="16:25">
      <c r="P2593" s="19"/>
      <c r="Q2593" s="20"/>
      <c r="R2593" s="25"/>
      <c r="S2593" s="20"/>
      <c r="X2593" s="19"/>
      <c r="Y2593" s="20"/>
    </row>
    <row r="2594" spans="16:25">
      <c r="P2594" s="19"/>
      <c r="Q2594" s="20"/>
      <c r="R2594" s="25"/>
      <c r="S2594" s="20"/>
      <c r="X2594" s="19"/>
      <c r="Y2594" s="20"/>
    </row>
    <row r="2595" spans="16:25">
      <c r="P2595" s="19"/>
      <c r="Q2595" s="20"/>
      <c r="R2595" s="25"/>
      <c r="S2595" s="20"/>
      <c r="X2595" s="19"/>
      <c r="Y2595" s="20"/>
    </row>
    <row r="2596" spans="16:25">
      <c r="P2596" s="19"/>
      <c r="Q2596" s="20"/>
      <c r="R2596" s="25"/>
      <c r="S2596" s="20"/>
      <c r="X2596" s="19"/>
      <c r="Y2596" s="20"/>
    </row>
    <row r="2597" spans="16:25">
      <c r="P2597" s="19"/>
      <c r="Q2597" s="20"/>
      <c r="R2597" s="25"/>
      <c r="S2597" s="20"/>
      <c r="X2597" s="19"/>
      <c r="Y2597" s="20"/>
    </row>
    <row r="2598" spans="16:25">
      <c r="P2598" s="19"/>
      <c r="Q2598" s="20"/>
      <c r="R2598" s="25"/>
      <c r="S2598" s="20"/>
      <c r="X2598" s="19"/>
      <c r="Y2598" s="20"/>
    </row>
    <row r="2599" spans="16:25">
      <c r="P2599" s="19"/>
      <c r="Q2599" s="20"/>
      <c r="R2599" s="25"/>
      <c r="S2599" s="20"/>
      <c r="X2599" s="19"/>
      <c r="Y2599" s="20"/>
    </row>
    <row r="2600" spans="16:25">
      <c r="P2600" s="19"/>
      <c r="Q2600" s="20"/>
      <c r="R2600" s="25"/>
      <c r="S2600" s="20"/>
      <c r="X2600" s="19"/>
      <c r="Y2600" s="20"/>
    </row>
    <row r="2601" spans="16:25">
      <c r="P2601" s="19"/>
      <c r="Q2601" s="20"/>
      <c r="R2601" s="25"/>
      <c r="S2601" s="20"/>
      <c r="X2601" s="19"/>
      <c r="Y2601" s="20"/>
    </row>
    <row r="2602" spans="16:25">
      <c r="P2602" s="19"/>
      <c r="Q2602" s="20"/>
      <c r="R2602" s="25"/>
      <c r="S2602" s="20"/>
      <c r="X2602" s="19"/>
      <c r="Y2602" s="20"/>
    </row>
    <row r="2603" spans="16:25">
      <c r="P2603" s="19"/>
      <c r="Q2603" s="20"/>
      <c r="R2603" s="25"/>
      <c r="S2603" s="20"/>
      <c r="X2603" s="19"/>
      <c r="Y2603" s="20"/>
    </row>
    <row r="2604" spans="16:25">
      <c r="P2604" s="19"/>
      <c r="Q2604" s="20"/>
      <c r="R2604" s="25"/>
      <c r="S2604" s="20"/>
      <c r="X2604" s="19"/>
      <c r="Y2604" s="20"/>
    </row>
    <row r="2605" spans="16:25">
      <c r="P2605" s="19"/>
      <c r="Q2605" s="20"/>
      <c r="R2605" s="25"/>
      <c r="S2605" s="20"/>
      <c r="X2605" s="19"/>
      <c r="Y2605" s="20"/>
    </row>
    <row r="2606" spans="16:25">
      <c r="P2606" s="19"/>
      <c r="Q2606" s="20"/>
      <c r="R2606" s="25"/>
      <c r="S2606" s="20"/>
      <c r="X2606" s="19"/>
      <c r="Y2606" s="20"/>
    </row>
    <row r="2607" spans="16:25">
      <c r="P2607" s="19"/>
      <c r="Q2607" s="20"/>
      <c r="R2607" s="25"/>
      <c r="S2607" s="20"/>
      <c r="X2607" s="19"/>
      <c r="Y2607" s="20"/>
    </row>
    <row r="2608" spans="16:25">
      <c r="P2608" s="19"/>
      <c r="Q2608" s="20"/>
      <c r="R2608" s="25"/>
      <c r="S2608" s="20"/>
      <c r="X2608" s="19"/>
      <c r="Y2608" s="20"/>
    </row>
    <row r="2609" spans="16:25">
      <c r="P2609" s="19"/>
      <c r="Q2609" s="20"/>
      <c r="R2609" s="25"/>
      <c r="S2609" s="20"/>
      <c r="X2609" s="19"/>
      <c r="Y2609" s="20"/>
    </row>
    <row r="2610" spans="16:25">
      <c r="P2610" s="19"/>
      <c r="Q2610" s="20"/>
      <c r="R2610" s="25"/>
      <c r="S2610" s="20"/>
      <c r="X2610" s="19"/>
      <c r="Y2610" s="20"/>
    </row>
    <row r="2611" spans="16:25">
      <c r="P2611" s="19"/>
      <c r="Q2611" s="20"/>
      <c r="R2611" s="25"/>
      <c r="S2611" s="20"/>
      <c r="X2611" s="19"/>
      <c r="Y2611" s="20"/>
    </row>
    <row r="2612" spans="16:25">
      <c r="P2612" s="19"/>
      <c r="Q2612" s="20"/>
      <c r="R2612" s="25"/>
      <c r="S2612" s="20"/>
      <c r="X2612" s="19"/>
      <c r="Y2612" s="20"/>
    </row>
    <row r="2613" spans="16:25">
      <c r="P2613" s="19"/>
      <c r="Q2613" s="20"/>
      <c r="R2613" s="25"/>
      <c r="S2613" s="20"/>
      <c r="X2613" s="19"/>
      <c r="Y2613" s="20"/>
    </row>
    <row r="2614" spans="16:25">
      <c r="P2614" s="19"/>
      <c r="Q2614" s="20"/>
      <c r="R2614" s="25"/>
      <c r="S2614" s="20"/>
      <c r="X2614" s="19"/>
      <c r="Y2614" s="20"/>
    </row>
    <row r="2615" spans="16:25">
      <c r="P2615" s="19"/>
      <c r="Q2615" s="20"/>
      <c r="R2615" s="25"/>
      <c r="S2615" s="20"/>
      <c r="X2615" s="19"/>
      <c r="Y2615" s="20"/>
    </row>
    <row r="2616" spans="16:25">
      <c r="P2616" s="19"/>
      <c r="Q2616" s="20"/>
      <c r="R2616" s="25"/>
      <c r="S2616" s="20"/>
      <c r="X2616" s="19"/>
      <c r="Y2616" s="20"/>
    </row>
    <row r="2617" spans="16:25">
      <c r="P2617" s="19"/>
      <c r="Q2617" s="20"/>
      <c r="R2617" s="25"/>
      <c r="S2617" s="20"/>
      <c r="X2617" s="19"/>
      <c r="Y2617" s="20"/>
    </row>
    <row r="2618" spans="16:25">
      <c r="P2618" s="19"/>
      <c r="Q2618" s="20"/>
      <c r="R2618" s="25"/>
      <c r="S2618" s="20"/>
      <c r="X2618" s="19"/>
      <c r="Y2618" s="20"/>
    </row>
    <row r="2619" spans="16:25">
      <c r="P2619" s="19"/>
      <c r="Q2619" s="20"/>
      <c r="R2619" s="25"/>
      <c r="S2619" s="20"/>
      <c r="X2619" s="19"/>
      <c r="Y2619" s="20"/>
    </row>
    <row r="2620" spans="16:25">
      <c r="P2620" s="19"/>
      <c r="Q2620" s="20"/>
      <c r="R2620" s="25"/>
      <c r="S2620" s="20"/>
      <c r="X2620" s="19"/>
      <c r="Y2620" s="20"/>
    </row>
    <row r="2621" spans="16:25">
      <c r="P2621" s="19"/>
      <c r="Q2621" s="20"/>
      <c r="R2621" s="25"/>
      <c r="S2621" s="20"/>
      <c r="X2621" s="19"/>
      <c r="Y2621" s="20"/>
    </row>
    <row r="2622" spans="16:25">
      <c r="P2622" s="19"/>
      <c r="Q2622" s="20"/>
      <c r="R2622" s="25"/>
      <c r="S2622" s="20"/>
      <c r="X2622" s="19"/>
      <c r="Y2622" s="20"/>
    </row>
    <row r="2623" spans="16:25">
      <c r="P2623" s="19"/>
      <c r="Q2623" s="20"/>
      <c r="R2623" s="25"/>
      <c r="S2623" s="20"/>
      <c r="X2623" s="19"/>
      <c r="Y2623" s="20"/>
    </row>
    <row r="2624" spans="16:25">
      <c r="P2624" s="19"/>
      <c r="Q2624" s="20"/>
      <c r="R2624" s="25"/>
      <c r="S2624" s="20"/>
      <c r="X2624" s="19"/>
      <c r="Y2624" s="20"/>
    </row>
    <row r="2625" spans="16:25">
      <c r="P2625" s="19"/>
      <c r="Q2625" s="20"/>
      <c r="R2625" s="25"/>
      <c r="S2625" s="20"/>
      <c r="X2625" s="19"/>
      <c r="Y2625" s="20"/>
    </row>
    <row r="2626" spans="16:25">
      <c r="P2626" s="19"/>
      <c r="Q2626" s="20"/>
      <c r="R2626" s="25"/>
      <c r="S2626" s="20"/>
      <c r="X2626" s="19"/>
      <c r="Y2626" s="20"/>
    </row>
    <row r="2627" spans="16:25">
      <c r="P2627" s="19"/>
      <c r="Q2627" s="20"/>
      <c r="R2627" s="25"/>
      <c r="S2627" s="20"/>
      <c r="X2627" s="19"/>
      <c r="Y2627" s="20"/>
    </row>
    <row r="2628" spans="16:25">
      <c r="P2628" s="19"/>
      <c r="Q2628" s="20"/>
      <c r="R2628" s="25"/>
      <c r="S2628" s="20"/>
      <c r="X2628" s="19"/>
      <c r="Y2628" s="20"/>
    </row>
    <row r="2629" spans="16:25">
      <c r="P2629" s="19"/>
      <c r="Q2629" s="20"/>
      <c r="R2629" s="25"/>
      <c r="S2629" s="20"/>
      <c r="X2629" s="19"/>
      <c r="Y2629" s="20"/>
    </row>
    <row r="2630" spans="16:25">
      <c r="P2630" s="19"/>
      <c r="Q2630" s="20"/>
      <c r="R2630" s="25"/>
      <c r="S2630" s="20"/>
      <c r="X2630" s="19"/>
      <c r="Y2630" s="20"/>
    </row>
    <row r="2631" spans="16:25">
      <c r="P2631" s="19"/>
      <c r="Q2631" s="20"/>
      <c r="R2631" s="25"/>
      <c r="S2631" s="20"/>
      <c r="X2631" s="19"/>
      <c r="Y2631" s="20"/>
    </row>
    <row r="2632" spans="16:25">
      <c r="P2632" s="19"/>
      <c r="Q2632" s="20"/>
      <c r="R2632" s="25"/>
      <c r="S2632" s="20"/>
      <c r="X2632" s="19"/>
      <c r="Y2632" s="20"/>
    </row>
    <row r="2633" spans="16:25">
      <c r="P2633" s="19"/>
      <c r="Q2633" s="20"/>
      <c r="R2633" s="25"/>
      <c r="S2633" s="20"/>
      <c r="X2633" s="19"/>
      <c r="Y2633" s="20"/>
    </row>
    <row r="2634" spans="16:25">
      <c r="P2634" s="19"/>
      <c r="Q2634" s="20"/>
      <c r="R2634" s="25"/>
      <c r="S2634" s="20"/>
      <c r="X2634" s="19"/>
      <c r="Y2634" s="20"/>
    </row>
    <row r="2635" spans="16:25">
      <c r="P2635" s="19"/>
      <c r="Q2635" s="20"/>
      <c r="R2635" s="25"/>
      <c r="S2635" s="20"/>
      <c r="X2635" s="19"/>
      <c r="Y2635" s="20"/>
    </row>
    <row r="2636" spans="16:25">
      <c r="P2636" s="19"/>
      <c r="Q2636" s="20"/>
      <c r="R2636" s="25"/>
      <c r="S2636" s="20"/>
      <c r="X2636" s="19"/>
      <c r="Y2636" s="20"/>
    </row>
    <row r="2637" spans="16:25">
      <c r="P2637" s="19"/>
      <c r="Q2637" s="20"/>
      <c r="R2637" s="25"/>
      <c r="S2637" s="20"/>
      <c r="X2637" s="19"/>
      <c r="Y2637" s="20"/>
    </row>
    <row r="2638" spans="16:25">
      <c r="P2638" s="19"/>
      <c r="Q2638" s="20"/>
      <c r="R2638" s="25"/>
      <c r="S2638" s="20"/>
      <c r="X2638" s="19"/>
      <c r="Y2638" s="20"/>
    </row>
    <row r="2639" spans="16:25">
      <c r="P2639" s="19"/>
      <c r="Q2639" s="20"/>
      <c r="R2639" s="25"/>
      <c r="S2639" s="20"/>
      <c r="X2639" s="19"/>
      <c r="Y2639" s="20"/>
    </row>
    <row r="2640" spans="16:25">
      <c r="P2640" s="19"/>
      <c r="Q2640" s="20"/>
      <c r="R2640" s="25"/>
      <c r="S2640" s="20"/>
      <c r="X2640" s="19"/>
      <c r="Y2640" s="20"/>
    </row>
    <row r="2641" spans="16:25">
      <c r="P2641" s="19"/>
      <c r="Q2641" s="20"/>
      <c r="R2641" s="25"/>
      <c r="S2641" s="20"/>
      <c r="X2641" s="19"/>
      <c r="Y2641" s="20"/>
    </row>
    <row r="2642" spans="16:25">
      <c r="P2642" s="19"/>
      <c r="Q2642" s="20"/>
      <c r="R2642" s="25"/>
      <c r="S2642" s="20"/>
      <c r="X2642" s="19"/>
      <c r="Y2642" s="20"/>
    </row>
    <row r="2643" spans="16:25">
      <c r="P2643" s="19"/>
      <c r="Q2643" s="20"/>
      <c r="R2643" s="25"/>
      <c r="S2643" s="20"/>
      <c r="X2643" s="19"/>
      <c r="Y2643" s="20"/>
    </row>
    <row r="2644" spans="16:25">
      <c r="P2644" s="19"/>
      <c r="Q2644" s="20"/>
      <c r="R2644" s="25"/>
      <c r="S2644" s="20"/>
      <c r="X2644" s="19"/>
      <c r="Y2644" s="20"/>
    </row>
    <row r="2645" spans="16:25">
      <c r="P2645" s="19"/>
      <c r="Q2645" s="20"/>
      <c r="R2645" s="25"/>
      <c r="S2645" s="20"/>
      <c r="X2645" s="19"/>
      <c r="Y2645" s="20"/>
    </row>
    <row r="2646" spans="16:25">
      <c r="P2646" s="19"/>
      <c r="Q2646" s="20"/>
      <c r="R2646" s="25"/>
      <c r="S2646" s="20"/>
      <c r="X2646" s="19"/>
      <c r="Y2646" s="20"/>
    </row>
    <row r="2647" spans="16:25">
      <c r="P2647" s="19"/>
      <c r="Q2647" s="20"/>
      <c r="R2647" s="25"/>
      <c r="S2647" s="20"/>
      <c r="X2647" s="19"/>
      <c r="Y2647" s="20"/>
    </row>
    <row r="2648" spans="16:25">
      <c r="P2648" s="19"/>
      <c r="Q2648" s="20"/>
      <c r="R2648" s="25"/>
      <c r="S2648" s="20"/>
      <c r="X2648" s="19"/>
      <c r="Y2648" s="20"/>
    </row>
    <row r="2649" spans="16:25">
      <c r="P2649" s="19"/>
      <c r="Q2649" s="20"/>
      <c r="R2649" s="25"/>
      <c r="S2649" s="20"/>
      <c r="X2649" s="19"/>
      <c r="Y2649" s="20"/>
    </row>
    <row r="2650" spans="16:25">
      <c r="P2650" s="19"/>
      <c r="Q2650" s="20"/>
      <c r="R2650" s="25"/>
      <c r="S2650" s="20"/>
      <c r="X2650" s="19"/>
      <c r="Y2650" s="20"/>
    </row>
    <row r="2651" spans="16:25">
      <c r="P2651" s="19"/>
      <c r="Q2651" s="20"/>
      <c r="R2651" s="25"/>
      <c r="S2651" s="20"/>
      <c r="X2651" s="19"/>
      <c r="Y2651" s="20"/>
    </row>
    <row r="2652" spans="16:25">
      <c r="P2652" s="19"/>
      <c r="Q2652" s="20"/>
      <c r="R2652" s="25"/>
      <c r="S2652" s="20"/>
      <c r="X2652" s="19"/>
      <c r="Y2652" s="20"/>
    </row>
    <row r="2653" spans="16:25">
      <c r="P2653" s="19"/>
      <c r="Q2653" s="20"/>
      <c r="R2653" s="25"/>
      <c r="S2653" s="20"/>
      <c r="X2653" s="19"/>
      <c r="Y2653" s="20"/>
    </row>
    <row r="2654" spans="16:25">
      <c r="P2654" s="19"/>
      <c r="Q2654" s="20"/>
      <c r="R2654" s="25"/>
      <c r="S2654" s="20"/>
      <c r="X2654" s="19"/>
      <c r="Y2654" s="20"/>
    </row>
    <row r="2655" spans="16:25">
      <c r="P2655" s="19"/>
      <c r="Q2655" s="20"/>
      <c r="R2655" s="25"/>
      <c r="S2655" s="20"/>
      <c r="X2655" s="19"/>
      <c r="Y2655" s="20"/>
    </row>
    <row r="2656" spans="16:25">
      <c r="P2656" s="19"/>
      <c r="Q2656" s="20"/>
      <c r="R2656" s="25"/>
      <c r="S2656" s="20"/>
      <c r="X2656" s="19"/>
      <c r="Y2656" s="20"/>
    </row>
    <row r="2657" spans="16:25">
      <c r="P2657" s="19"/>
      <c r="Q2657" s="20"/>
      <c r="R2657" s="25"/>
      <c r="S2657" s="20"/>
      <c r="X2657" s="19"/>
      <c r="Y2657" s="20"/>
    </row>
    <row r="2658" spans="16:25">
      <c r="P2658" s="19"/>
      <c r="Q2658" s="20"/>
      <c r="R2658" s="25"/>
      <c r="S2658" s="20"/>
      <c r="X2658" s="19"/>
      <c r="Y2658" s="20"/>
    </row>
    <row r="2659" spans="16:25">
      <c r="P2659" s="19"/>
      <c r="Q2659" s="20"/>
      <c r="R2659" s="25"/>
      <c r="S2659" s="20"/>
      <c r="X2659" s="19"/>
      <c r="Y2659" s="20"/>
    </row>
    <row r="2660" spans="16:25">
      <c r="P2660" s="19"/>
      <c r="Q2660" s="20"/>
      <c r="R2660" s="25"/>
      <c r="S2660" s="20"/>
      <c r="X2660" s="19"/>
      <c r="Y2660" s="20"/>
    </row>
    <row r="2661" spans="16:25">
      <c r="P2661" s="19"/>
      <c r="Q2661" s="20"/>
      <c r="R2661" s="25"/>
      <c r="S2661" s="20"/>
      <c r="X2661" s="19"/>
      <c r="Y2661" s="20"/>
    </row>
    <row r="2662" spans="16:25">
      <c r="P2662" s="19"/>
      <c r="Q2662" s="20"/>
      <c r="R2662" s="25"/>
      <c r="S2662" s="20"/>
      <c r="X2662" s="19"/>
      <c r="Y2662" s="20"/>
    </row>
    <row r="2663" spans="16:25">
      <c r="P2663" s="19"/>
      <c r="Q2663" s="20"/>
      <c r="R2663" s="25"/>
      <c r="S2663" s="20"/>
      <c r="X2663" s="19"/>
      <c r="Y2663" s="20"/>
    </row>
    <row r="2664" spans="16:25">
      <c r="P2664" s="19"/>
      <c r="Q2664" s="20"/>
      <c r="R2664" s="25"/>
      <c r="S2664" s="20"/>
      <c r="X2664" s="19"/>
      <c r="Y2664" s="20"/>
    </row>
    <row r="2665" spans="16:25">
      <c r="P2665" s="19"/>
      <c r="Q2665" s="20"/>
      <c r="R2665" s="25"/>
      <c r="S2665" s="20"/>
      <c r="X2665" s="19"/>
      <c r="Y2665" s="20"/>
    </row>
    <row r="2666" spans="16:25">
      <c r="P2666" s="19"/>
      <c r="Q2666" s="20"/>
      <c r="R2666" s="25"/>
      <c r="S2666" s="20"/>
      <c r="X2666" s="19"/>
      <c r="Y2666" s="20"/>
    </row>
    <row r="2667" spans="16:25">
      <c r="P2667" s="19"/>
      <c r="Q2667" s="20"/>
      <c r="R2667" s="25"/>
      <c r="S2667" s="20"/>
      <c r="X2667" s="19"/>
      <c r="Y2667" s="20"/>
    </row>
    <row r="2668" spans="16:25">
      <c r="P2668" s="19"/>
      <c r="Q2668" s="20"/>
      <c r="R2668" s="25"/>
      <c r="S2668" s="20"/>
      <c r="X2668" s="19"/>
      <c r="Y2668" s="20"/>
    </row>
    <row r="2669" spans="16:25">
      <c r="P2669" s="19"/>
      <c r="Q2669" s="20"/>
      <c r="R2669" s="25"/>
      <c r="S2669" s="20"/>
      <c r="X2669" s="19"/>
      <c r="Y2669" s="20"/>
    </row>
    <row r="2670" spans="16:25">
      <c r="P2670" s="19"/>
      <c r="Q2670" s="20"/>
      <c r="R2670" s="25"/>
      <c r="S2670" s="20"/>
      <c r="X2670" s="19"/>
      <c r="Y2670" s="20"/>
    </row>
    <row r="2671" spans="16:25">
      <c r="P2671" s="19"/>
      <c r="Q2671" s="20"/>
      <c r="R2671" s="25"/>
      <c r="S2671" s="20"/>
      <c r="X2671" s="19"/>
      <c r="Y2671" s="20"/>
    </row>
    <row r="2672" spans="16:25">
      <c r="P2672" s="19"/>
      <c r="Q2672" s="20"/>
      <c r="R2672" s="25"/>
      <c r="S2672" s="20"/>
      <c r="X2672" s="19"/>
      <c r="Y2672" s="20"/>
    </row>
    <row r="2673" spans="16:25">
      <c r="P2673" s="19"/>
      <c r="Q2673" s="20"/>
      <c r="R2673" s="25"/>
      <c r="S2673" s="20"/>
      <c r="X2673" s="19"/>
      <c r="Y2673" s="20"/>
    </row>
    <row r="2674" spans="16:25">
      <c r="P2674" s="19"/>
      <c r="Q2674" s="20"/>
      <c r="R2674" s="25"/>
      <c r="S2674" s="20"/>
      <c r="X2674" s="19"/>
      <c r="Y2674" s="20"/>
    </row>
    <row r="2675" spans="16:25">
      <c r="P2675" s="19"/>
      <c r="Q2675" s="20"/>
      <c r="R2675" s="25"/>
      <c r="S2675" s="20"/>
      <c r="X2675" s="19"/>
      <c r="Y2675" s="20"/>
    </row>
    <row r="2676" spans="16:25">
      <c r="P2676" s="19"/>
      <c r="Q2676" s="20"/>
      <c r="R2676" s="25"/>
      <c r="S2676" s="20"/>
      <c r="X2676" s="19"/>
      <c r="Y2676" s="20"/>
    </row>
    <row r="2677" spans="16:25">
      <c r="P2677" s="19"/>
      <c r="Q2677" s="20"/>
      <c r="R2677" s="25"/>
      <c r="S2677" s="20"/>
      <c r="X2677" s="19"/>
      <c r="Y2677" s="20"/>
    </row>
    <row r="2678" spans="16:25">
      <c r="P2678" s="19"/>
      <c r="Q2678" s="20"/>
      <c r="R2678" s="25"/>
      <c r="S2678" s="20"/>
      <c r="X2678" s="19"/>
      <c r="Y2678" s="20"/>
    </row>
    <row r="2679" spans="16:25">
      <c r="P2679" s="19"/>
      <c r="Q2679" s="20"/>
      <c r="R2679" s="25"/>
      <c r="S2679" s="20"/>
      <c r="X2679" s="19"/>
      <c r="Y2679" s="20"/>
    </row>
    <row r="2680" spans="16:25">
      <c r="P2680" s="19"/>
      <c r="Q2680" s="20"/>
      <c r="R2680" s="25"/>
      <c r="S2680" s="20"/>
      <c r="X2680" s="19"/>
      <c r="Y2680" s="20"/>
    </row>
    <row r="2681" spans="16:25">
      <c r="P2681" s="19"/>
      <c r="Q2681" s="20"/>
      <c r="R2681" s="25"/>
      <c r="S2681" s="20"/>
      <c r="X2681" s="19"/>
      <c r="Y2681" s="20"/>
    </row>
    <row r="2682" spans="16:25">
      <c r="P2682" s="19"/>
      <c r="Q2682" s="20"/>
      <c r="R2682" s="25"/>
      <c r="S2682" s="20"/>
      <c r="X2682" s="19"/>
      <c r="Y2682" s="20"/>
    </row>
    <row r="2683" spans="16:25">
      <c r="P2683" s="19"/>
      <c r="Q2683" s="20"/>
      <c r="R2683" s="25"/>
      <c r="S2683" s="20"/>
      <c r="X2683" s="19"/>
      <c r="Y2683" s="20"/>
    </row>
    <row r="2684" spans="16:25">
      <c r="P2684" s="19"/>
      <c r="Q2684" s="20"/>
      <c r="R2684" s="25"/>
      <c r="S2684" s="20"/>
      <c r="X2684" s="19"/>
      <c r="Y2684" s="20"/>
    </row>
    <row r="2685" spans="16:25">
      <c r="P2685" s="19"/>
      <c r="Q2685" s="20"/>
      <c r="R2685" s="25"/>
      <c r="S2685" s="20"/>
      <c r="X2685" s="19"/>
      <c r="Y2685" s="20"/>
    </row>
    <row r="2686" spans="16:25">
      <c r="P2686" s="19"/>
      <c r="Q2686" s="20"/>
      <c r="R2686" s="25"/>
      <c r="S2686" s="20"/>
      <c r="X2686" s="19"/>
      <c r="Y2686" s="20"/>
    </row>
    <row r="2687" spans="16:25">
      <c r="P2687" s="19"/>
      <c r="Q2687" s="20"/>
      <c r="R2687" s="25"/>
      <c r="S2687" s="20"/>
      <c r="X2687" s="19"/>
      <c r="Y2687" s="20"/>
    </row>
    <row r="2688" spans="16:25">
      <c r="P2688" s="19"/>
      <c r="Q2688" s="20"/>
      <c r="R2688" s="25"/>
      <c r="S2688" s="20"/>
      <c r="X2688" s="19"/>
      <c r="Y2688" s="20"/>
    </row>
    <row r="2689" spans="16:25">
      <c r="P2689" s="19"/>
      <c r="Q2689" s="20"/>
      <c r="R2689" s="25"/>
      <c r="S2689" s="20"/>
      <c r="X2689" s="19"/>
      <c r="Y2689" s="20"/>
    </row>
    <row r="2690" spans="16:25">
      <c r="P2690" s="19"/>
      <c r="Q2690" s="20"/>
      <c r="R2690" s="25"/>
      <c r="S2690" s="20"/>
      <c r="X2690" s="19"/>
      <c r="Y2690" s="20"/>
    </row>
    <row r="2691" spans="16:25">
      <c r="P2691" s="19"/>
      <c r="Q2691" s="20"/>
      <c r="R2691" s="25"/>
      <c r="S2691" s="20"/>
      <c r="X2691" s="19"/>
      <c r="Y2691" s="20"/>
    </row>
    <row r="2692" spans="16:25">
      <c r="P2692" s="19"/>
      <c r="Q2692" s="20"/>
      <c r="R2692" s="25"/>
      <c r="S2692" s="20"/>
      <c r="X2692" s="19"/>
      <c r="Y2692" s="20"/>
    </row>
    <row r="2693" spans="16:25">
      <c r="P2693" s="19"/>
      <c r="Q2693" s="20"/>
      <c r="R2693" s="25"/>
      <c r="S2693" s="20"/>
      <c r="X2693" s="19"/>
      <c r="Y2693" s="20"/>
    </row>
    <row r="2694" spans="16:25">
      <c r="P2694" s="19"/>
      <c r="Q2694" s="20"/>
      <c r="R2694" s="25"/>
      <c r="S2694" s="20"/>
      <c r="X2694" s="19"/>
      <c r="Y2694" s="20"/>
    </row>
    <row r="2695" spans="16:25">
      <c r="P2695" s="19"/>
      <c r="Q2695" s="20"/>
      <c r="R2695" s="25"/>
      <c r="S2695" s="20"/>
      <c r="X2695" s="19"/>
      <c r="Y2695" s="20"/>
    </row>
    <row r="2696" spans="16:25">
      <c r="P2696" s="19"/>
      <c r="Q2696" s="20"/>
      <c r="R2696" s="25"/>
      <c r="S2696" s="20"/>
      <c r="X2696" s="19"/>
      <c r="Y2696" s="20"/>
    </row>
    <row r="2697" spans="16:25">
      <c r="P2697" s="19"/>
      <c r="Q2697" s="20"/>
      <c r="R2697" s="25"/>
      <c r="S2697" s="20"/>
      <c r="X2697" s="19"/>
      <c r="Y2697" s="20"/>
    </row>
    <row r="2698" spans="16:25">
      <c r="P2698" s="19"/>
      <c r="Q2698" s="20"/>
      <c r="R2698" s="25"/>
      <c r="S2698" s="20"/>
      <c r="X2698" s="19"/>
      <c r="Y2698" s="20"/>
    </row>
    <row r="2699" spans="16:25">
      <c r="P2699" s="19"/>
      <c r="Q2699" s="20"/>
      <c r="R2699" s="25"/>
      <c r="S2699" s="20"/>
      <c r="X2699" s="19"/>
      <c r="Y2699" s="20"/>
    </row>
    <row r="2700" spans="16:25">
      <c r="P2700" s="19"/>
      <c r="Q2700" s="20"/>
      <c r="R2700" s="25"/>
      <c r="S2700" s="20"/>
      <c r="X2700" s="19"/>
      <c r="Y2700" s="20"/>
    </row>
    <row r="2701" spans="16:25">
      <c r="P2701" s="19"/>
      <c r="Q2701" s="20"/>
      <c r="R2701" s="25"/>
      <c r="S2701" s="20"/>
      <c r="X2701" s="19"/>
      <c r="Y2701" s="20"/>
    </row>
    <row r="2702" spans="16:25">
      <c r="P2702" s="19"/>
      <c r="Q2702" s="20"/>
      <c r="R2702" s="25"/>
      <c r="S2702" s="20"/>
      <c r="X2702" s="19"/>
      <c r="Y2702" s="20"/>
    </row>
    <row r="2703" spans="16:25">
      <c r="P2703" s="19"/>
      <c r="Q2703" s="20"/>
      <c r="R2703" s="25"/>
      <c r="S2703" s="20"/>
      <c r="X2703" s="19"/>
      <c r="Y2703" s="20"/>
    </row>
    <row r="2704" spans="16:25">
      <c r="P2704" s="19"/>
      <c r="Q2704" s="20"/>
      <c r="R2704" s="25"/>
      <c r="S2704" s="20"/>
      <c r="X2704" s="19"/>
      <c r="Y2704" s="20"/>
    </row>
    <row r="2705" spans="16:25">
      <c r="P2705" s="19"/>
      <c r="Q2705" s="20"/>
      <c r="R2705" s="25"/>
      <c r="S2705" s="20"/>
      <c r="X2705" s="19"/>
      <c r="Y2705" s="20"/>
    </row>
    <row r="2706" spans="16:25">
      <c r="P2706" s="19"/>
      <c r="Q2706" s="20"/>
      <c r="R2706" s="25"/>
      <c r="S2706" s="20"/>
      <c r="X2706" s="19"/>
      <c r="Y2706" s="20"/>
    </row>
    <row r="2707" spans="16:25">
      <c r="P2707" s="19"/>
      <c r="Q2707" s="20"/>
      <c r="R2707" s="25"/>
      <c r="S2707" s="20"/>
      <c r="X2707" s="19"/>
      <c r="Y2707" s="20"/>
    </row>
    <row r="2708" spans="16:25">
      <c r="P2708" s="19"/>
      <c r="Q2708" s="20"/>
      <c r="R2708" s="25"/>
      <c r="S2708" s="20"/>
      <c r="X2708" s="19"/>
      <c r="Y2708" s="20"/>
    </row>
    <row r="2709" spans="16:25">
      <c r="P2709" s="19"/>
      <c r="Q2709" s="20"/>
      <c r="R2709" s="25"/>
      <c r="S2709" s="20"/>
      <c r="X2709" s="19"/>
      <c r="Y2709" s="20"/>
    </row>
    <row r="2710" spans="16:25">
      <c r="P2710" s="19"/>
      <c r="Q2710" s="20"/>
      <c r="R2710" s="25"/>
      <c r="S2710" s="20"/>
      <c r="X2710" s="19"/>
      <c r="Y2710" s="20"/>
    </row>
    <row r="2711" spans="16:25">
      <c r="P2711" s="19"/>
      <c r="Q2711" s="20"/>
      <c r="R2711" s="25"/>
      <c r="S2711" s="20"/>
      <c r="X2711" s="19"/>
      <c r="Y2711" s="20"/>
    </row>
    <row r="2712" spans="16:25">
      <c r="P2712" s="19"/>
      <c r="Q2712" s="20"/>
      <c r="R2712" s="25"/>
      <c r="S2712" s="20"/>
      <c r="X2712" s="19"/>
      <c r="Y2712" s="20"/>
    </row>
    <row r="2713" spans="16:25">
      <c r="P2713" s="19"/>
      <c r="Q2713" s="20"/>
      <c r="R2713" s="25"/>
      <c r="S2713" s="20"/>
      <c r="X2713" s="19"/>
      <c r="Y2713" s="20"/>
    </row>
    <row r="2714" spans="16:25">
      <c r="P2714" s="19"/>
      <c r="Q2714" s="20"/>
      <c r="R2714" s="25"/>
      <c r="S2714" s="20"/>
      <c r="X2714" s="19"/>
      <c r="Y2714" s="20"/>
    </row>
    <row r="2715" spans="16:25">
      <c r="P2715" s="19"/>
      <c r="Q2715" s="20"/>
      <c r="R2715" s="25"/>
      <c r="S2715" s="20"/>
      <c r="X2715" s="19"/>
      <c r="Y2715" s="20"/>
    </row>
    <row r="2716" spans="16:25">
      <c r="P2716" s="19"/>
      <c r="Q2716" s="20"/>
      <c r="R2716" s="25"/>
      <c r="S2716" s="20"/>
      <c r="X2716" s="19"/>
      <c r="Y2716" s="20"/>
    </row>
    <row r="2717" spans="16:25">
      <c r="P2717" s="19"/>
      <c r="Q2717" s="20"/>
      <c r="R2717" s="25"/>
      <c r="S2717" s="20"/>
      <c r="X2717" s="19"/>
      <c r="Y2717" s="20"/>
    </row>
    <row r="2718" spans="16:25">
      <c r="P2718" s="19"/>
      <c r="Q2718" s="20"/>
      <c r="R2718" s="25"/>
      <c r="S2718" s="20"/>
      <c r="X2718" s="19"/>
      <c r="Y2718" s="20"/>
    </row>
    <row r="2719" spans="16:25">
      <c r="P2719" s="19"/>
      <c r="Q2719" s="20"/>
      <c r="R2719" s="25"/>
      <c r="S2719" s="20"/>
      <c r="X2719" s="19"/>
      <c r="Y2719" s="20"/>
    </row>
    <row r="2720" spans="16:25">
      <c r="P2720" s="19"/>
      <c r="Q2720" s="20"/>
      <c r="R2720" s="25"/>
      <c r="S2720" s="20"/>
      <c r="X2720" s="19"/>
      <c r="Y2720" s="20"/>
    </row>
    <row r="2721" spans="16:25">
      <c r="P2721" s="19"/>
      <c r="Q2721" s="20"/>
      <c r="R2721" s="25"/>
      <c r="S2721" s="20"/>
      <c r="X2721" s="19"/>
      <c r="Y2721" s="20"/>
    </row>
    <row r="2722" spans="16:25">
      <c r="P2722" s="19"/>
      <c r="Q2722" s="20"/>
      <c r="R2722" s="25"/>
      <c r="S2722" s="20"/>
      <c r="X2722" s="19"/>
      <c r="Y2722" s="20"/>
    </row>
    <row r="2723" spans="16:25">
      <c r="P2723" s="19"/>
      <c r="Q2723" s="20"/>
      <c r="R2723" s="25"/>
      <c r="S2723" s="20"/>
      <c r="X2723" s="19"/>
      <c r="Y2723" s="20"/>
    </row>
    <row r="2724" spans="16:25">
      <c r="P2724" s="19"/>
      <c r="Q2724" s="20"/>
      <c r="R2724" s="25"/>
      <c r="S2724" s="20"/>
      <c r="X2724" s="19"/>
      <c r="Y2724" s="20"/>
    </row>
    <row r="2725" spans="16:25">
      <c r="P2725" s="19"/>
      <c r="Q2725" s="20"/>
      <c r="R2725" s="25"/>
      <c r="S2725" s="20"/>
      <c r="X2725" s="19"/>
      <c r="Y2725" s="20"/>
    </row>
    <row r="2726" spans="16:25">
      <c r="P2726" s="19"/>
      <c r="Q2726" s="20"/>
      <c r="R2726" s="25"/>
      <c r="S2726" s="20"/>
      <c r="X2726" s="19"/>
      <c r="Y2726" s="20"/>
    </row>
    <row r="2727" spans="16:25">
      <c r="P2727" s="19"/>
      <c r="Q2727" s="20"/>
      <c r="R2727" s="25"/>
      <c r="S2727" s="20"/>
      <c r="X2727" s="19"/>
      <c r="Y2727" s="20"/>
    </row>
    <row r="2728" spans="16:25">
      <c r="P2728" s="19"/>
      <c r="Q2728" s="20"/>
      <c r="R2728" s="25"/>
      <c r="S2728" s="20"/>
      <c r="X2728" s="19"/>
      <c r="Y2728" s="20"/>
    </row>
    <row r="2729" spans="16:25">
      <c r="P2729" s="19"/>
      <c r="Q2729" s="20"/>
      <c r="R2729" s="25"/>
      <c r="S2729" s="20"/>
      <c r="X2729" s="19"/>
      <c r="Y2729" s="20"/>
    </row>
    <row r="2730" spans="16:25">
      <c r="P2730" s="19"/>
      <c r="Q2730" s="20"/>
      <c r="R2730" s="25"/>
      <c r="S2730" s="20"/>
      <c r="X2730" s="19"/>
      <c r="Y2730" s="20"/>
    </row>
    <row r="2731" spans="16:25">
      <c r="P2731" s="19"/>
      <c r="Q2731" s="20"/>
      <c r="R2731" s="25"/>
      <c r="S2731" s="20"/>
      <c r="X2731" s="19"/>
      <c r="Y2731" s="20"/>
    </row>
    <row r="2732" spans="16:25">
      <c r="P2732" s="19"/>
      <c r="Q2732" s="20"/>
      <c r="R2732" s="25"/>
      <c r="S2732" s="20"/>
      <c r="X2732" s="19"/>
      <c r="Y2732" s="20"/>
    </row>
    <row r="2733" spans="16:25">
      <c r="P2733" s="19"/>
      <c r="Q2733" s="20"/>
      <c r="R2733" s="25"/>
      <c r="S2733" s="20"/>
      <c r="X2733" s="19"/>
      <c r="Y2733" s="20"/>
    </row>
    <row r="2734" spans="16:25">
      <c r="P2734" s="19"/>
      <c r="Q2734" s="20"/>
      <c r="R2734" s="25"/>
      <c r="S2734" s="20"/>
      <c r="X2734" s="19"/>
      <c r="Y2734" s="20"/>
    </row>
    <row r="2735" spans="16:25">
      <c r="P2735" s="19"/>
      <c r="Q2735" s="20"/>
      <c r="R2735" s="25"/>
      <c r="S2735" s="20"/>
      <c r="X2735" s="19"/>
      <c r="Y2735" s="20"/>
    </row>
    <row r="2736" spans="16:25">
      <c r="P2736" s="19"/>
      <c r="Q2736" s="20"/>
      <c r="R2736" s="25"/>
      <c r="S2736" s="20"/>
      <c r="X2736" s="19"/>
      <c r="Y2736" s="20"/>
    </row>
    <row r="2737" spans="16:25">
      <c r="P2737" s="19"/>
      <c r="Q2737" s="20"/>
      <c r="R2737" s="25"/>
      <c r="S2737" s="20"/>
      <c r="X2737" s="19"/>
      <c r="Y2737" s="20"/>
    </row>
    <row r="2738" spans="16:25">
      <c r="P2738" s="19"/>
      <c r="Q2738" s="20"/>
      <c r="R2738" s="25"/>
      <c r="S2738" s="20"/>
      <c r="X2738" s="19"/>
      <c r="Y2738" s="20"/>
    </row>
    <row r="2739" spans="16:25">
      <c r="P2739" s="19"/>
      <c r="Q2739" s="20"/>
      <c r="R2739" s="25"/>
      <c r="S2739" s="20"/>
      <c r="X2739" s="19"/>
      <c r="Y2739" s="20"/>
    </row>
    <row r="2740" spans="16:25">
      <c r="P2740" s="19"/>
      <c r="Q2740" s="20"/>
      <c r="R2740" s="25"/>
      <c r="S2740" s="20"/>
      <c r="X2740" s="19"/>
      <c r="Y2740" s="20"/>
    </row>
    <row r="2741" spans="16:25">
      <c r="P2741" s="19"/>
      <c r="Q2741" s="20"/>
      <c r="R2741" s="25"/>
      <c r="S2741" s="20"/>
      <c r="X2741" s="19"/>
      <c r="Y2741" s="20"/>
    </row>
    <row r="2742" spans="16:25">
      <c r="P2742" s="19"/>
      <c r="Q2742" s="20"/>
      <c r="R2742" s="25"/>
      <c r="S2742" s="20"/>
      <c r="X2742" s="19"/>
      <c r="Y2742" s="20"/>
    </row>
    <row r="2743" spans="16:25">
      <c r="P2743" s="19"/>
      <c r="Q2743" s="20"/>
      <c r="R2743" s="25"/>
      <c r="S2743" s="20"/>
      <c r="X2743" s="19"/>
      <c r="Y2743" s="20"/>
    </row>
    <row r="2744" spans="16:25">
      <c r="P2744" s="19"/>
      <c r="Q2744" s="20"/>
      <c r="R2744" s="25"/>
      <c r="S2744" s="20"/>
      <c r="X2744" s="19"/>
      <c r="Y2744" s="20"/>
    </row>
    <row r="2745" spans="16:25">
      <c r="P2745" s="19"/>
      <c r="Q2745" s="20"/>
      <c r="R2745" s="25"/>
      <c r="S2745" s="20"/>
      <c r="X2745" s="19"/>
      <c r="Y2745" s="20"/>
    </row>
    <row r="2746" spans="16:25">
      <c r="P2746" s="19"/>
      <c r="Q2746" s="20"/>
      <c r="R2746" s="25"/>
      <c r="S2746" s="20"/>
      <c r="X2746" s="19"/>
      <c r="Y2746" s="20"/>
    </row>
    <row r="2747" spans="16:25">
      <c r="P2747" s="19"/>
      <c r="Q2747" s="20"/>
      <c r="R2747" s="25"/>
      <c r="S2747" s="20"/>
      <c r="X2747" s="19"/>
      <c r="Y2747" s="20"/>
    </row>
    <row r="2748" spans="16:25">
      <c r="P2748" s="19"/>
      <c r="Q2748" s="20"/>
      <c r="R2748" s="25"/>
      <c r="S2748" s="20"/>
      <c r="X2748" s="19"/>
      <c r="Y2748" s="20"/>
    </row>
    <row r="2749" spans="16:25">
      <c r="P2749" s="19"/>
      <c r="Q2749" s="20"/>
      <c r="R2749" s="25"/>
      <c r="S2749" s="20"/>
      <c r="X2749" s="19"/>
      <c r="Y2749" s="20"/>
    </row>
    <row r="2750" spans="16:25">
      <c r="P2750" s="19"/>
      <c r="Q2750" s="20"/>
      <c r="R2750" s="25"/>
      <c r="S2750" s="20"/>
      <c r="X2750" s="19"/>
      <c r="Y2750" s="20"/>
    </row>
    <row r="2751" spans="16:25">
      <c r="P2751" s="19"/>
      <c r="Q2751" s="20"/>
      <c r="R2751" s="25"/>
      <c r="S2751" s="20"/>
      <c r="X2751" s="19"/>
      <c r="Y2751" s="20"/>
    </row>
    <row r="2752" spans="16:25">
      <c r="P2752" s="19"/>
      <c r="Q2752" s="20"/>
      <c r="R2752" s="25"/>
      <c r="S2752" s="20"/>
      <c r="X2752" s="19"/>
      <c r="Y2752" s="20"/>
    </row>
    <row r="2753" spans="16:25">
      <c r="P2753" s="19"/>
      <c r="Q2753" s="20"/>
      <c r="R2753" s="25"/>
      <c r="S2753" s="20"/>
      <c r="X2753" s="19"/>
      <c r="Y2753" s="20"/>
    </row>
    <row r="2754" spans="16:25">
      <c r="P2754" s="19"/>
      <c r="Q2754" s="20"/>
      <c r="R2754" s="25"/>
      <c r="S2754" s="20"/>
      <c r="X2754" s="19"/>
      <c r="Y2754" s="20"/>
    </row>
    <row r="2755" spans="16:25">
      <c r="P2755" s="19"/>
      <c r="Q2755" s="20"/>
      <c r="R2755" s="25"/>
      <c r="S2755" s="20"/>
      <c r="X2755" s="19"/>
      <c r="Y2755" s="20"/>
    </row>
    <row r="2756" spans="16:25">
      <c r="P2756" s="19"/>
      <c r="Q2756" s="20"/>
      <c r="R2756" s="25"/>
      <c r="S2756" s="20"/>
      <c r="X2756" s="19"/>
      <c r="Y2756" s="20"/>
    </row>
    <row r="2757" spans="16:25">
      <c r="P2757" s="19"/>
      <c r="Q2757" s="20"/>
      <c r="R2757" s="25"/>
      <c r="S2757" s="20"/>
      <c r="X2757" s="19"/>
      <c r="Y2757" s="20"/>
    </row>
    <row r="2758" spans="16:25">
      <c r="P2758" s="19"/>
      <c r="Q2758" s="20"/>
      <c r="R2758" s="25"/>
      <c r="S2758" s="20"/>
      <c r="X2758" s="19"/>
      <c r="Y2758" s="20"/>
    </row>
    <row r="2759" spans="16:25">
      <c r="P2759" s="19"/>
      <c r="Q2759" s="20"/>
      <c r="R2759" s="25"/>
      <c r="S2759" s="20"/>
      <c r="X2759" s="19"/>
      <c r="Y2759" s="20"/>
    </row>
    <row r="2760" spans="16:25">
      <c r="P2760" s="19"/>
      <c r="Q2760" s="20"/>
      <c r="R2760" s="25"/>
      <c r="S2760" s="20"/>
      <c r="X2760" s="19"/>
      <c r="Y2760" s="20"/>
    </row>
    <row r="2761" spans="16:25">
      <c r="P2761" s="19"/>
      <c r="Q2761" s="20"/>
      <c r="R2761" s="25"/>
      <c r="S2761" s="20"/>
      <c r="X2761" s="19"/>
      <c r="Y2761" s="20"/>
    </row>
    <row r="2762" spans="16:25">
      <c r="P2762" s="19"/>
      <c r="Q2762" s="20"/>
      <c r="R2762" s="25"/>
      <c r="S2762" s="20"/>
      <c r="X2762" s="19"/>
      <c r="Y2762" s="20"/>
    </row>
    <row r="2763" spans="16:25">
      <c r="P2763" s="19"/>
      <c r="Q2763" s="20"/>
      <c r="R2763" s="25"/>
      <c r="S2763" s="20"/>
      <c r="X2763" s="19"/>
      <c r="Y2763" s="20"/>
    </row>
    <row r="2764" spans="16:25">
      <c r="P2764" s="19"/>
      <c r="Q2764" s="20"/>
      <c r="R2764" s="25"/>
      <c r="S2764" s="20"/>
      <c r="X2764" s="19"/>
      <c r="Y2764" s="20"/>
    </row>
    <row r="2765" spans="16:25">
      <c r="P2765" s="19"/>
      <c r="Q2765" s="20"/>
      <c r="R2765" s="25"/>
      <c r="S2765" s="20"/>
      <c r="X2765" s="19"/>
      <c r="Y2765" s="20"/>
    </row>
    <row r="2766" spans="16:25">
      <c r="P2766" s="19"/>
      <c r="Q2766" s="20"/>
      <c r="R2766" s="25"/>
      <c r="S2766" s="20"/>
      <c r="X2766" s="19"/>
      <c r="Y2766" s="20"/>
    </row>
    <row r="2767" spans="16:25">
      <c r="P2767" s="19"/>
      <c r="Q2767" s="20"/>
      <c r="R2767" s="25"/>
      <c r="S2767" s="20"/>
      <c r="X2767" s="19"/>
      <c r="Y2767" s="20"/>
    </row>
    <row r="2768" spans="16:25">
      <c r="P2768" s="19"/>
      <c r="Q2768" s="20"/>
      <c r="R2768" s="25"/>
      <c r="S2768" s="20"/>
      <c r="X2768" s="19"/>
      <c r="Y2768" s="20"/>
    </row>
    <row r="2769" spans="16:25">
      <c r="P2769" s="19"/>
      <c r="Q2769" s="20"/>
      <c r="R2769" s="25"/>
      <c r="S2769" s="20"/>
      <c r="X2769" s="19"/>
      <c r="Y2769" s="20"/>
    </row>
    <row r="2770" spans="16:25">
      <c r="P2770" s="19"/>
      <c r="Q2770" s="20"/>
      <c r="R2770" s="25"/>
      <c r="S2770" s="20"/>
      <c r="X2770" s="19"/>
      <c r="Y2770" s="20"/>
    </row>
    <row r="2771" spans="16:25">
      <c r="P2771" s="19"/>
      <c r="Q2771" s="20"/>
      <c r="R2771" s="25"/>
      <c r="S2771" s="20"/>
      <c r="X2771" s="19"/>
      <c r="Y2771" s="20"/>
    </row>
    <row r="2772" spans="16:25">
      <c r="P2772" s="19"/>
      <c r="Q2772" s="20"/>
      <c r="R2772" s="25"/>
      <c r="S2772" s="20"/>
      <c r="X2772" s="19"/>
      <c r="Y2772" s="20"/>
    </row>
    <row r="2773" spans="16:25">
      <c r="P2773" s="19"/>
      <c r="Q2773" s="20"/>
      <c r="R2773" s="25"/>
      <c r="S2773" s="20"/>
      <c r="X2773" s="19"/>
      <c r="Y2773" s="20"/>
    </row>
    <row r="2774" spans="16:25">
      <c r="P2774" s="19"/>
      <c r="Q2774" s="20"/>
      <c r="R2774" s="25"/>
      <c r="S2774" s="20"/>
      <c r="X2774" s="19"/>
      <c r="Y2774" s="20"/>
    </row>
    <row r="2775" spans="16:25">
      <c r="P2775" s="19"/>
      <c r="Q2775" s="20"/>
      <c r="R2775" s="25"/>
      <c r="S2775" s="20"/>
      <c r="X2775" s="19"/>
      <c r="Y2775" s="20"/>
    </row>
    <row r="2776" spans="16:25">
      <c r="P2776" s="19"/>
      <c r="Q2776" s="20"/>
      <c r="R2776" s="25"/>
      <c r="S2776" s="20"/>
      <c r="X2776" s="19"/>
      <c r="Y2776" s="20"/>
    </row>
    <row r="2777" spans="16:25">
      <c r="P2777" s="19"/>
      <c r="Q2777" s="20"/>
      <c r="R2777" s="25"/>
      <c r="S2777" s="20"/>
      <c r="X2777" s="19"/>
      <c r="Y2777" s="20"/>
    </row>
    <row r="2778" spans="16:25">
      <c r="P2778" s="19"/>
      <c r="Q2778" s="20"/>
      <c r="R2778" s="25"/>
      <c r="S2778" s="20"/>
      <c r="X2778" s="19"/>
      <c r="Y2778" s="20"/>
    </row>
    <row r="2779" spans="16:25">
      <c r="P2779" s="19"/>
      <c r="Q2779" s="20"/>
      <c r="R2779" s="25"/>
      <c r="S2779" s="20"/>
      <c r="X2779" s="19"/>
      <c r="Y2779" s="20"/>
    </row>
    <row r="2780" spans="16:25">
      <c r="P2780" s="19"/>
      <c r="Q2780" s="20"/>
      <c r="R2780" s="25"/>
      <c r="S2780" s="20"/>
      <c r="X2780" s="19"/>
      <c r="Y2780" s="20"/>
    </row>
    <row r="2781" spans="16:25">
      <c r="P2781" s="19"/>
      <c r="Q2781" s="20"/>
      <c r="R2781" s="25"/>
      <c r="S2781" s="20"/>
      <c r="X2781" s="19"/>
      <c r="Y2781" s="20"/>
    </row>
    <row r="2782" spans="16:25">
      <c r="P2782" s="19"/>
      <c r="Q2782" s="20"/>
      <c r="R2782" s="25"/>
      <c r="S2782" s="20"/>
      <c r="X2782" s="19"/>
      <c r="Y2782" s="20"/>
    </row>
    <row r="2783" spans="16:25">
      <c r="P2783" s="19"/>
      <c r="Q2783" s="20"/>
      <c r="R2783" s="25"/>
      <c r="S2783" s="20"/>
      <c r="X2783" s="19"/>
      <c r="Y2783" s="20"/>
    </row>
    <row r="2784" spans="16:25">
      <c r="P2784" s="19"/>
      <c r="Q2784" s="20"/>
      <c r="R2784" s="25"/>
      <c r="S2784" s="20"/>
      <c r="X2784" s="19"/>
      <c r="Y2784" s="20"/>
    </row>
    <row r="2785" spans="16:25">
      <c r="P2785" s="19"/>
      <c r="Q2785" s="20"/>
      <c r="R2785" s="25"/>
      <c r="S2785" s="20"/>
      <c r="X2785" s="19"/>
      <c r="Y2785" s="20"/>
    </row>
    <row r="2786" spans="16:25">
      <c r="P2786" s="19"/>
      <c r="Q2786" s="20"/>
      <c r="R2786" s="25"/>
      <c r="S2786" s="20"/>
      <c r="X2786" s="19"/>
      <c r="Y2786" s="20"/>
    </row>
    <row r="2787" spans="16:25">
      <c r="P2787" s="19"/>
      <c r="Q2787" s="20"/>
      <c r="R2787" s="25"/>
      <c r="S2787" s="20"/>
      <c r="X2787" s="19"/>
      <c r="Y2787" s="20"/>
    </row>
    <row r="2788" spans="16:25">
      <c r="P2788" s="19"/>
      <c r="Q2788" s="20"/>
      <c r="R2788" s="25"/>
      <c r="S2788" s="20"/>
      <c r="X2788" s="19"/>
      <c r="Y2788" s="20"/>
    </row>
    <row r="2789" spans="16:25">
      <c r="P2789" s="19"/>
      <c r="Q2789" s="20"/>
      <c r="R2789" s="25"/>
      <c r="S2789" s="20"/>
      <c r="X2789" s="19"/>
      <c r="Y2789" s="20"/>
    </row>
    <row r="2790" spans="16:25">
      <c r="P2790" s="19"/>
      <c r="Q2790" s="20"/>
      <c r="R2790" s="25"/>
      <c r="S2790" s="20"/>
      <c r="X2790" s="19"/>
      <c r="Y2790" s="20"/>
    </row>
    <row r="2791" spans="16:25">
      <c r="P2791" s="19"/>
      <c r="Q2791" s="20"/>
      <c r="R2791" s="25"/>
      <c r="S2791" s="20"/>
      <c r="X2791" s="19"/>
      <c r="Y2791" s="20"/>
    </row>
    <row r="2792" spans="16:25">
      <c r="P2792" s="19"/>
      <c r="Q2792" s="20"/>
      <c r="R2792" s="25"/>
      <c r="S2792" s="20"/>
      <c r="X2792" s="19"/>
      <c r="Y2792" s="20"/>
    </row>
    <row r="2793" spans="16:25">
      <c r="P2793" s="19"/>
      <c r="Q2793" s="20"/>
      <c r="R2793" s="25"/>
      <c r="S2793" s="20"/>
      <c r="X2793" s="19"/>
      <c r="Y2793" s="20"/>
    </row>
    <row r="2794" spans="16:25">
      <c r="P2794" s="19"/>
      <c r="Q2794" s="20"/>
      <c r="R2794" s="25"/>
      <c r="S2794" s="20"/>
      <c r="X2794" s="19"/>
      <c r="Y2794" s="20"/>
    </row>
    <row r="2795" spans="16:25">
      <c r="P2795" s="19"/>
      <c r="Q2795" s="20"/>
      <c r="R2795" s="25"/>
      <c r="S2795" s="20"/>
      <c r="X2795" s="19"/>
      <c r="Y2795" s="20"/>
    </row>
    <row r="2796" spans="16:25">
      <c r="P2796" s="19"/>
      <c r="Q2796" s="20"/>
      <c r="R2796" s="25"/>
      <c r="S2796" s="20"/>
      <c r="X2796" s="19"/>
      <c r="Y2796" s="20"/>
    </row>
    <row r="2797" spans="16:25">
      <c r="P2797" s="19"/>
      <c r="Q2797" s="20"/>
      <c r="R2797" s="25"/>
      <c r="S2797" s="20"/>
      <c r="X2797" s="19"/>
      <c r="Y2797" s="20"/>
    </row>
    <row r="2798" spans="16:25">
      <c r="P2798" s="19"/>
      <c r="Q2798" s="20"/>
      <c r="R2798" s="25"/>
      <c r="S2798" s="20"/>
      <c r="X2798" s="19"/>
      <c r="Y2798" s="20"/>
    </row>
    <row r="2799" spans="16:25">
      <c r="P2799" s="19"/>
      <c r="Q2799" s="20"/>
      <c r="R2799" s="25"/>
      <c r="S2799" s="20"/>
      <c r="X2799" s="19"/>
      <c r="Y2799" s="20"/>
    </row>
    <row r="2800" spans="16:25">
      <c r="P2800" s="19"/>
      <c r="Q2800" s="20"/>
      <c r="R2800" s="25"/>
      <c r="S2800" s="20"/>
      <c r="X2800" s="19"/>
      <c r="Y2800" s="20"/>
    </row>
    <row r="2801" spans="16:25">
      <c r="P2801" s="19"/>
      <c r="Q2801" s="20"/>
      <c r="R2801" s="25"/>
      <c r="S2801" s="20"/>
      <c r="X2801" s="19"/>
      <c r="Y2801" s="20"/>
    </row>
    <row r="2802" spans="16:25">
      <c r="P2802" s="19"/>
      <c r="Q2802" s="20"/>
      <c r="R2802" s="25"/>
      <c r="S2802" s="20"/>
      <c r="X2802" s="19"/>
      <c r="Y2802" s="20"/>
    </row>
    <row r="2803" spans="16:25">
      <c r="P2803" s="19"/>
      <c r="Q2803" s="20"/>
      <c r="R2803" s="25"/>
      <c r="S2803" s="20"/>
      <c r="X2803" s="19"/>
      <c r="Y2803" s="20"/>
    </row>
    <row r="2804" spans="16:25">
      <c r="P2804" s="19"/>
      <c r="Q2804" s="20"/>
      <c r="R2804" s="25"/>
      <c r="S2804" s="20"/>
      <c r="X2804" s="19"/>
      <c r="Y2804" s="20"/>
    </row>
    <row r="2805" spans="16:25">
      <c r="P2805" s="19"/>
      <c r="Q2805" s="20"/>
      <c r="R2805" s="25"/>
      <c r="S2805" s="20"/>
      <c r="X2805" s="19"/>
      <c r="Y2805" s="20"/>
    </row>
    <row r="2806" spans="16:25">
      <c r="P2806" s="19"/>
      <c r="Q2806" s="20"/>
      <c r="R2806" s="25"/>
      <c r="S2806" s="20"/>
      <c r="X2806" s="19"/>
      <c r="Y2806" s="20"/>
    </row>
    <row r="2807" spans="16:25">
      <c r="P2807" s="19"/>
      <c r="Q2807" s="20"/>
      <c r="R2807" s="25"/>
      <c r="S2807" s="20"/>
      <c r="X2807" s="19"/>
      <c r="Y2807" s="20"/>
    </row>
    <row r="2808" spans="16:25">
      <c r="P2808" s="19"/>
      <c r="Q2808" s="20"/>
      <c r="R2808" s="25"/>
      <c r="S2808" s="20"/>
      <c r="X2808" s="19"/>
      <c r="Y2808" s="20"/>
    </row>
    <row r="2809" spans="16:25">
      <c r="P2809" s="19"/>
      <c r="Q2809" s="20"/>
      <c r="R2809" s="25"/>
      <c r="S2809" s="20"/>
      <c r="X2809" s="19"/>
      <c r="Y2809" s="20"/>
    </row>
    <row r="2810" spans="16:25">
      <c r="P2810" s="19"/>
      <c r="Q2810" s="20"/>
      <c r="R2810" s="25"/>
      <c r="S2810" s="20"/>
      <c r="X2810" s="19"/>
      <c r="Y2810" s="20"/>
    </row>
    <row r="2811" spans="16:25">
      <c r="P2811" s="19"/>
      <c r="Q2811" s="20"/>
      <c r="R2811" s="25"/>
      <c r="S2811" s="20"/>
      <c r="X2811" s="19"/>
      <c r="Y2811" s="20"/>
    </row>
    <row r="2812" spans="16:25">
      <c r="P2812" s="19"/>
      <c r="Q2812" s="20"/>
      <c r="R2812" s="25"/>
      <c r="S2812" s="20"/>
      <c r="X2812" s="19"/>
      <c r="Y2812" s="20"/>
    </row>
    <row r="2813" spans="16:25">
      <c r="P2813" s="19"/>
      <c r="Q2813" s="20"/>
      <c r="R2813" s="25"/>
      <c r="S2813" s="20"/>
      <c r="X2813" s="19"/>
      <c r="Y2813" s="20"/>
    </row>
    <row r="2814" spans="16:25">
      <c r="P2814" s="19"/>
      <c r="Q2814" s="20"/>
      <c r="R2814" s="25"/>
      <c r="S2814" s="20"/>
      <c r="X2814" s="19"/>
      <c r="Y2814" s="20"/>
    </row>
    <row r="2815" spans="16:25">
      <c r="P2815" s="19"/>
      <c r="Q2815" s="20"/>
      <c r="R2815" s="25"/>
      <c r="S2815" s="20"/>
      <c r="X2815" s="19"/>
      <c r="Y2815" s="20"/>
    </row>
    <row r="2816" spans="16:25">
      <c r="P2816" s="19"/>
      <c r="Q2816" s="20"/>
      <c r="R2816" s="25"/>
      <c r="S2816" s="20"/>
      <c r="X2816" s="19"/>
      <c r="Y2816" s="20"/>
    </row>
    <row r="2817" spans="16:25">
      <c r="P2817" s="19"/>
      <c r="Q2817" s="20"/>
      <c r="R2817" s="25"/>
      <c r="S2817" s="20"/>
      <c r="X2817" s="19"/>
      <c r="Y2817" s="20"/>
    </row>
    <row r="2818" spans="16:25">
      <c r="P2818" s="19"/>
      <c r="Q2818" s="20"/>
      <c r="R2818" s="25"/>
      <c r="S2818" s="20"/>
      <c r="X2818" s="19"/>
      <c r="Y2818" s="20"/>
    </row>
    <row r="2819" spans="16:25">
      <c r="P2819" s="19"/>
      <c r="Q2819" s="20"/>
      <c r="R2819" s="25"/>
      <c r="S2819" s="20"/>
      <c r="X2819" s="19"/>
      <c r="Y2819" s="20"/>
    </row>
    <row r="2820" spans="16:25">
      <c r="P2820" s="19"/>
      <c r="Q2820" s="20"/>
      <c r="R2820" s="25"/>
      <c r="S2820" s="20"/>
      <c r="X2820" s="19"/>
      <c r="Y2820" s="20"/>
    </row>
    <row r="2821" spans="16:25">
      <c r="P2821" s="19"/>
      <c r="Q2821" s="20"/>
      <c r="R2821" s="25"/>
      <c r="S2821" s="20"/>
      <c r="X2821" s="19"/>
      <c r="Y2821" s="20"/>
    </row>
    <row r="2822" spans="16:25">
      <c r="P2822" s="19"/>
      <c r="Q2822" s="20"/>
      <c r="R2822" s="25"/>
      <c r="S2822" s="20"/>
      <c r="X2822" s="19"/>
      <c r="Y2822" s="20"/>
    </row>
    <row r="2823" spans="16:25">
      <c r="P2823" s="19"/>
      <c r="Q2823" s="20"/>
      <c r="R2823" s="25"/>
      <c r="S2823" s="20"/>
      <c r="X2823" s="19"/>
      <c r="Y2823" s="20"/>
    </row>
    <row r="2824" spans="16:25">
      <c r="P2824" s="19"/>
      <c r="Q2824" s="20"/>
      <c r="R2824" s="25"/>
      <c r="S2824" s="20"/>
      <c r="X2824" s="19"/>
      <c r="Y2824" s="20"/>
    </row>
    <row r="2825" spans="16:25">
      <c r="P2825" s="19"/>
      <c r="Q2825" s="20"/>
      <c r="R2825" s="25"/>
      <c r="S2825" s="20"/>
      <c r="X2825" s="19"/>
      <c r="Y2825" s="20"/>
    </row>
    <row r="2826" spans="16:25">
      <c r="P2826" s="19"/>
      <c r="Q2826" s="20"/>
      <c r="R2826" s="25"/>
      <c r="S2826" s="20"/>
      <c r="X2826" s="19"/>
      <c r="Y2826" s="20"/>
    </row>
    <row r="2827" spans="16:25">
      <c r="P2827" s="19"/>
      <c r="Q2827" s="20"/>
      <c r="R2827" s="25"/>
      <c r="S2827" s="20"/>
      <c r="X2827" s="19"/>
      <c r="Y2827" s="20"/>
    </row>
    <row r="2828" spans="16:25">
      <c r="P2828" s="19"/>
      <c r="Q2828" s="20"/>
      <c r="R2828" s="25"/>
      <c r="S2828" s="20"/>
      <c r="X2828" s="19"/>
      <c r="Y2828" s="20"/>
    </row>
    <row r="2829" spans="16:25">
      <c r="P2829" s="19"/>
      <c r="Q2829" s="20"/>
      <c r="R2829" s="25"/>
      <c r="S2829" s="20"/>
      <c r="X2829" s="19"/>
      <c r="Y2829" s="20"/>
    </row>
    <row r="2830" spans="16:25">
      <c r="P2830" s="19"/>
      <c r="Q2830" s="20"/>
      <c r="R2830" s="25"/>
      <c r="S2830" s="20"/>
      <c r="X2830" s="19"/>
      <c r="Y2830" s="20"/>
    </row>
    <row r="2831" spans="16:25">
      <c r="P2831" s="19"/>
      <c r="Q2831" s="20"/>
      <c r="R2831" s="25"/>
      <c r="S2831" s="20"/>
      <c r="X2831" s="19"/>
      <c r="Y2831" s="20"/>
    </row>
    <row r="2832" spans="16:25">
      <c r="P2832" s="19"/>
      <c r="Q2832" s="20"/>
      <c r="R2832" s="25"/>
      <c r="S2832" s="20"/>
      <c r="X2832" s="19"/>
      <c r="Y2832" s="20"/>
    </row>
    <row r="2833" spans="16:25">
      <c r="P2833" s="19"/>
      <c r="Q2833" s="20"/>
      <c r="R2833" s="25"/>
      <c r="S2833" s="20"/>
      <c r="X2833" s="19"/>
      <c r="Y2833" s="20"/>
    </row>
    <row r="2834" spans="16:25">
      <c r="P2834" s="19"/>
      <c r="Q2834" s="20"/>
      <c r="R2834" s="25"/>
      <c r="S2834" s="20"/>
      <c r="X2834" s="19"/>
      <c r="Y2834" s="20"/>
    </row>
    <row r="2835" spans="16:25">
      <c r="P2835" s="19"/>
      <c r="Q2835" s="20"/>
      <c r="R2835" s="25"/>
      <c r="S2835" s="20"/>
      <c r="X2835" s="19"/>
      <c r="Y2835" s="20"/>
    </row>
    <row r="2836" spans="16:25">
      <c r="P2836" s="19"/>
      <c r="Q2836" s="20"/>
      <c r="R2836" s="25"/>
      <c r="S2836" s="20"/>
      <c r="X2836" s="19"/>
      <c r="Y2836" s="20"/>
    </row>
    <row r="2837" spans="16:25">
      <c r="P2837" s="19"/>
      <c r="Q2837" s="20"/>
      <c r="R2837" s="25"/>
      <c r="S2837" s="20"/>
      <c r="X2837" s="19"/>
      <c r="Y2837" s="20"/>
    </row>
    <row r="2838" spans="16:25">
      <c r="P2838" s="19"/>
      <c r="Q2838" s="20"/>
      <c r="R2838" s="25"/>
      <c r="S2838" s="20"/>
      <c r="X2838" s="19"/>
      <c r="Y2838" s="20"/>
    </row>
    <row r="2839" spans="16:25">
      <c r="P2839" s="19"/>
      <c r="Q2839" s="20"/>
      <c r="R2839" s="25"/>
      <c r="S2839" s="20"/>
      <c r="X2839" s="19"/>
      <c r="Y2839" s="20"/>
    </row>
    <row r="2840" spans="16:25">
      <c r="P2840" s="19"/>
      <c r="Q2840" s="20"/>
      <c r="R2840" s="25"/>
      <c r="S2840" s="20"/>
      <c r="X2840" s="19"/>
      <c r="Y2840" s="20"/>
    </row>
    <row r="2841" spans="16:25">
      <c r="P2841" s="19"/>
      <c r="Q2841" s="20"/>
      <c r="R2841" s="25"/>
      <c r="S2841" s="20"/>
      <c r="X2841" s="19"/>
      <c r="Y2841" s="20"/>
    </row>
    <row r="2842" spans="16:25">
      <c r="P2842" s="19"/>
      <c r="Q2842" s="20"/>
      <c r="R2842" s="25"/>
      <c r="S2842" s="20"/>
      <c r="X2842" s="19"/>
      <c r="Y2842" s="20"/>
    </row>
    <row r="2843" spans="16:25">
      <c r="P2843" s="19"/>
      <c r="Q2843" s="20"/>
      <c r="R2843" s="25"/>
      <c r="S2843" s="20"/>
      <c r="X2843" s="19"/>
      <c r="Y2843" s="20"/>
    </row>
    <row r="2844" spans="16:25">
      <c r="P2844" s="19"/>
      <c r="Q2844" s="20"/>
      <c r="R2844" s="25"/>
      <c r="S2844" s="20"/>
      <c r="X2844" s="19"/>
      <c r="Y2844" s="20"/>
    </row>
    <row r="2845" spans="16:25">
      <c r="P2845" s="19"/>
      <c r="Q2845" s="20"/>
      <c r="R2845" s="25"/>
      <c r="S2845" s="20"/>
      <c r="X2845" s="19"/>
      <c r="Y2845" s="20"/>
    </row>
    <row r="2846" spans="16:25">
      <c r="P2846" s="19"/>
      <c r="Q2846" s="20"/>
      <c r="R2846" s="25"/>
      <c r="S2846" s="20"/>
      <c r="X2846" s="19"/>
      <c r="Y2846" s="20"/>
    </row>
    <row r="2847" spans="16:25">
      <c r="P2847" s="19"/>
      <c r="Q2847" s="20"/>
      <c r="R2847" s="25"/>
      <c r="S2847" s="20"/>
      <c r="X2847" s="19"/>
      <c r="Y2847" s="20"/>
    </row>
    <row r="2848" spans="16:25">
      <c r="P2848" s="19"/>
      <c r="Q2848" s="20"/>
      <c r="R2848" s="25"/>
      <c r="S2848" s="20"/>
      <c r="X2848" s="19"/>
      <c r="Y2848" s="20"/>
    </row>
    <row r="2849" spans="16:25">
      <c r="P2849" s="19"/>
      <c r="Q2849" s="20"/>
      <c r="R2849" s="25"/>
      <c r="S2849" s="20"/>
      <c r="X2849" s="19"/>
      <c r="Y2849" s="20"/>
    </row>
    <row r="2850" spans="16:25">
      <c r="P2850" s="19"/>
      <c r="Q2850" s="20"/>
      <c r="R2850" s="25"/>
      <c r="S2850" s="20"/>
      <c r="X2850" s="19"/>
      <c r="Y2850" s="20"/>
    </row>
    <row r="2851" spans="16:25">
      <c r="P2851" s="19"/>
      <c r="Q2851" s="20"/>
      <c r="R2851" s="25"/>
      <c r="S2851" s="20"/>
      <c r="X2851" s="19"/>
      <c r="Y2851" s="20"/>
    </row>
    <row r="2852" spans="16:25">
      <c r="P2852" s="19"/>
      <c r="Q2852" s="20"/>
      <c r="R2852" s="25"/>
      <c r="S2852" s="20"/>
      <c r="X2852" s="19"/>
      <c r="Y2852" s="20"/>
    </row>
    <row r="2853" spans="16:25">
      <c r="P2853" s="19"/>
      <c r="Q2853" s="20"/>
      <c r="R2853" s="25"/>
      <c r="S2853" s="20"/>
      <c r="X2853" s="19"/>
      <c r="Y2853" s="20"/>
    </row>
    <row r="2854" spans="16:25">
      <c r="P2854" s="19"/>
      <c r="Q2854" s="20"/>
      <c r="R2854" s="25"/>
      <c r="S2854" s="20"/>
      <c r="X2854" s="19"/>
      <c r="Y2854" s="20"/>
    </row>
    <row r="2855" spans="16:25">
      <c r="P2855" s="19"/>
      <c r="Q2855" s="20"/>
      <c r="R2855" s="25"/>
      <c r="S2855" s="20"/>
      <c r="X2855" s="19"/>
      <c r="Y2855" s="20"/>
    </row>
    <row r="2856" spans="16:25">
      <c r="P2856" s="19"/>
      <c r="Q2856" s="20"/>
      <c r="R2856" s="25"/>
      <c r="S2856" s="20"/>
      <c r="X2856" s="19"/>
      <c r="Y2856" s="20"/>
    </row>
    <row r="2857" spans="16:25">
      <c r="P2857" s="19"/>
      <c r="Q2857" s="20"/>
      <c r="R2857" s="25"/>
      <c r="S2857" s="20"/>
      <c r="X2857" s="19"/>
      <c r="Y2857" s="20"/>
    </row>
    <row r="2858" spans="16:25">
      <c r="P2858" s="19"/>
      <c r="Q2858" s="20"/>
      <c r="R2858" s="25"/>
      <c r="S2858" s="20"/>
      <c r="X2858" s="19"/>
      <c r="Y2858" s="20"/>
    </row>
    <row r="2859" spans="16:25">
      <c r="P2859" s="19"/>
      <c r="Q2859" s="20"/>
      <c r="R2859" s="25"/>
      <c r="S2859" s="20"/>
      <c r="X2859" s="19"/>
      <c r="Y2859" s="20"/>
    </row>
    <row r="2860" spans="16:25">
      <c r="P2860" s="19"/>
      <c r="Q2860" s="20"/>
      <c r="R2860" s="25"/>
      <c r="S2860" s="20"/>
      <c r="X2860" s="19"/>
      <c r="Y2860" s="20"/>
    </row>
    <row r="2861" spans="16:25">
      <c r="P2861" s="19"/>
      <c r="Q2861" s="20"/>
      <c r="R2861" s="25"/>
      <c r="S2861" s="20"/>
      <c r="X2861" s="19"/>
      <c r="Y2861" s="20"/>
    </row>
    <row r="2862" spans="16:25">
      <c r="P2862" s="19"/>
      <c r="Q2862" s="20"/>
      <c r="R2862" s="25"/>
      <c r="S2862" s="20"/>
      <c r="X2862" s="19"/>
      <c r="Y2862" s="20"/>
    </row>
    <row r="2863" spans="16:25">
      <c r="P2863" s="19"/>
      <c r="Q2863" s="20"/>
      <c r="R2863" s="25"/>
      <c r="S2863" s="20"/>
      <c r="X2863" s="19"/>
      <c r="Y2863" s="20"/>
    </row>
    <row r="2864" spans="16:25">
      <c r="P2864" s="19"/>
      <c r="Q2864" s="20"/>
      <c r="R2864" s="25"/>
      <c r="S2864" s="20"/>
      <c r="X2864" s="19"/>
      <c r="Y2864" s="20"/>
    </row>
    <row r="2865" spans="16:25">
      <c r="P2865" s="19"/>
      <c r="Q2865" s="20"/>
      <c r="R2865" s="25"/>
      <c r="S2865" s="20"/>
      <c r="X2865" s="19"/>
      <c r="Y2865" s="20"/>
    </row>
    <row r="2866" spans="16:25">
      <c r="P2866" s="19"/>
      <c r="Q2866" s="20"/>
      <c r="R2866" s="25"/>
      <c r="S2866" s="20"/>
      <c r="X2866" s="19"/>
      <c r="Y2866" s="20"/>
    </row>
    <row r="2867" spans="16:25">
      <c r="P2867" s="19"/>
      <c r="Q2867" s="20"/>
      <c r="R2867" s="25"/>
      <c r="S2867" s="20"/>
      <c r="X2867" s="19"/>
      <c r="Y2867" s="20"/>
    </row>
    <row r="2868" spans="16:25">
      <c r="P2868" s="19"/>
      <c r="Q2868" s="20"/>
      <c r="R2868" s="25"/>
      <c r="S2868" s="20"/>
      <c r="X2868" s="19"/>
      <c r="Y2868" s="20"/>
    </row>
    <row r="2869" spans="16:25">
      <c r="P2869" s="19"/>
      <c r="Q2869" s="20"/>
      <c r="R2869" s="25"/>
      <c r="S2869" s="20"/>
      <c r="X2869" s="19"/>
      <c r="Y2869" s="20"/>
    </row>
    <row r="2870" spans="16:25">
      <c r="P2870" s="19"/>
      <c r="Q2870" s="20"/>
      <c r="R2870" s="25"/>
      <c r="S2870" s="20"/>
      <c r="X2870" s="19"/>
      <c r="Y2870" s="20"/>
    </row>
    <row r="2871" spans="16:25">
      <c r="P2871" s="19"/>
      <c r="Q2871" s="20"/>
      <c r="R2871" s="25"/>
      <c r="S2871" s="20"/>
      <c r="X2871" s="19"/>
      <c r="Y2871" s="20"/>
    </row>
    <row r="2872" spans="16:25">
      <c r="P2872" s="19"/>
      <c r="Q2872" s="20"/>
      <c r="R2872" s="25"/>
      <c r="S2872" s="20"/>
      <c r="X2872" s="19"/>
      <c r="Y2872" s="20"/>
    </row>
    <row r="2873" spans="16:25">
      <c r="P2873" s="19"/>
      <c r="Q2873" s="20"/>
      <c r="R2873" s="25"/>
      <c r="S2873" s="20"/>
      <c r="X2873" s="19"/>
      <c r="Y2873" s="20"/>
    </row>
    <row r="2874" spans="16:25">
      <c r="P2874" s="19"/>
      <c r="Q2874" s="20"/>
      <c r="R2874" s="25"/>
      <c r="S2874" s="20"/>
      <c r="X2874" s="19"/>
      <c r="Y2874" s="20"/>
    </row>
    <row r="2875" spans="16:25">
      <c r="P2875" s="19"/>
      <c r="Q2875" s="20"/>
      <c r="R2875" s="25"/>
      <c r="S2875" s="20"/>
      <c r="X2875" s="19"/>
      <c r="Y2875" s="20"/>
    </row>
    <row r="2876" spans="16:25">
      <c r="P2876" s="19"/>
      <c r="Q2876" s="20"/>
      <c r="R2876" s="25"/>
      <c r="S2876" s="20"/>
      <c r="X2876" s="19"/>
      <c r="Y2876" s="20"/>
    </row>
    <row r="2877" spans="16:25">
      <c r="P2877" s="19"/>
      <c r="Q2877" s="20"/>
      <c r="R2877" s="25"/>
      <c r="S2877" s="20"/>
      <c r="X2877" s="19"/>
      <c r="Y2877" s="20"/>
    </row>
    <row r="2878" spans="16:25">
      <c r="P2878" s="19"/>
      <c r="Q2878" s="20"/>
      <c r="R2878" s="25"/>
      <c r="S2878" s="20"/>
      <c r="X2878" s="19"/>
      <c r="Y2878" s="20"/>
    </row>
    <row r="2879" spans="16:25">
      <c r="P2879" s="19"/>
      <c r="Q2879" s="20"/>
      <c r="R2879" s="25"/>
      <c r="S2879" s="20"/>
      <c r="X2879" s="19"/>
      <c r="Y2879" s="20"/>
    </row>
    <row r="2880" spans="16:25">
      <c r="P2880" s="19"/>
      <c r="Q2880" s="20"/>
      <c r="R2880" s="25"/>
      <c r="S2880" s="20"/>
      <c r="X2880" s="19"/>
      <c r="Y2880" s="20"/>
    </row>
    <row r="2881" spans="16:25">
      <c r="P2881" s="19"/>
      <c r="Q2881" s="20"/>
      <c r="R2881" s="25"/>
      <c r="S2881" s="20"/>
      <c r="X2881" s="19"/>
      <c r="Y2881" s="20"/>
    </row>
    <row r="2882" spans="16:25">
      <c r="P2882" s="19"/>
      <c r="Q2882" s="20"/>
      <c r="R2882" s="25"/>
      <c r="S2882" s="20"/>
      <c r="X2882" s="19"/>
      <c r="Y2882" s="20"/>
    </row>
    <row r="2883" spans="16:25">
      <c r="P2883" s="19"/>
      <c r="Q2883" s="20"/>
      <c r="R2883" s="25"/>
      <c r="S2883" s="20"/>
      <c r="X2883" s="19"/>
      <c r="Y2883" s="20"/>
    </row>
    <row r="2884" spans="16:25">
      <c r="P2884" s="19"/>
      <c r="Q2884" s="20"/>
      <c r="R2884" s="25"/>
      <c r="S2884" s="20"/>
      <c r="X2884" s="19"/>
      <c r="Y2884" s="20"/>
    </row>
    <row r="2885" spans="16:25">
      <c r="P2885" s="19"/>
      <c r="Q2885" s="20"/>
      <c r="R2885" s="25"/>
      <c r="S2885" s="20"/>
      <c r="X2885" s="19"/>
      <c r="Y2885" s="20"/>
    </row>
    <row r="2886" spans="16:25">
      <c r="P2886" s="19"/>
      <c r="Q2886" s="20"/>
      <c r="R2886" s="25"/>
      <c r="S2886" s="20"/>
      <c r="X2886" s="19"/>
      <c r="Y2886" s="20"/>
    </row>
    <row r="2887" spans="16:25">
      <c r="P2887" s="19"/>
      <c r="Q2887" s="20"/>
      <c r="R2887" s="25"/>
      <c r="S2887" s="20"/>
      <c r="X2887" s="19"/>
      <c r="Y2887" s="20"/>
    </row>
    <row r="2888" spans="16:25">
      <c r="P2888" s="19"/>
      <c r="Q2888" s="20"/>
      <c r="R2888" s="25"/>
      <c r="S2888" s="20"/>
      <c r="X2888" s="19"/>
      <c r="Y2888" s="20"/>
    </row>
    <row r="2889" spans="16:25">
      <c r="P2889" s="19"/>
      <c r="Q2889" s="20"/>
      <c r="R2889" s="25"/>
      <c r="S2889" s="20"/>
      <c r="X2889" s="19"/>
      <c r="Y2889" s="20"/>
    </row>
    <row r="2890" spans="16:25">
      <c r="P2890" s="19"/>
      <c r="Q2890" s="20"/>
      <c r="R2890" s="25"/>
      <c r="S2890" s="20"/>
      <c r="X2890" s="19"/>
      <c r="Y2890" s="20"/>
    </row>
    <row r="2891" spans="16:25">
      <c r="P2891" s="19"/>
      <c r="Q2891" s="20"/>
      <c r="R2891" s="25"/>
      <c r="S2891" s="20"/>
      <c r="X2891" s="19"/>
      <c r="Y2891" s="20"/>
    </row>
    <row r="2892" spans="16:25">
      <c r="P2892" s="19"/>
      <c r="Q2892" s="20"/>
      <c r="R2892" s="25"/>
      <c r="S2892" s="20"/>
      <c r="X2892" s="19"/>
      <c r="Y2892" s="20"/>
    </row>
    <row r="2893" spans="16:25">
      <c r="P2893" s="19"/>
      <c r="Q2893" s="20"/>
      <c r="R2893" s="25"/>
      <c r="S2893" s="20"/>
      <c r="X2893" s="19"/>
      <c r="Y2893" s="20"/>
    </row>
    <row r="2894" spans="16:25">
      <c r="P2894" s="19"/>
      <c r="Q2894" s="20"/>
      <c r="R2894" s="25"/>
      <c r="S2894" s="20"/>
      <c r="X2894" s="19"/>
      <c r="Y2894" s="20"/>
    </row>
    <row r="2895" spans="16:25">
      <c r="P2895" s="19"/>
      <c r="Q2895" s="20"/>
      <c r="R2895" s="25"/>
      <c r="S2895" s="20"/>
      <c r="X2895" s="19"/>
      <c r="Y2895" s="20"/>
    </row>
    <row r="2896" spans="16:25">
      <c r="P2896" s="19"/>
      <c r="Q2896" s="20"/>
      <c r="R2896" s="25"/>
      <c r="S2896" s="20"/>
      <c r="X2896" s="19"/>
      <c r="Y2896" s="20"/>
    </row>
    <row r="2897" spans="16:25">
      <c r="P2897" s="19"/>
      <c r="Q2897" s="20"/>
      <c r="R2897" s="25"/>
      <c r="S2897" s="20"/>
      <c r="X2897" s="19"/>
      <c r="Y2897" s="20"/>
    </row>
    <row r="2898" spans="16:25">
      <c r="P2898" s="19"/>
      <c r="Q2898" s="20"/>
      <c r="R2898" s="25"/>
      <c r="S2898" s="20"/>
      <c r="X2898" s="19"/>
      <c r="Y2898" s="20"/>
    </row>
    <row r="2899" spans="16:25">
      <c r="P2899" s="19"/>
      <c r="Q2899" s="20"/>
      <c r="R2899" s="25"/>
      <c r="S2899" s="20"/>
      <c r="X2899" s="19"/>
      <c r="Y2899" s="20"/>
    </row>
    <row r="2900" spans="16:25">
      <c r="P2900" s="19"/>
      <c r="Q2900" s="20"/>
      <c r="R2900" s="25"/>
      <c r="S2900" s="20"/>
      <c r="X2900" s="19"/>
      <c r="Y2900" s="20"/>
    </row>
    <row r="2901" spans="16:25">
      <c r="P2901" s="19"/>
      <c r="Q2901" s="20"/>
      <c r="R2901" s="25"/>
      <c r="S2901" s="20"/>
      <c r="X2901" s="19"/>
      <c r="Y2901" s="20"/>
    </row>
    <row r="2902" spans="16:25">
      <c r="P2902" s="19"/>
      <c r="Q2902" s="20"/>
      <c r="R2902" s="25"/>
      <c r="S2902" s="20"/>
      <c r="X2902" s="19"/>
      <c r="Y2902" s="20"/>
    </row>
    <row r="2903" spans="16:25">
      <c r="P2903" s="19"/>
      <c r="Q2903" s="20"/>
      <c r="R2903" s="25"/>
      <c r="S2903" s="20"/>
      <c r="X2903" s="19"/>
      <c r="Y2903" s="20"/>
    </row>
    <row r="2904" spans="16:25">
      <c r="P2904" s="19"/>
      <c r="Q2904" s="20"/>
      <c r="R2904" s="25"/>
      <c r="S2904" s="20"/>
      <c r="X2904" s="19"/>
      <c r="Y2904" s="20"/>
    </row>
    <row r="2905" spans="16:25">
      <c r="P2905" s="19"/>
      <c r="Q2905" s="20"/>
      <c r="R2905" s="25"/>
      <c r="S2905" s="20"/>
      <c r="X2905" s="19"/>
      <c r="Y2905" s="20"/>
    </row>
    <row r="2906" spans="16:25">
      <c r="P2906" s="19"/>
      <c r="Q2906" s="20"/>
      <c r="R2906" s="25"/>
      <c r="S2906" s="20"/>
      <c r="X2906" s="19"/>
      <c r="Y2906" s="20"/>
    </row>
    <row r="2907" spans="16:25">
      <c r="P2907" s="19"/>
      <c r="Q2907" s="20"/>
      <c r="R2907" s="25"/>
      <c r="S2907" s="20"/>
      <c r="X2907" s="19"/>
      <c r="Y2907" s="20"/>
    </row>
    <row r="2908" spans="16:25">
      <c r="P2908" s="19"/>
      <c r="Q2908" s="20"/>
      <c r="R2908" s="25"/>
      <c r="S2908" s="20"/>
      <c r="X2908" s="19"/>
      <c r="Y2908" s="20"/>
    </row>
    <row r="2909" spans="16:25">
      <c r="P2909" s="19"/>
      <c r="Q2909" s="20"/>
      <c r="R2909" s="25"/>
      <c r="S2909" s="20"/>
      <c r="X2909" s="19"/>
      <c r="Y2909" s="20"/>
    </row>
    <row r="2910" spans="16:25">
      <c r="P2910" s="19"/>
      <c r="Q2910" s="20"/>
      <c r="R2910" s="25"/>
      <c r="S2910" s="20"/>
      <c r="X2910" s="19"/>
      <c r="Y2910" s="20"/>
    </row>
    <row r="2911" spans="16:25">
      <c r="P2911" s="19"/>
      <c r="Q2911" s="20"/>
      <c r="R2911" s="25"/>
      <c r="S2911" s="20"/>
      <c r="X2911" s="19"/>
      <c r="Y2911" s="20"/>
    </row>
    <row r="2912" spans="16:25">
      <c r="P2912" s="19"/>
      <c r="Q2912" s="20"/>
      <c r="R2912" s="25"/>
      <c r="S2912" s="20"/>
      <c r="X2912" s="19"/>
      <c r="Y2912" s="20"/>
    </row>
    <row r="2913" spans="16:25">
      <c r="P2913" s="19"/>
      <c r="Q2913" s="20"/>
      <c r="R2913" s="25"/>
      <c r="S2913" s="20"/>
      <c r="X2913" s="19"/>
      <c r="Y2913" s="20"/>
    </row>
    <row r="2914" spans="16:25">
      <c r="P2914" s="19"/>
      <c r="Q2914" s="20"/>
      <c r="R2914" s="25"/>
      <c r="S2914" s="20"/>
      <c r="X2914" s="19"/>
      <c r="Y2914" s="20"/>
    </row>
    <row r="2915" spans="16:25">
      <c r="P2915" s="19"/>
      <c r="Q2915" s="20"/>
      <c r="R2915" s="25"/>
      <c r="S2915" s="20"/>
      <c r="X2915" s="19"/>
      <c r="Y2915" s="20"/>
    </row>
    <row r="2916" spans="16:25">
      <c r="P2916" s="19"/>
      <c r="Q2916" s="20"/>
      <c r="R2916" s="25"/>
      <c r="S2916" s="20"/>
      <c r="X2916" s="19"/>
      <c r="Y2916" s="20"/>
    </row>
    <row r="2917" spans="16:25">
      <c r="P2917" s="19"/>
      <c r="Q2917" s="20"/>
      <c r="R2917" s="25"/>
      <c r="S2917" s="20"/>
      <c r="X2917" s="19"/>
      <c r="Y2917" s="20"/>
    </row>
    <row r="2918" spans="16:25">
      <c r="P2918" s="19"/>
      <c r="Q2918" s="20"/>
      <c r="R2918" s="25"/>
      <c r="S2918" s="20"/>
      <c r="X2918" s="19"/>
      <c r="Y2918" s="20"/>
    </row>
    <row r="2919" spans="16:25">
      <c r="P2919" s="19"/>
      <c r="Q2919" s="20"/>
      <c r="R2919" s="25"/>
      <c r="S2919" s="20"/>
      <c r="X2919" s="19"/>
      <c r="Y2919" s="20"/>
    </row>
    <row r="2920" spans="16:25">
      <c r="P2920" s="19"/>
      <c r="Q2920" s="20"/>
      <c r="R2920" s="25"/>
      <c r="S2920" s="20"/>
      <c r="X2920" s="19"/>
      <c r="Y2920" s="20"/>
    </row>
    <row r="2921" spans="16:25">
      <c r="P2921" s="19"/>
      <c r="Q2921" s="20"/>
      <c r="R2921" s="25"/>
      <c r="S2921" s="20"/>
      <c r="X2921" s="19"/>
      <c r="Y2921" s="20"/>
    </row>
    <row r="2922" spans="16:25">
      <c r="P2922" s="19"/>
      <c r="Q2922" s="20"/>
      <c r="R2922" s="25"/>
      <c r="S2922" s="20"/>
      <c r="X2922" s="19"/>
      <c r="Y2922" s="20"/>
    </row>
    <row r="2923" spans="16:25">
      <c r="P2923" s="19"/>
      <c r="Q2923" s="20"/>
      <c r="R2923" s="25"/>
      <c r="S2923" s="20"/>
      <c r="X2923" s="19"/>
      <c r="Y2923" s="20"/>
    </row>
    <row r="2924" spans="16:25">
      <c r="P2924" s="19"/>
      <c r="Q2924" s="20"/>
      <c r="R2924" s="25"/>
      <c r="S2924" s="20"/>
      <c r="X2924" s="19"/>
      <c r="Y2924" s="20"/>
    </row>
    <row r="2925" spans="16:25">
      <c r="P2925" s="19"/>
      <c r="Q2925" s="20"/>
      <c r="R2925" s="25"/>
      <c r="S2925" s="20"/>
      <c r="X2925" s="19"/>
      <c r="Y2925" s="20"/>
    </row>
    <row r="2926" spans="16:25">
      <c r="P2926" s="19"/>
      <c r="Q2926" s="20"/>
      <c r="R2926" s="25"/>
      <c r="S2926" s="20"/>
      <c r="X2926" s="19"/>
      <c r="Y2926" s="20"/>
    </row>
    <row r="2927" spans="16:25">
      <c r="P2927" s="19"/>
      <c r="Q2927" s="20"/>
      <c r="R2927" s="25"/>
      <c r="S2927" s="20"/>
      <c r="X2927" s="19"/>
      <c r="Y2927" s="20"/>
    </row>
    <row r="2928" spans="16:25">
      <c r="P2928" s="19"/>
      <c r="Q2928" s="20"/>
      <c r="R2928" s="25"/>
      <c r="S2928" s="20"/>
      <c r="X2928" s="19"/>
      <c r="Y2928" s="20"/>
    </row>
    <row r="2929" spans="16:25">
      <c r="P2929" s="19"/>
      <c r="Q2929" s="20"/>
      <c r="R2929" s="25"/>
      <c r="S2929" s="20"/>
      <c r="X2929" s="19"/>
      <c r="Y2929" s="20"/>
    </row>
    <row r="2930" spans="16:25">
      <c r="P2930" s="19"/>
      <c r="Q2930" s="20"/>
      <c r="R2930" s="25"/>
      <c r="S2930" s="20"/>
      <c r="X2930" s="19"/>
      <c r="Y2930" s="20"/>
    </row>
    <row r="2931" spans="16:25">
      <c r="P2931" s="19"/>
      <c r="Q2931" s="20"/>
      <c r="R2931" s="25"/>
      <c r="S2931" s="20"/>
      <c r="X2931" s="19"/>
      <c r="Y2931" s="20"/>
    </row>
    <row r="2932" spans="16:25">
      <c r="P2932" s="19"/>
      <c r="Q2932" s="20"/>
      <c r="R2932" s="25"/>
      <c r="S2932" s="20"/>
      <c r="X2932" s="19"/>
      <c r="Y2932" s="20"/>
    </row>
    <row r="2933" spans="16:25">
      <c r="P2933" s="19"/>
      <c r="Q2933" s="20"/>
      <c r="R2933" s="25"/>
      <c r="S2933" s="20"/>
      <c r="X2933" s="19"/>
      <c r="Y2933" s="20"/>
    </row>
    <row r="2934" spans="16:25">
      <c r="P2934" s="19"/>
      <c r="Q2934" s="20"/>
      <c r="R2934" s="25"/>
      <c r="S2934" s="20"/>
      <c r="X2934" s="19"/>
      <c r="Y2934" s="20"/>
    </row>
    <row r="2935" spans="16:25">
      <c r="P2935" s="19"/>
      <c r="Q2935" s="20"/>
      <c r="R2935" s="25"/>
      <c r="S2935" s="20"/>
      <c r="X2935" s="19"/>
      <c r="Y2935" s="20"/>
    </row>
    <row r="2936" spans="16:25">
      <c r="P2936" s="19"/>
      <c r="Q2936" s="20"/>
      <c r="R2936" s="25"/>
      <c r="S2936" s="20"/>
      <c r="X2936" s="19"/>
      <c r="Y2936" s="20"/>
    </row>
    <row r="2937" spans="16:25">
      <c r="P2937" s="19"/>
      <c r="Q2937" s="20"/>
      <c r="R2937" s="25"/>
      <c r="S2937" s="20"/>
      <c r="X2937" s="19"/>
      <c r="Y2937" s="20"/>
    </row>
    <row r="2938" spans="16:25">
      <c r="P2938" s="19"/>
      <c r="Q2938" s="20"/>
      <c r="R2938" s="25"/>
      <c r="S2938" s="20"/>
      <c r="X2938" s="19"/>
      <c r="Y2938" s="20"/>
    </row>
    <row r="2939" spans="16:25">
      <c r="P2939" s="19"/>
      <c r="Q2939" s="20"/>
      <c r="R2939" s="25"/>
      <c r="S2939" s="20"/>
      <c r="X2939" s="19"/>
      <c r="Y2939" s="20"/>
    </row>
    <row r="2940" spans="16:25">
      <c r="P2940" s="19"/>
      <c r="Q2940" s="20"/>
      <c r="R2940" s="25"/>
      <c r="S2940" s="20"/>
      <c r="X2940" s="19"/>
      <c r="Y2940" s="20"/>
    </row>
    <row r="2941" spans="16:25">
      <c r="P2941" s="19"/>
      <c r="Q2941" s="20"/>
      <c r="R2941" s="25"/>
      <c r="S2941" s="20"/>
      <c r="X2941" s="19"/>
      <c r="Y2941" s="20"/>
    </row>
    <row r="2942" spans="16:25">
      <c r="P2942" s="19"/>
      <c r="Q2942" s="20"/>
      <c r="R2942" s="25"/>
      <c r="S2942" s="20"/>
      <c r="X2942" s="19"/>
      <c r="Y2942" s="20"/>
    </row>
    <row r="2943" spans="16:25">
      <c r="P2943" s="19"/>
      <c r="Q2943" s="20"/>
      <c r="R2943" s="25"/>
      <c r="S2943" s="20"/>
      <c r="X2943" s="19"/>
      <c r="Y2943" s="20"/>
    </row>
    <row r="2944" spans="16:25">
      <c r="P2944" s="19"/>
      <c r="Q2944" s="20"/>
      <c r="R2944" s="25"/>
      <c r="S2944" s="20"/>
      <c r="X2944" s="19"/>
      <c r="Y2944" s="20"/>
    </row>
    <row r="2945" spans="16:25">
      <c r="P2945" s="19"/>
      <c r="Q2945" s="20"/>
      <c r="R2945" s="25"/>
      <c r="S2945" s="20"/>
      <c r="X2945" s="19"/>
      <c r="Y2945" s="20"/>
    </row>
    <row r="2946" spans="16:25">
      <c r="P2946" s="19"/>
      <c r="Q2946" s="20"/>
      <c r="R2946" s="25"/>
      <c r="S2946" s="20"/>
      <c r="X2946" s="19"/>
      <c r="Y2946" s="20"/>
    </row>
    <row r="2947" spans="16:25">
      <c r="P2947" s="19"/>
      <c r="Q2947" s="20"/>
      <c r="R2947" s="25"/>
      <c r="S2947" s="20"/>
      <c r="X2947" s="19"/>
      <c r="Y2947" s="20"/>
    </row>
    <row r="2948" spans="16:25">
      <c r="P2948" s="19"/>
      <c r="Q2948" s="20"/>
      <c r="R2948" s="25"/>
      <c r="S2948" s="20"/>
      <c r="X2948" s="19"/>
      <c r="Y2948" s="20"/>
    </row>
    <row r="2949" spans="16:25">
      <c r="P2949" s="19"/>
      <c r="Q2949" s="20"/>
      <c r="R2949" s="25"/>
      <c r="S2949" s="20"/>
      <c r="X2949" s="19"/>
      <c r="Y2949" s="20"/>
    </row>
    <row r="2950" spans="16:25">
      <c r="P2950" s="19"/>
      <c r="Q2950" s="20"/>
      <c r="R2950" s="25"/>
      <c r="S2950" s="20"/>
      <c r="X2950" s="19"/>
      <c r="Y2950" s="20"/>
    </row>
    <row r="2951" spans="16:25">
      <c r="P2951" s="19"/>
      <c r="Q2951" s="20"/>
      <c r="R2951" s="25"/>
      <c r="S2951" s="20"/>
      <c r="X2951" s="19"/>
      <c r="Y2951" s="20"/>
    </row>
    <row r="2952" spans="16:25">
      <c r="P2952" s="19"/>
      <c r="Q2952" s="20"/>
      <c r="R2952" s="25"/>
      <c r="S2952" s="20"/>
      <c r="X2952" s="19"/>
      <c r="Y2952" s="20"/>
    </row>
    <row r="2953" spans="16:25">
      <c r="P2953" s="19"/>
      <c r="Q2953" s="20"/>
      <c r="R2953" s="25"/>
      <c r="S2953" s="20"/>
      <c r="X2953" s="19"/>
      <c r="Y2953" s="20"/>
    </row>
    <row r="2954" spans="16:25">
      <c r="P2954" s="19"/>
      <c r="Q2954" s="20"/>
      <c r="R2954" s="25"/>
      <c r="S2954" s="20"/>
      <c r="X2954" s="19"/>
      <c r="Y2954" s="20"/>
    </row>
    <row r="2955" spans="16:25">
      <c r="P2955" s="19"/>
      <c r="Q2955" s="20"/>
      <c r="R2955" s="25"/>
      <c r="S2955" s="20"/>
      <c r="X2955" s="19"/>
      <c r="Y2955" s="20"/>
    </row>
    <row r="2956" spans="16:25">
      <c r="P2956" s="19"/>
      <c r="Q2956" s="20"/>
      <c r="R2956" s="25"/>
      <c r="S2956" s="20"/>
      <c r="X2956" s="19"/>
      <c r="Y2956" s="20"/>
    </row>
    <row r="2957" spans="16:25">
      <c r="P2957" s="19"/>
      <c r="Q2957" s="20"/>
      <c r="R2957" s="25"/>
      <c r="S2957" s="20"/>
      <c r="X2957" s="19"/>
      <c r="Y2957" s="20"/>
    </row>
    <row r="2958" spans="16:25">
      <c r="P2958" s="19"/>
      <c r="Q2958" s="20"/>
      <c r="R2958" s="25"/>
      <c r="S2958" s="20"/>
      <c r="X2958" s="19"/>
      <c r="Y2958" s="20"/>
    </row>
    <row r="2959" spans="16:25">
      <c r="P2959" s="19"/>
      <c r="Q2959" s="20"/>
      <c r="R2959" s="25"/>
      <c r="S2959" s="20"/>
      <c r="X2959" s="19"/>
      <c r="Y2959" s="20"/>
    </row>
    <row r="2960" spans="16:25">
      <c r="P2960" s="19"/>
      <c r="Q2960" s="20"/>
      <c r="R2960" s="25"/>
      <c r="S2960" s="20"/>
      <c r="X2960" s="19"/>
      <c r="Y2960" s="20"/>
    </row>
    <row r="2961" spans="16:25">
      <c r="P2961" s="19"/>
      <c r="Q2961" s="20"/>
      <c r="R2961" s="25"/>
      <c r="S2961" s="20"/>
      <c r="X2961" s="19"/>
      <c r="Y2961" s="20"/>
    </row>
    <row r="2962" spans="16:25">
      <c r="P2962" s="19"/>
      <c r="Q2962" s="20"/>
      <c r="R2962" s="25"/>
      <c r="S2962" s="20"/>
      <c r="X2962" s="19"/>
      <c r="Y2962" s="20"/>
    </row>
    <row r="2963" spans="16:25">
      <c r="P2963" s="19"/>
      <c r="Q2963" s="20"/>
      <c r="R2963" s="25"/>
      <c r="S2963" s="20"/>
      <c r="X2963" s="19"/>
      <c r="Y2963" s="20"/>
    </row>
    <row r="2964" spans="16:25">
      <c r="P2964" s="19"/>
      <c r="Q2964" s="20"/>
      <c r="R2964" s="25"/>
      <c r="S2964" s="20"/>
      <c r="X2964" s="19"/>
      <c r="Y2964" s="20"/>
    </row>
    <row r="2965" spans="16:25">
      <c r="P2965" s="19"/>
      <c r="Q2965" s="20"/>
      <c r="R2965" s="25"/>
      <c r="S2965" s="20"/>
      <c r="X2965" s="19"/>
      <c r="Y2965" s="20"/>
    </row>
    <row r="2966" spans="16:25">
      <c r="P2966" s="19"/>
      <c r="Q2966" s="20"/>
      <c r="R2966" s="25"/>
      <c r="S2966" s="20"/>
      <c r="X2966" s="19"/>
      <c r="Y2966" s="20"/>
    </row>
    <row r="2967" spans="16:25">
      <c r="P2967" s="19"/>
      <c r="Q2967" s="20"/>
      <c r="R2967" s="25"/>
      <c r="S2967" s="20"/>
      <c r="X2967" s="19"/>
      <c r="Y2967" s="20"/>
    </row>
    <row r="2968" spans="16:25">
      <c r="P2968" s="19"/>
      <c r="Q2968" s="20"/>
      <c r="R2968" s="25"/>
      <c r="S2968" s="20"/>
      <c r="X2968" s="19"/>
      <c r="Y2968" s="20"/>
    </row>
    <row r="2969" spans="16:25">
      <c r="P2969" s="19"/>
      <c r="Q2969" s="20"/>
      <c r="R2969" s="25"/>
      <c r="S2969" s="20"/>
      <c r="X2969" s="19"/>
      <c r="Y2969" s="20"/>
    </row>
    <row r="2970" spans="16:25">
      <c r="P2970" s="19"/>
      <c r="Q2970" s="20"/>
      <c r="R2970" s="25"/>
      <c r="S2970" s="20"/>
      <c r="X2970" s="19"/>
      <c r="Y2970" s="20"/>
    </row>
    <row r="2971" spans="16:25">
      <c r="P2971" s="19"/>
      <c r="Q2971" s="20"/>
      <c r="R2971" s="25"/>
      <c r="S2971" s="20"/>
      <c r="X2971" s="19"/>
      <c r="Y2971" s="20"/>
    </row>
    <row r="2972" spans="16:25">
      <c r="P2972" s="19"/>
      <c r="Q2972" s="20"/>
      <c r="R2972" s="25"/>
      <c r="S2972" s="20"/>
      <c r="X2972" s="19"/>
      <c r="Y2972" s="20"/>
    </row>
    <row r="2973" spans="16:25">
      <c r="P2973" s="19"/>
      <c r="Q2973" s="20"/>
      <c r="R2973" s="25"/>
      <c r="S2973" s="20"/>
      <c r="X2973" s="19"/>
      <c r="Y2973" s="20"/>
    </row>
    <row r="2974" spans="16:25">
      <c r="P2974" s="19"/>
      <c r="Q2974" s="20"/>
      <c r="R2974" s="25"/>
      <c r="S2974" s="20"/>
      <c r="X2974" s="19"/>
      <c r="Y2974" s="20"/>
    </row>
    <row r="2975" spans="16:25">
      <c r="P2975" s="19"/>
      <c r="Q2975" s="20"/>
      <c r="R2975" s="25"/>
      <c r="S2975" s="20"/>
      <c r="X2975" s="19"/>
      <c r="Y2975" s="20"/>
    </row>
    <row r="2976" spans="16:25">
      <c r="P2976" s="19"/>
      <c r="Q2976" s="20"/>
      <c r="R2976" s="25"/>
      <c r="S2976" s="20"/>
      <c r="X2976" s="19"/>
      <c r="Y2976" s="20"/>
    </row>
    <row r="2977" spans="16:25">
      <c r="P2977" s="19"/>
      <c r="Q2977" s="20"/>
      <c r="R2977" s="25"/>
      <c r="S2977" s="20"/>
      <c r="X2977" s="19"/>
      <c r="Y2977" s="20"/>
    </row>
    <row r="2978" spans="16:25">
      <c r="P2978" s="19"/>
      <c r="Q2978" s="20"/>
      <c r="R2978" s="25"/>
      <c r="S2978" s="20"/>
      <c r="X2978" s="19"/>
      <c r="Y2978" s="20"/>
    </row>
    <row r="2979" spans="16:25">
      <c r="P2979" s="19"/>
      <c r="Q2979" s="20"/>
      <c r="R2979" s="25"/>
      <c r="S2979" s="20"/>
      <c r="X2979" s="19"/>
      <c r="Y2979" s="20"/>
    </row>
    <row r="2980" spans="16:25">
      <c r="P2980" s="19"/>
      <c r="Q2980" s="20"/>
      <c r="R2980" s="25"/>
      <c r="S2980" s="20"/>
      <c r="X2980" s="19"/>
      <c r="Y2980" s="20"/>
    </row>
    <row r="2981" spans="16:25">
      <c r="P2981" s="19"/>
      <c r="Q2981" s="20"/>
      <c r="R2981" s="25"/>
      <c r="S2981" s="20"/>
      <c r="X2981" s="19"/>
      <c r="Y2981" s="20"/>
    </row>
    <row r="2982" spans="16:25">
      <c r="P2982" s="19"/>
      <c r="Q2982" s="20"/>
      <c r="R2982" s="25"/>
      <c r="S2982" s="20"/>
      <c r="X2982" s="19"/>
      <c r="Y2982" s="20"/>
    </row>
    <row r="2983" spans="16:25">
      <c r="P2983" s="19"/>
      <c r="Q2983" s="20"/>
      <c r="R2983" s="25"/>
      <c r="S2983" s="20"/>
      <c r="X2983" s="19"/>
      <c r="Y2983" s="20"/>
    </row>
    <row r="2984" spans="16:25">
      <c r="P2984" s="19"/>
      <c r="Q2984" s="20"/>
      <c r="R2984" s="25"/>
      <c r="S2984" s="20"/>
      <c r="X2984" s="19"/>
      <c r="Y2984" s="20"/>
    </row>
    <row r="2985" spans="16:25">
      <c r="P2985" s="19"/>
      <c r="Q2985" s="20"/>
      <c r="R2985" s="25"/>
      <c r="S2985" s="20"/>
      <c r="X2985" s="19"/>
      <c r="Y2985" s="20"/>
    </row>
    <row r="2986" spans="16:25">
      <c r="P2986" s="19"/>
      <c r="Q2986" s="20"/>
      <c r="R2986" s="25"/>
      <c r="S2986" s="20"/>
      <c r="X2986" s="19"/>
      <c r="Y2986" s="20"/>
    </row>
    <row r="2987" spans="16:25">
      <c r="P2987" s="19"/>
      <c r="Q2987" s="20"/>
      <c r="R2987" s="25"/>
      <c r="S2987" s="20"/>
      <c r="X2987" s="19"/>
      <c r="Y2987" s="20"/>
    </row>
    <row r="2988" spans="16:25">
      <c r="P2988" s="19"/>
      <c r="Q2988" s="20"/>
      <c r="R2988" s="25"/>
      <c r="S2988" s="20"/>
      <c r="X2988" s="19"/>
      <c r="Y2988" s="20"/>
    </row>
    <row r="2989" spans="16:25">
      <c r="P2989" s="19"/>
      <c r="Q2989" s="20"/>
      <c r="R2989" s="25"/>
      <c r="S2989" s="20"/>
      <c r="X2989" s="19"/>
      <c r="Y2989" s="20"/>
    </row>
    <row r="2990" spans="16:25">
      <c r="P2990" s="19"/>
      <c r="Q2990" s="20"/>
      <c r="R2990" s="25"/>
      <c r="S2990" s="20"/>
      <c r="X2990" s="19"/>
      <c r="Y2990" s="20"/>
    </row>
    <row r="2991" spans="16:25">
      <c r="P2991" s="19"/>
      <c r="Q2991" s="20"/>
      <c r="R2991" s="25"/>
      <c r="S2991" s="20"/>
      <c r="X2991" s="19"/>
      <c r="Y2991" s="20"/>
    </row>
    <row r="2992" spans="16:25">
      <c r="P2992" s="19"/>
      <c r="Q2992" s="20"/>
      <c r="R2992" s="25"/>
      <c r="S2992" s="20"/>
      <c r="X2992" s="19"/>
      <c r="Y2992" s="20"/>
    </row>
    <row r="2993" spans="16:25">
      <c r="P2993" s="19"/>
      <c r="Q2993" s="20"/>
      <c r="R2993" s="25"/>
      <c r="S2993" s="20"/>
      <c r="X2993" s="19"/>
      <c r="Y2993" s="20"/>
    </row>
    <row r="2994" spans="16:25">
      <c r="P2994" s="19"/>
      <c r="Q2994" s="20"/>
      <c r="R2994" s="25"/>
      <c r="S2994" s="20"/>
      <c r="X2994" s="19"/>
      <c r="Y2994" s="20"/>
    </row>
    <row r="2995" spans="16:25">
      <c r="P2995" s="19"/>
      <c r="Q2995" s="20"/>
      <c r="R2995" s="25"/>
      <c r="S2995" s="20"/>
      <c r="X2995" s="19"/>
      <c r="Y2995" s="20"/>
    </row>
    <row r="2996" spans="16:25">
      <c r="P2996" s="19"/>
      <c r="Q2996" s="20"/>
      <c r="R2996" s="25"/>
      <c r="S2996" s="20"/>
      <c r="X2996" s="19"/>
      <c r="Y2996" s="20"/>
    </row>
    <row r="2997" spans="16:25">
      <c r="P2997" s="19"/>
      <c r="Q2997" s="20"/>
      <c r="R2997" s="25"/>
      <c r="S2997" s="20"/>
      <c r="X2997" s="19"/>
      <c r="Y2997" s="20"/>
    </row>
    <row r="2998" spans="16:25">
      <c r="P2998" s="19"/>
      <c r="Q2998" s="20"/>
      <c r="R2998" s="25"/>
      <c r="S2998" s="20"/>
      <c r="X2998" s="19"/>
      <c r="Y2998" s="20"/>
    </row>
    <row r="2999" spans="16:25">
      <c r="P2999" s="19"/>
      <c r="Q2999" s="20"/>
      <c r="R2999" s="25"/>
      <c r="S2999" s="20"/>
      <c r="X2999" s="19"/>
      <c r="Y2999" s="20"/>
    </row>
    <row r="3000" spans="16:25">
      <c r="P3000" s="19"/>
      <c r="Q3000" s="20"/>
      <c r="R3000" s="25"/>
      <c r="S3000" s="20"/>
      <c r="X3000" s="19"/>
      <c r="Y3000" s="20"/>
    </row>
    <row r="3001" spans="16:25">
      <c r="P3001" s="19"/>
      <c r="Q3001" s="20"/>
      <c r="R3001" s="25"/>
      <c r="S3001" s="20"/>
      <c r="X3001" s="19"/>
      <c r="Y3001" s="20"/>
    </row>
    <row r="3002" spans="16:25">
      <c r="P3002" s="19"/>
      <c r="Q3002" s="20"/>
      <c r="R3002" s="25"/>
      <c r="S3002" s="20"/>
      <c r="X3002" s="19"/>
      <c r="Y3002" s="20"/>
    </row>
    <row r="3003" spans="16:25">
      <c r="P3003" s="19"/>
      <c r="Q3003" s="20"/>
      <c r="R3003" s="25"/>
      <c r="S3003" s="20"/>
      <c r="X3003" s="19"/>
      <c r="Y3003" s="20"/>
    </row>
    <row r="3004" spans="16:25">
      <c r="P3004" s="19"/>
      <c r="Q3004" s="20"/>
      <c r="R3004" s="25"/>
      <c r="S3004" s="20"/>
      <c r="X3004" s="19"/>
      <c r="Y3004" s="20"/>
    </row>
    <row r="3005" spans="16:25">
      <c r="P3005" s="19"/>
      <c r="Q3005" s="20"/>
      <c r="R3005" s="25"/>
      <c r="S3005" s="20"/>
      <c r="X3005" s="19"/>
      <c r="Y3005" s="20"/>
    </row>
    <row r="3006" spans="16:25">
      <c r="P3006" s="19"/>
      <c r="Q3006" s="20"/>
      <c r="R3006" s="25"/>
      <c r="S3006" s="20"/>
      <c r="X3006" s="19"/>
      <c r="Y3006" s="20"/>
    </row>
    <row r="3007" spans="16:25">
      <c r="P3007" s="19"/>
      <c r="Q3007" s="20"/>
      <c r="R3007" s="25"/>
      <c r="S3007" s="20"/>
      <c r="X3007" s="19"/>
      <c r="Y3007" s="20"/>
    </row>
    <row r="3008" spans="16:25">
      <c r="P3008" s="19"/>
      <c r="Q3008" s="20"/>
      <c r="R3008" s="25"/>
      <c r="S3008" s="20"/>
      <c r="X3008" s="19"/>
      <c r="Y3008" s="20"/>
    </row>
    <row r="3009" spans="16:25">
      <c r="P3009" s="19"/>
      <c r="Q3009" s="20"/>
      <c r="R3009" s="25"/>
      <c r="S3009" s="20"/>
      <c r="X3009" s="19"/>
      <c r="Y3009" s="20"/>
    </row>
    <row r="3010" spans="16:25">
      <c r="P3010" s="19"/>
      <c r="Q3010" s="20"/>
      <c r="R3010" s="25"/>
      <c r="S3010" s="20"/>
      <c r="X3010" s="19"/>
      <c r="Y3010" s="20"/>
    </row>
    <row r="3011" spans="16:25">
      <c r="P3011" s="19"/>
      <c r="Q3011" s="20"/>
      <c r="R3011" s="25"/>
      <c r="S3011" s="20"/>
      <c r="X3011" s="19"/>
      <c r="Y3011" s="20"/>
    </row>
    <row r="3012" spans="16:25">
      <c r="P3012" s="19"/>
      <c r="Q3012" s="20"/>
      <c r="R3012" s="25"/>
      <c r="S3012" s="20"/>
      <c r="X3012" s="19"/>
      <c r="Y3012" s="20"/>
    </row>
    <row r="3013" spans="16:25">
      <c r="P3013" s="19"/>
      <c r="Q3013" s="20"/>
      <c r="R3013" s="25"/>
      <c r="S3013" s="20"/>
      <c r="X3013" s="19"/>
      <c r="Y3013" s="20"/>
    </row>
    <row r="3014" spans="16:25">
      <c r="P3014" s="19"/>
      <c r="Q3014" s="20"/>
      <c r="R3014" s="25"/>
      <c r="S3014" s="20"/>
      <c r="X3014" s="19"/>
      <c r="Y3014" s="20"/>
    </row>
    <row r="3015" spans="16:25">
      <c r="P3015" s="19"/>
      <c r="Q3015" s="20"/>
      <c r="R3015" s="25"/>
      <c r="S3015" s="20"/>
      <c r="X3015" s="19"/>
      <c r="Y3015" s="20"/>
    </row>
    <row r="3016" spans="16:25">
      <c r="P3016" s="19"/>
      <c r="Q3016" s="20"/>
      <c r="R3016" s="25"/>
      <c r="S3016" s="20"/>
      <c r="X3016" s="19"/>
      <c r="Y3016" s="20"/>
    </row>
    <row r="3017" spans="16:25">
      <c r="P3017" s="19"/>
      <c r="Q3017" s="20"/>
      <c r="R3017" s="25"/>
      <c r="S3017" s="20"/>
      <c r="X3017" s="19"/>
      <c r="Y3017" s="20"/>
    </row>
    <row r="3018" spans="16:25">
      <c r="P3018" s="19"/>
      <c r="Q3018" s="20"/>
      <c r="R3018" s="25"/>
      <c r="S3018" s="20"/>
      <c r="X3018" s="19"/>
      <c r="Y3018" s="20"/>
    </row>
    <row r="3019" spans="16:25">
      <c r="P3019" s="19"/>
      <c r="Q3019" s="20"/>
      <c r="R3019" s="25"/>
      <c r="S3019" s="20"/>
      <c r="X3019" s="19"/>
      <c r="Y3019" s="20"/>
    </row>
    <row r="3020" spans="16:25">
      <c r="P3020" s="19"/>
      <c r="Q3020" s="20"/>
      <c r="R3020" s="25"/>
      <c r="S3020" s="20"/>
      <c r="X3020" s="19"/>
      <c r="Y3020" s="20"/>
    </row>
    <row r="3021" spans="16:25">
      <c r="P3021" s="19"/>
      <c r="Q3021" s="20"/>
      <c r="R3021" s="25"/>
      <c r="S3021" s="20"/>
      <c r="X3021" s="19"/>
      <c r="Y3021" s="20"/>
    </row>
    <row r="3022" spans="16:25">
      <c r="P3022" s="19"/>
      <c r="Q3022" s="20"/>
      <c r="R3022" s="25"/>
      <c r="S3022" s="20"/>
      <c r="X3022" s="19"/>
      <c r="Y3022" s="20"/>
    </row>
    <row r="3023" spans="16:25">
      <c r="P3023" s="19"/>
      <c r="Q3023" s="20"/>
      <c r="R3023" s="25"/>
      <c r="S3023" s="20"/>
      <c r="X3023" s="19"/>
      <c r="Y3023" s="20"/>
    </row>
    <row r="3024" spans="16:25">
      <c r="P3024" s="19"/>
      <c r="Q3024" s="20"/>
      <c r="R3024" s="25"/>
      <c r="S3024" s="20"/>
      <c r="X3024" s="19"/>
      <c r="Y3024" s="20"/>
    </row>
    <row r="3025" spans="16:25">
      <c r="P3025" s="19"/>
      <c r="Q3025" s="20"/>
      <c r="R3025" s="25"/>
      <c r="S3025" s="20"/>
      <c r="X3025" s="19"/>
      <c r="Y3025" s="20"/>
    </row>
    <row r="3026" spans="16:25">
      <c r="P3026" s="19"/>
      <c r="Q3026" s="20"/>
      <c r="R3026" s="25"/>
      <c r="S3026" s="20"/>
      <c r="X3026" s="19"/>
      <c r="Y3026" s="20"/>
    </row>
    <row r="3027" spans="16:25">
      <c r="P3027" s="19"/>
      <c r="Q3027" s="20"/>
      <c r="R3027" s="25"/>
      <c r="S3027" s="20"/>
      <c r="X3027" s="19"/>
      <c r="Y3027" s="20"/>
    </row>
    <row r="3028" spans="16:25">
      <c r="P3028" s="19"/>
      <c r="Q3028" s="20"/>
      <c r="R3028" s="25"/>
      <c r="S3028" s="20"/>
      <c r="X3028" s="19"/>
      <c r="Y3028" s="20"/>
    </row>
    <row r="3029" spans="16:25">
      <c r="P3029" s="19"/>
      <c r="Q3029" s="20"/>
      <c r="R3029" s="25"/>
      <c r="S3029" s="20"/>
      <c r="X3029" s="19"/>
      <c r="Y3029" s="20"/>
    </row>
    <row r="3030" spans="16:25">
      <c r="P3030" s="19"/>
      <c r="Q3030" s="20"/>
      <c r="R3030" s="25"/>
      <c r="S3030" s="20"/>
      <c r="X3030" s="19"/>
      <c r="Y3030" s="20"/>
    </row>
    <row r="3031" spans="16:25">
      <c r="P3031" s="19"/>
      <c r="Q3031" s="20"/>
      <c r="R3031" s="25"/>
      <c r="S3031" s="20"/>
      <c r="X3031" s="19"/>
      <c r="Y3031" s="20"/>
    </row>
    <row r="3032" spans="16:25">
      <c r="P3032" s="19"/>
      <c r="Q3032" s="20"/>
      <c r="R3032" s="25"/>
      <c r="S3032" s="20"/>
      <c r="X3032" s="19"/>
      <c r="Y3032" s="20"/>
    </row>
    <row r="3033" spans="16:25">
      <c r="P3033" s="19"/>
      <c r="Q3033" s="20"/>
      <c r="R3033" s="25"/>
      <c r="S3033" s="20"/>
      <c r="X3033" s="19"/>
      <c r="Y3033" s="20"/>
    </row>
    <row r="3034" spans="16:25">
      <c r="P3034" s="19"/>
      <c r="Q3034" s="20"/>
      <c r="R3034" s="25"/>
      <c r="S3034" s="20"/>
      <c r="X3034" s="19"/>
      <c r="Y3034" s="20"/>
    </row>
    <row r="3035" spans="16:25">
      <c r="P3035" s="19"/>
      <c r="Q3035" s="20"/>
      <c r="R3035" s="25"/>
      <c r="S3035" s="20"/>
      <c r="X3035" s="19"/>
      <c r="Y3035" s="20"/>
    </row>
    <row r="3036" spans="16:25">
      <c r="P3036" s="19"/>
      <c r="Q3036" s="20"/>
      <c r="R3036" s="25"/>
      <c r="S3036" s="20"/>
      <c r="X3036" s="19"/>
      <c r="Y3036" s="20"/>
    </row>
    <row r="3037" spans="16:25">
      <c r="P3037" s="19"/>
      <c r="Q3037" s="20"/>
      <c r="R3037" s="25"/>
      <c r="S3037" s="20"/>
      <c r="X3037" s="19"/>
      <c r="Y3037" s="20"/>
    </row>
    <row r="3038" spans="16:25">
      <c r="P3038" s="19"/>
      <c r="Q3038" s="20"/>
      <c r="R3038" s="25"/>
      <c r="S3038" s="20"/>
      <c r="X3038" s="19"/>
      <c r="Y3038" s="20"/>
    </row>
    <row r="3039" spans="16:25">
      <c r="P3039" s="19"/>
      <c r="Q3039" s="20"/>
      <c r="R3039" s="25"/>
      <c r="S3039" s="20"/>
      <c r="X3039" s="19"/>
      <c r="Y3039" s="20"/>
    </row>
    <row r="3040" spans="16:25">
      <c r="P3040" s="19"/>
      <c r="Q3040" s="20"/>
      <c r="R3040" s="25"/>
      <c r="S3040" s="20"/>
      <c r="X3040" s="19"/>
      <c r="Y3040" s="20"/>
    </row>
    <row r="3041" spans="16:25">
      <c r="P3041" s="19"/>
      <c r="Q3041" s="20"/>
      <c r="R3041" s="25"/>
      <c r="S3041" s="20"/>
      <c r="X3041" s="19"/>
      <c r="Y3041" s="20"/>
    </row>
    <row r="3042" spans="16:25">
      <c r="P3042" s="19"/>
      <c r="Q3042" s="20"/>
      <c r="R3042" s="25"/>
      <c r="S3042" s="20"/>
      <c r="X3042" s="19"/>
      <c r="Y3042" s="20"/>
    </row>
    <row r="3043" spans="16:25">
      <c r="P3043" s="19"/>
      <c r="Q3043" s="20"/>
      <c r="R3043" s="25"/>
      <c r="S3043" s="20"/>
      <c r="X3043" s="19"/>
      <c r="Y3043" s="20"/>
    </row>
    <row r="3044" spans="16:25">
      <c r="P3044" s="19"/>
      <c r="Q3044" s="20"/>
      <c r="R3044" s="25"/>
      <c r="S3044" s="20"/>
      <c r="X3044" s="19"/>
      <c r="Y3044" s="20"/>
    </row>
    <row r="3045" spans="16:25">
      <c r="P3045" s="19"/>
      <c r="Q3045" s="20"/>
      <c r="R3045" s="25"/>
      <c r="S3045" s="20"/>
      <c r="X3045" s="19"/>
      <c r="Y3045" s="20"/>
    </row>
    <row r="3046" spans="16:25">
      <c r="P3046" s="19"/>
      <c r="Q3046" s="20"/>
      <c r="R3046" s="25"/>
      <c r="S3046" s="20"/>
      <c r="X3046" s="19"/>
      <c r="Y3046" s="20"/>
    </row>
    <row r="3047" spans="16:25">
      <c r="P3047" s="19"/>
      <c r="Q3047" s="20"/>
      <c r="R3047" s="25"/>
      <c r="S3047" s="20"/>
      <c r="X3047" s="19"/>
      <c r="Y3047" s="20"/>
    </row>
    <row r="3048" spans="16:25">
      <c r="P3048" s="19"/>
      <c r="Q3048" s="20"/>
      <c r="R3048" s="25"/>
      <c r="S3048" s="20"/>
      <c r="X3048" s="19"/>
      <c r="Y3048" s="20"/>
    </row>
    <row r="3049" spans="16:25">
      <c r="P3049" s="19"/>
      <c r="Q3049" s="20"/>
      <c r="R3049" s="25"/>
      <c r="S3049" s="20"/>
      <c r="X3049" s="19"/>
      <c r="Y3049" s="20"/>
    </row>
    <row r="3050" spans="16:25">
      <c r="P3050" s="19"/>
      <c r="Q3050" s="20"/>
      <c r="R3050" s="25"/>
      <c r="S3050" s="20"/>
      <c r="X3050" s="19"/>
      <c r="Y3050" s="20"/>
    </row>
    <row r="3051" spans="16:25">
      <c r="P3051" s="19"/>
      <c r="Q3051" s="20"/>
      <c r="R3051" s="25"/>
      <c r="S3051" s="20"/>
      <c r="X3051" s="19"/>
      <c r="Y3051" s="20"/>
    </row>
    <row r="3052" spans="16:25">
      <c r="P3052" s="19"/>
      <c r="Q3052" s="20"/>
      <c r="R3052" s="25"/>
      <c r="S3052" s="20"/>
      <c r="X3052" s="19"/>
      <c r="Y3052" s="20"/>
    </row>
    <row r="3053" spans="16:25">
      <c r="P3053" s="19"/>
      <c r="Q3053" s="20"/>
      <c r="R3053" s="25"/>
      <c r="S3053" s="20"/>
      <c r="X3053" s="19"/>
      <c r="Y3053" s="20"/>
    </row>
    <row r="3054" spans="16:25">
      <c r="P3054" s="19"/>
      <c r="Q3054" s="20"/>
      <c r="R3054" s="25"/>
      <c r="S3054" s="20"/>
      <c r="X3054" s="19"/>
      <c r="Y3054" s="20"/>
    </row>
    <row r="3055" spans="16:25">
      <c r="P3055" s="19"/>
      <c r="Q3055" s="20"/>
      <c r="R3055" s="25"/>
      <c r="S3055" s="20"/>
      <c r="X3055" s="19"/>
      <c r="Y3055" s="20"/>
    </row>
    <row r="3056" spans="16:25">
      <c r="P3056" s="19"/>
      <c r="Q3056" s="20"/>
      <c r="R3056" s="25"/>
      <c r="S3056" s="20"/>
      <c r="X3056" s="19"/>
      <c r="Y3056" s="20"/>
    </row>
    <row r="3057" spans="16:25">
      <c r="P3057" s="19"/>
      <c r="Q3057" s="20"/>
      <c r="R3057" s="25"/>
      <c r="S3057" s="20"/>
      <c r="X3057" s="19"/>
      <c r="Y3057" s="20"/>
    </row>
    <row r="3058" spans="16:25">
      <c r="P3058" s="19"/>
      <c r="Q3058" s="20"/>
      <c r="R3058" s="25"/>
      <c r="S3058" s="20"/>
      <c r="X3058" s="19"/>
      <c r="Y3058" s="20"/>
    </row>
    <row r="3059" spans="16:25">
      <c r="P3059" s="19"/>
      <c r="Q3059" s="20"/>
      <c r="R3059" s="25"/>
      <c r="S3059" s="20"/>
      <c r="X3059" s="19"/>
      <c r="Y3059" s="20"/>
    </row>
    <row r="3060" spans="16:25">
      <c r="P3060" s="19"/>
      <c r="Q3060" s="20"/>
      <c r="R3060" s="25"/>
      <c r="S3060" s="20"/>
      <c r="X3060" s="19"/>
      <c r="Y3060" s="20"/>
    </row>
    <row r="3061" spans="16:25">
      <c r="P3061" s="19"/>
      <c r="Q3061" s="20"/>
      <c r="R3061" s="25"/>
      <c r="S3061" s="20"/>
      <c r="X3061" s="19"/>
      <c r="Y3061" s="20"/>
    </row>
    <row r="3062" spans="16:25">
      <c r="P3062" s="19"/>
      <c r="Q3062" s="20"/>
      <c r="R3062" s="25"/>
      <c r="S3062" s="20"/>
      <c r="X3062" s="19"/>
      <c r="Y3062" s="20"/>
    </row>
    <row r="3063" spans="16:25">
      <c r="P3063" s="19"/>
      <c r="Q3063" s="20"/>
      <c r="R3063" s="25"/>
      <c r="S3063" s="20"/>
      <c r="X3063" s="19"/>
      <c r="Y3063" s="20"/>
    </row>
    <row r="3064" spans="16:25">
      <c r="P3064" s="19"/>
      <c r="Q3064" s="20"/>
      <c r="R3064" s="25"/>
      <c r="S3064" s="20"/>
      <c r="X3064" s="19"/>
      <c r="Y3064" s="20"/>
    </row>
    <row r="3065" spans="16:25">
      <c r="P3065" s="19"/>
      <c r="Q3065" s="20"/>
      <c r="R3065" s="25"/>
      <c r="S3065" s="20"/>
      <c r="X3065" s="19"/>
      <c r="Y3065" s="20"/>
    </row>
    <row r="3066" spans="16:25">
      <c r="P3066" s="19"/>
      <c r="Q3066" s="20"/>
      <c r="R3066" s="25"/>
      <c r="S3066" s="20"/>
      <c r="X3066" s="19"/>
      <c r="Y3066" s="20"/>
    </row>
    <row r="3067" spans="16:25">
      <c r="P3067" s="19"/>
      <c r="Q3067" s="20"/>
      <c r="R3067" s="25"/>
      <c r="S3067" s="20"/>
      <c r="X3067" s="19"/>
      <c r="Y3067" s="20"/>
    </row>
    <row r="3068" spans="16:25">
      <c r="P3068" s="19"/>
      <c r="Q3068" s="20"/>
      <c r="R3068" s="25"/>
      <c r="S3068" s="20"/>
      <c r="X3068" s="19"/>
      <c r="Y3068" s="20"/>
    </row>
    <row r="3069" spans="16:25">
      <c r="P3069" s="19"/>
      <c r="Q3069" s="20"/>
      <c r="R3069" s="25"/>
      <c r="S3069" s="20"/>
      <c r="X3069" s="19"/>
      <c r="Y3069" s="20"/>
    </row>
    <row r="3070" spans="16:25">
      <c r="P3070" s="19"/>
      <c r="Q3070" s="20"/>
      <c r="R3070" s="25"/>
      <c r="S3070" s="20"/>
      <c r="X3070" s="19"/>
      <c r="Y3070" s="20"/>
    </row>
    <row r="3071" spans="16:25">
      <c r="P3071" s="19"/>
      <c r="Q3071" s="20"/>
      <c r="R3071" s="25"/>
      <c r="S3071" s="20"/>
      <c r="X3071" s="19"/>
      <c r="Y3071" s="20"/>
    </row>
    <row r="3072" spans="16:25">
      <c r="P3072" s="19"/>
      <c r="Q3072" s="20"/>
      <c r="R3072" s="25"/>
      <c r="S3072" s="20"/>
      <c r="X3072" s="19"/>
      <c r="Y3072" s="20"/>
    </row>
    <row r="3073" spans="16:25">
      <c r="P3073" s="19"/>
      <c r="Q3073" s="20"/>
      <c r="R3073" s="25"/>
      <c r="S3073" s="20"/>
      <c r="X3073" s="19"/>
      <c r="Y3073" s="20"/>
    </row>
    <row r="3074" spans="16:25">
      <c r="P3074" s="19"/>
      <c r="Q3074" s="20"/>
      <c r="R3074" s="25"/>
      <c r="S3074" s="20"/>
      <c r="X3074" s="19"/>
      <c r="Y3074" s="20"/>
    </row>
    <row r="3075" spans="16:25">
      <c r="P3075" s="19"/>
      <c r="Q3075" s="20"/>
      <c r="R3075" s="25"/>
      <c r="S3075" s="20"/>
      <c r="X3075" s="19"/>
      <c r="Y3075" s="20"/>
    </row>
    <row r="3076" spans="16:25">
      <c r="P3076" s="19"/>
      <c r="Q3076" s="20"/>
      <c r="R3076" s="25"/>
      <c r="S3076" s="20"/>
      <c r="X3076" s="19"/>
      <c r="Y3076" s="20"/>
    </row>
    <row r="3077" spans="16:25">
      <c r="P3077" s="19"/>
      <c r="Q3077" s="20"/>
      <c r="R3077" s="25"/>
      <c r="S3077" s="20"/>
      <c r="X3077" s="19"/>
      <c r="Y3077" s="20"/>
    </row>
    <row r="3078" spans="16:25">
      <c r="P3078" s="19"/>
      <c r="Q3078" s="20"/>
      <c r="R3078" s="25"/>
      <c r="S3078" s="20"/>
      <c r="X3078" s="19"/>
      <c r="Y3078" s="20"/>
    </row>
    <row r="3079" spans="16:25">
      <c r="P3079" s="19"/>
      <c r="Q3079" s="20"/>
      <c r="R3079" s="25"/>
      <c r="S3079" s="20"/>
      <c r="X3079" s="19"/>
      <c r="Y3079" s="20"/>
    </row>
    <row r="3080" spans="16:25">
      <c r="P3080" s="19"/>
      <c r="Q3080" s="20"/>
      <c r="R3080" s="25"/>
      <c r="S3080" s="20"/>
      <c r="X3080" s="19"/>
      <c r="Y3080" s="20"/>
    </row>
    <row r="3081" spans="16:25">
      <c r="P3081" s="19"/>
      <c r="Q3081" s="20"/>
      <c r="R3081" s="25"/>
      <c r="S3081" s="20"/>
      <c r="X3081" s="19"/>
      <c r="Y3081" s="20"/>
    </row>
    <row r="3082" spans="16:25">
      <c r="P3082" s="19"/>
      <c r="Q3082" s="20"/>
      <c r="R3082" s="25"/>
      <c r="S3082" s="20"/>
      <c r="X3082" s="19"/>
      <c r="Y3082" s="20"/>
    </row>
    <row r="3083" spans="16:25">
      <c r="P3083" s="19"/>
      <c r="Q3083" s="20"/>
      <c r="R3083" s="25"/>
      <c r="S3083" s="20"/>
      <c r="X3083" s="19"/>
      <c r="Y3083" s="20"/>
    </row>
    <row r="3084" spans="16:25">
      <c r="P3084" s="19"/>
      <c r="Q3084" s="20"/>
      <c r="R3084" s="25"/>
      <c r="S3084" s="20"/>
      <c r="X3084" s="19"/>
      <c r="Y3084" s="20"/>
    </row>
    <row r="3085" spans="16:25">
      <c r="P3085" s="19"/>
      <c r="Q3085" s="20"/>
      <c r="R3085" s="25"/>
      <c r="S3085" s="20"/>
      <c r="X3085" s="19"/>
      <c r="Y3085" s="20"/>
    </row>
    <row r="3086" spans="16:25">
      <c r="P3086" s="19"/>
      <c r="Q3086" s="20"/>
      <c r="R3086" s="25"/>
      <c r="S3086" s="20"/>
      <c r="X3086" s="19"/>
      <c r="Y3086" s="20"/>
    </row>
    <row r="3087" spans="16:25">
      <c r="P3087" s="19"/>
      <c r="Q3087" s="20"/>
      <c r="R3087" s="25"/>
      <c r="S3087" s="20"/>
      <c r="X3087" s="19"/>
      <c r="Y3087" s="20"/>
    </row>
    <row r="3088" spans="16:25">
      <c r="P3088" s="19"/>
      <c r="Q3088" s="20"/>
      <c r="R3088" s="25"/>
      <c r="S3088" s="20"/>
      <c r="X3088" s="19"/>
      <c r="Y3088" s="20"/>
    </row>
    <row r="3089" spans="16:25">
      <c r="P3089" s="19"/>
      <c r="Q3089" s="20"/>
      <c r="R3089" s="25"/>
      <c r="S3089" s="20"/>
      <c r="X3089" s="19"/>
      <c r="Y3089" s="20"/>
    </row>
    <row r="3090" spans="16:25">
      <c r="P3090" s="19"/>
      <c r="Q3090" s="20"/>
      <c r="R3090" s="25"/>
      <c r="S3090" s="20"/>
      <c r="X3090" s="19"/>
      <c r="Y3090" s="20"/>
    </row>
    <row r="3091" spans="16:25">
      <c r="P3091" s="19"/>
      <c r="Q3091" s="20"/>
      <c r="R3091" s="25"/>
      <c r="S3091" s="20"/>
      <c r="X3091" s="19"/>
      <c r="Y3091" s="20"/>
    </row>
    <row r="3092" spans="16:25">
      <c r="P3092" s="19"/>
      <c r="Q3092" s="20"/>
      <c r="R3092" s="25"/>
      <c r="S3092" s="20"/>
      <c r="X3092" s="19"/>
      <c r="Y3092" s="20"/>
    </row>
    <row r="3093" spans="16:25">
      <c r="P3093" s="19"/>
      <c r="Q3093" s="20"/>
      <c r="R3093" s="25"/>
      <c r="S3093" s="20"/>
      <c r="X3093" s="19"/>
      <c r="Y3093" s="20"/>
    </row>
    <row r="3094" spans="16:25">
      <c r="P3094" s="19"/>
      <c r="Q3094" s="20"/>
      <c r="R3094" s="25"/>
      <c r="S3094" s="20"/>
      <c r="X3094" s="19"/>
      <c r="Y3094" s="20"/>
    </row>
    <row r="3095" spans="16:25">
      <c r="P3095" s="19"/>
      <c r="Q3095" s="20"/>
      <c r="R3095" s="25"/>
      <c r="S3095" s="20"/>
      <c r="X3095" s="19"/>
      <c r="Y3095" s="20"/>
    </row>
    <row r="3096" spans="16:25">
      <c r="P3096" s="19"/>
      <c r="Q3096" s="20"/>
      <c r="R3096" s="25"/>
      <c r="S3096" s="20"/>
      <c r="X3096" s="19"/>
      <c r="Y3096" s="20"/>
    </row>
    <row r="3097" spans="16:25">
      <c r="P3097" s="19"/>
      <c r="Q3097" s="20"/>
      <c r="R3097" s="25"/>
      <c r="S3097" s="20"/>
      <c r="X3097" s="19"/>
      <c r="Y3097" s="20"/>
    </row>
    <row r="3098" spans="16:25">
      <c r="P3098" s="19"/>
      <c r="Q3098" s="20"/>
      <c r="R3098" s="25"/>
      <c r="S3098" s="20"/>
      <c r="X3098" s="19"/>
      <c r="Y3098" s="20"/>
    </row>
    <row r="3099" spans="16:25">
      <c r="P3099" s="19"/>
      <c r="Q3099" s="20"/>
      <c r="R3099" s="25"/>
      <c r="S3099" s="20"/>
      <c r="X3099" s="19"/>
      <c r="Y3099" s="20"/>
    </row>
    <row r="3100" spans="16:25">
      <c r="P3100" s="21"/>
      <c r="Q3100" s="22"/>
      <c r="R3100" s="39"/>
      <c r="S3100" s="22"/>
      <c r="X3100" s="19"/>
      <c r="Y3100" s="20"/>
    </row>
    <row r="3101" spans="16:25">
      <c r="X3101" s="19"/>
      <c r="Y3101" s="20"/>
    </row>
    <row r="3102" spans="16:25">
      <c r="X3102" s="19"/>
      <c r="Y3102" s="20"/>
    </row>
    <row r="3103" spans="16:25">
      <c r="X3103" s="19"/>
      <c r="Y3103" s="20"/>
    </row>
    <row r="3104" spans="16:25">
      <c r="X3104" s="19"/>
      <c r="Y3104" s="20"/>
    </row>
    <row r="3105" spans="24:25">
      <c r="X3105" s="19"/>
      <c r="Y3105" s="20"/>
    </row>
    <row r="3106" spans="24:25">
      <c r="X3106" s="19"/>
      <c r="Y3106" s="20"/>
    </row>
    <row r="3107" spans="24:25">
      <c r="X3107" s="19"/>
      <c r="Y3107" s="20"/>
    </row>
    <row r="3108" spans="24:25">
      <c r="X3108" s="19"/>
      <c r="Y3108" s="20"/>
    </row>
    <row r="3109" spans="24:25">
      <c r="X3109" s="19"/>
      <c r="Y3109" s="20"/>
    </row>
    <row r="3110" spans="24:25">
      <c r="X3110" s="19"/>
      <c r="Y3110" s="20"/>
    </row>
    <row r="3111" spans="24:25">
      <c r="X3111" s="19"/>
      <c r="Y3111" s="20"/>
    </row>
    <row r="3112" spans="24:25">
      <c r="X3112" s="19"/>
      <c r="Y3112" s="20"/>
    </row>
    <row r="3113" spans="24:25">
      <c r="X3113" s="19"/>
      <c r="Y3113" s="20"/>
    </row>
    <row r="3114" spans="24:25">
      <c r="X3114" s="19"/>
      <c r="Y3114" s="20"/>
    </row>
    <row r="3115" spans="24:25">
      <c r="X3115" s="19"/>
      <c r="Y3115" s="20"/>
    </row>
    <row r="3116" spans="24:25">
      <c r="X3116" s="19"/>
      <c r="Y3116" s="20"/>
    </row>
    <row r="3117" spans="24:25">
      <c r="X3117" s="19"/>
      <c r="Y3117" s="20"/>
    </row>
    <row r="3118" spans="24:25">
      <c r="X3118" s="19"/>
      <c r="Y3118" s="20"/>
    </row>
    <row r="3119" spans="24:25">
      <c r="X3119" s="19"/>
      <c r="Y3119" s="20"/>
    </row>
    <row r="3120" spans="24:25">
      <c r="X3120" s="19"/>
      <c r="Y3120" s="20"/>
    </row>
    <row r="3121" spans="24:25">
      <c r="X3121" s="19"/>
      <c r="Y3121" s="20"/>
    </row>
    <row r="3122" spans="24:25">
      <c r="X3122" s="19"/>
      <c r="Y3122" s="20"/>
    </row>
    <row r="3123" spans="24:25">
      <c r="X3123" s="19"/>
      <c r="Y3123" s="20"/>
    </row>
    <row r="3124" spans="24:25">
      <c r="X3124" s="19"/>
      <c r="Y3124" s="20"/>
    </row>
    <row r="3125" spans="24:25">
      <c r="X3125" s="19"/>
      <c r="Y3125" s="20"/>
    </row>
    <row r="3126" spans="24:25">
      <c r="X3126" s="19"/>
      <c r="Y3126" s="20"/>
    </row>
    <row r="3127" spans="24:25">
      <c r="X3127" s="19"/>
      <c r="Y3127" s="20"/>
    </row>
    <row r="3128" spans="24:25">
      <c r="X3128" s="19"/>
      <c r="Y3128" s="20"/>
    </row>
    <row r="3129" spans="24:25">
      <c r="X3129" s="19"/>
      <c r="Y3129" s="20"/>
    </row>
    <row r="3130" spans="24:25">
      <c r="X3130" s="19"/>
      <c r="Y3130" s="20"/>
    </row>
    <row r="3131" spans="24:25">
      <c r="X3131" s="19"/>
      <c r="Y3131" s="20"/>
    </row>
    <row r="3132" spans="24:25">
      <c r="X3132" s="19"/>
      <c r="Y3132" s="20"/>
    </row>
    <row r="3133" spans="24:25">
      <c r="X3133" s="19"/>
      <c r="Y3133" s="20"/>
    </row>
    <row r="3134" spans="24:25">
      <c r="X3134" s="19"/>
      <c r="Y3134" s="20"/>
    </row>
    <row r="3135" spans="24:25">
      <c r="X3135" s="19"/>
      <c r="Y3135" s="20"/>
    </row>
    <row r="3136" spans="24:25">
      <c r="X3136" s="19"/>
      <c r="Y3136" s="20"/>
    </row>
    <row r="3137" spans="24:25">
      <c r="X3137" s="19"/>
      <c r="Y3137" s="20"/>
    </row>
    <row r="3138" spans="24:25">
      <c r="X3138" s="19"/>
      <c r="Y3138" s="20"/>
    </row>
    <row r="3139" spans="24:25">
      <c r="X3139" s="19"/>
      <c r="Y3139" s="20"/>
    </row>
    <row r="3140" spans="24:25">
      <c r="X3140" s="19"/>
      <c r="Y3140" s="20"/>
    </row>
    <row r="3141" spans="24:25">
      <c r="X3141" s="19"/>
      <c r="Y3141" s="20"/>
    </row>
    <row r="3142" spans="24:25">
      <c r="X3142" s="19"/>
      <c r="Y3142" s="20"/>
    </row>
    <row r="3143" spans="24:25">
      <c r="X3143" s="19"/>
      <c r="Y3143" s="20"/>
    </row>
    <row r="3144" spans="24:25">
      <c r="X3144" s="19"/>
      <c r="Y3144" s="20"/>
    </row>
    <row r="3145" spans="24:25">
      <c r="X3145" s="19"/>
      <c r="Y3145" s="20"/>
    </row>
    <row r="3146" spans="24:25">
      <c r="X3146" s="19"/>
      <c r="Y3146" s="20"/>
    </row>
    <row r="3147" spans="24:25">
      <c r="X3147" s="19"/>
      <c r="Y3147" s="20"/>
    </row>
    <row r="3148" spans="24:25">
      <c r="X3148" s="19"/>
      <c r="Y3148" s="20"/>
    </row>
    <row r="3149" spans="24:25">
      <c r="X3149" s="19"/>
      <c r="Y3149" s="20"/>
    </row>
    <row r="3150" spans="24:25">
      <c r="X3150" s="19"/>
      <c r="Y3150" s="20"/>
    </row>
    <row r="3151" spans="24:25">
      <c r="X3151" s="19"/>
      <c r="Y3151" s="20"/>
    </row>
    <row r="3152" spans="24:25">
      <c r="X3152" s="19"/>
      <c r="Y3152" s="20"/>
    </row>
    <row r="3153" spans="24:25">
      <c r="X3153" s="19"/>
      <c r="Y3153" s="20"/>
    </row>
    <row r="3154" spans="24:25">
      <c r="X3154" s="19"/>
      <c r="Y3154" s="20"/>
    </row>
    <row r="3155" spans="24:25">
      <c r="X3155" s="19"/>
      <c r="Y3155" s="20"/>
    </row>
    <row r="3156" spans="24:25">
      <c r="X3156" s="19"/>
      <c r="Y3156" s="20"/>
    </row>
    <row r="3157" spans="24:25">
      <c r="X3157" s="19"/>
      <c r="Y3157" s="20"/>
    </row>
    <row r="3158" spans="24:25">
      <c r="X3158" s="19"/>
      <c r="Y3158" s="20"/>
    </row>
    <row r="3159" spans="24:25">
      <c r="X3159" s="19"/>
      <c r="Y3159" s="20"/>
    </row>
    <row r="3160" spans="24:25">
      <c r="X3160" s="19"/>
      <c r="Y3160" s="20"/>
    </row>
    <row r="3161" spans="24:25">
      <c r="X3161" s="19"/>
      <c r="Y3161" s="20"/>
    </row>
    <row r="3162" spans="24:25">
      <c r="X3162" s="19"/>
      <c r="Y3162" s="20"/>
    </row>
    <row r="3163" spans="24:25">
      <c r="X3163" s="19"/>
      <c r="Y3163" s="20"/>
    </row>
    <row r="3164" spans="24:25">
      <c r="X3164" s="19"/>
      <c r="Y3164" s="20"/>
    </row>
    <row r="3165" spans="24:25">
      <c r="X3165" s="19"/>
      <c r="Y3165" s="20"/>
    </row>
    <row r="3166" spans="24:25">
      <c r="X3166" s="19"/>
      <c r="Y3166" s="20"/>
    </row>
    <row r="3167" spans="24:25">
      <c r="X3167" s="19"/>
      <c r="Y3167" s="20"/>
    </row>
    <row r="3168" spans="24:25">
      <c r="X3168" s="19"/>
      <c r="Y3168" s="20"/>
    </row>
    <row r="3169" spans="24:25">
      <c r="X3169" s="19"/>
      <c r="Y3169" s="20"/>
    </row>
    <row r="3170" spans="24:25">
      <c r="X3170" s="19"/>
      <c r="Y3170" s="20"/>
    </row>
    <row r="3171" spans="24:25">
      <c r="X3171" s="19"/>
      <c r="Y3171" s="20"/>
    </row>
    <row r="3172" spans="24:25">
      <c r="X3172" s="19"/>
      <c r="Y3172" s="20"/>
    </row>
    <row r="3173" spans="24:25">
      <c r="X3173" s="19"/>
      <c r="Y3173" s="20"/>
    </row>
    <row r="3174" spans="24:25">
      <c r="X3174" s="19"/>
      <c r="Y3174" s="20"/>
    </row>
    <row r="3175" spans="24:25">
      <c r="X3175" s="19"/>
      <c r="Y3175" s="20"/>
    </row>
    <row r="3176" spans="24:25">
      <c r="X3176" s="19"/>
      <c r="Y3176" s="20"/>
    </row>
    <row r="3177" spans="24:25">
      <c r="X3177" s="19"/>
      <c r="Y3177" s="20"/>
    </row>
    <row r="3178" spans="24:25">
      <c r="X3178" s="19"/>
      <c r="Y3178" s="20"/>
    </row>
    <row r="3179" spans="24:25">
      <c r="X3179" s="19"/>
      <c r="Y3179" s="20"/>
    </row>
    <row r="3180" spans="24:25">
      <c r="X3180" s="19"/>
      <c r="Y3180" s="20"/>
    </row>
    <row r="3181" spans="24:25">
      <c r="X3181" s="19"/>
      <c r="Y3181" s="20"/>
    </row>
    <row r="3182" spans="24:25">
      <c r="X3182" s="19"/>
      <c r="Y3182" s="20"/>
    </row>
    <row r="3183" spans="24:25">
      <c r="X3183" s="19"/>
      <c r="Y3183" s="20"/>
    </row>
    <row r="3184" spans="24:25">
      <c r="X3184" s="19"/>
      <c r="Y3184" s="20"/>
    </row>
    <row r="3185" spans="24:25">
      <c r="X3185" s="19"/>
      <c r="Y3185" s="20"/>
    </row>
    <row r="3186" spans="24:25">
      <c r="X3186" s="19"/>
      <c r="Y3186" s="20"/>
    </row>
    <row r="3187" spans="24:25">
      <c r="X3187" s="19"/>
      <c r="Y3187" s="20"/>
    </row>
    <row r="3188" spans="24:25">
      <c r="X3188" s="19"/>
      <c r="Y3188" s="20"/>
    </row>
    <row r="3189" spans="24:25">
      <c r="X3189" s="19"/>
      <c r="Y3189" s="20"/>
    </row>
    <row r="3190" spans="24:25">
      <c r="X3190" s="19"/>
      <c r="Y3190" s="20"/>
    </row>
    <row r="3191" spans="24:25">
      <c r="X3191" s="19"/>
      <c r="Y3191" s="20"/>
    </row>
    <row r="3192" spans="24:25">
      <c r="X3192" s="19"/>
      <c r="Y3192" s="20"/>
    </row>
    <row r="3193" spans="24:25">
      <c r="X3193" s="19"/>
      <c r="Y3193" s="20"/>
    </row>
    <row r="3194" spans="24:25">
      <c r="X3194" s="19"/>
      <c r="Y3194" s="20"/>
    </row>
    <row r="3195" spans="24:25">
      <c r="X3195" s="19"/>
      <c r="Y3195" s="20"/>
    </row>
    <row r="3196" spans="24:25">
      <c r="X3196" s="19"/>
      <c r="Y3196" s="20"/>
    </row>
    <row r="3197" spans="24:25">
      <c r="X3197" s="19"/>
      <c r="Y3197" s="20"/>
    </row>
    <row r="3198" spans="24:25">
      <c r="X3198" s="19"/>
      <c r="Y3198" s="20"/>
    </row>
    <row r="3199" spans="24:25">
      <c r="X3199" s="19"/>
      <c r="Y3199" s="20"/>
    </row>
    <row r="3200" spans="24:25">
      <c r="X3200" s="19"/>
      <c r="Y3200" s="20"/>
    </row>
    <row r="3201" spans="24:25">
      <c r="X3201" s="19"/>
      <c r="Y3201" s="20"/>
    </row>
    <row r="3202" spans="24:25">
      <c r="X3202" s="19"/>
      <c r="Y3202" s="20"/>
    </row>
    <row r="3203" spans="24:25">
      <c r="X3203" s="19"/>
      <c r="Y3203" s="20"/>
    </row>
    <row r="3204" spans="24:25">
      <c r="X3204" s="19"/>
      <c r="Y3204" s="20"/>
    </row>
    <row r="3205" spans="24:25">
      <c r="X3205" s="19"/>
      <c r="Y3205" s="20"/>
    </row>
    <row r="3206" spans="24:25">
      <c r="X3206" s="19"/>
      <c r="Y3206" s="20"/>
    </row>
    <row r="3207" spans="24:25">
      <c r="X3207" s="19"/>
      <c r="Y3207" s="20"/>
    </row>
    <row r="3208" spans="24:25">
      <c r="X3208" s="19"/>
      <c r="Y3208" s="20"/>
    </row>
    <row r="3209" spans="24:25">
      <c r="X3209" s="19"/>
      <c r="Y3209" s="20"/>
    </row>
    <row r="3210" spans="24:25">
      <c r="X3210" s="19"/>
      <c r="Y3210" s="20"/>
    </row>
    <row r="3211" spans="24:25">
      <c r="X3211" s="19"/>
      <c r="Y3211" s="20"/>
    </row>
    <row r="3212" spans="24:25">
      <c r="X3212" s="19"/>
      <c r="Y3212" s="20"/>
    </row>
    <row r="3213" spans="24:25">
      <c r="X3213" s="19"/>
      <c r="Y3213" s="20"/>
    </row>
    <row r="3214" spans="24:25">
      <c r="X3214" s="19"/>
      <c r="Y3214" s="20"/>
    </row>
    <row r="3215" spans="24:25">
      <c r="X3215" s="19"/>
      <c r="Y3215" s="20"/>
    </row>
    <row r="3216" spans="24:25">
      <c r="X3216" s="19"/>
      <c r="Y3216" s="20"/>
    </row>
    <row r="3217" spans="24:25">
      <c r="X3217" s="19"/>
      <c r="Y3217" s="20"/>
    </row>
    <row r="3218" spans="24:25">
      <c r="X3218" s="19"/>
      <c r="Y3218" s="20"/>
    </row>
    <row r="3219" spans="24:25">
      <c r="X3219" s="19"/>
      <c r="Y3219" s="20"/>
    </row>
    <row r="3220" spans="24:25">
      <c r="X3220" s="19"/>
      <c r="Y3220" s="20"/>
    </row>
    <row r="3221" spans="24:25">
      <c r="X3221" s="19"/>
      <c r="Y3221" s="20"/>
    </row>
    <row r="3222" spans="24:25">
      <c r="X3222" s="19"/>
      <c r="Y3222" s="20"/>
    </row>
    <row r="3223" spans="24:25">
      <c r="X3223" s="19"/>
      <c r="Y3223" s="20"/>
    </row>
    <row r="3224" spans="24:25">
      <c r="X3224" s="19"/>
      <c r="Y3224" s="20"/>
    </row>
    <row r="3225" spans="24:25">
      <c r="X3225" s="19"/>
      <c r="Y3225" s="20"/>
    </row>
    <row r="3226" spans="24:25">
      <c r="X3226" s="19"/>
      <c r="Y3226" s="20"/>
    </row>
    <row r="3227" spans="24:25">
      <c r="X3227" s="19"/>
      <c r="Y3227" s="20"/>
    </row>
    <row r="3228" spans="24:25">
      <c r="X3228" s="19"/>
      <c r="Y3228" s="20"/>
    </row>
    <row r="3229" spans="24:25">
      <c r="X3229" s="19"/>
      <c r="Y3229" s="20"/>
    </row>
    <row r="3230" spans="24:25">
      <c r="X3230" s="19"/>
      <c r="Y3230" s="20"/>
    </row>
    <row r="3231" spans="24:25">
      <c r="X3231" s="19"/>
      <c r="Y3231" s="20"/>
    </row>
    <row r="3232" spans="24:25">
      <c r="X3232" s="19"/>
      <c r="Y3232" s="20"/>
    </row>
    <row r="3233" spans="24:25">
      <c r="X3233" s="19"/>
      <c r="Y3233" s="20"/>
    </row>
    <row r="3234" spans="24:25">
      <c r="X3234" s="19"/>
      <c r="Y3234" s="20"/>
    </row>
    <row r="3235" spans="24:25">
      <c r="X3235" s="19"/>
      <c r="Y3235" s="20"/>
    </row>
    <row r="3236" spans="24:25">
      <c r="X3236" s="19"/>
      <c r="Y3236" s="20"/>
    </row>
    <row r="3237" spans="24:25">
      <c r="X3237" s="19"/>
      <c r="Y3237" s="20"/>
    </row>
    <row r="3238" spans="24:25">
      <c r="X3238" s="19"/>
      <c r="Y3238" s="20"/>
    </row>
    <row r="3239" spans="24:25">
      <c r="X3239" s="19"/>
      <c r="Y3239" s="20"/>
    </row>
    <row r="3240" spans="24:25">
      <c r="X3240" s="19"/>
      <c r="Y3240" s="20"/>
    </row>
    <row r="3241" spans="24:25">
      <c r="X3241" s="19"/>
      <c r="Y3241" s="20"/>
    </row>
    <row r="3242" spans="24:25">
      <c r="X3242" s="19"/>
      <c r="Y3242" s="20"/>
    </row>
    <row r="3243" spans="24:25">
      <c r="X3243" s="19"/>
      <c r="Y3243" s="20"/>
    </row>
    <row r="3244" spans="24:25">
      <c r="X3244" s="19"/>
      <c r="Y3244" s="20"/>
    </row>
    <row r="3245" spans="24:25">
      <c r="X3245" s="19"/>
      <c r="Y3245" s="20"/>
    </row>
    <row r="3246" spans="24:25">
      <c r="X3246" s="19"/>
      <c r="Y3246" s="20"/>
    </row>
    <row r="3247" spans="24:25">
      <c r="X3247" s="19"/>
      <c r="Y3247" s="20"/>
    </row>
    <row r="3248" spans="24:25">
      <c r="X3248" s="19"/>
      <c r="Y3248" s="20"/>
    </row>
    <row r="3249" spans="24:25">
      <c r="X3249" s="19"/>
      <c r="Y3249" s="20"/>
    </row>
    <row r="3250" spans="24:25">
      <c r="X3250" s="19"/>
      <c r="Y3250" s="20"/>
    </row>
    <row r="3251" spans="24:25">
      <c r="X3251" s="19"/>
      <c r="Y3251" s="20"/>
    </row>
    <row r="3252" spans="24:25">
      <c r="X3252" s="19"/>
      <c r="Y3252" s="20"/>
    </row>
    <row r="3253" spans="24:25">
      <c r="X3253" s="19"/>
      <c r="Y3253" s="20"/>
    </row>
    <row r="3254" spans="24:25">
      <c r="X3254" s="19"/>
      <c r="Y3254" s="20"/>
    </row>
    <row r="3255" spans="24:25">
      <c r="X3255" s="19"/>
      <c r="Y3255" s="20"/>
    </row>
    <row r="3256" spans="24:25">
      <c r="X3256" s="19"/>
      <c r="Y3256" s="20"/>
    </row>
    <row r="3257" spans="24:25">
      <c r="X3257" s="19"/>
      <c r="Y3257" s="20"/>
    </row>
    <row r="3258" spans="24:25">
      <c r="X3258" s="19"/>
      <c r="Y3258" s="20"/>
    </row>
    <row r="3259" spans="24:25">
      <c r="X3259" s="19"/>
      <c r="Y3259" s="20"/>
    </row>
    <row r="3260" spans="24:25">
      <c r="X3260" s="19"/>
      <c r="Y3260" s="20"/>
    </row>
    <row r="3261" spans="24:25">
      <c r="X3261" s="19"/>
      <c r="Y3261" s="20"/>
    </row>
    <row r="3262" spans="24:25">
      <c r="X3262" s="19"/>
      <c r="Y3262" s="20"/>
    </row>
    <row r="3263" spans="24:25">
      <c r="X3263" s="19"/>
      <c r="Y3263" s="20"/>
    </row>
    <row r="3264" spans="24:25">
      <c r="X3264" s="19"/>
      <c r="Y3264" s="20"/>
    </row>
    <row r="3265" spans="24:25">
      <c r="X3265" s="19"/>
      <c r="Y3265" s="20"/>
    </row>
    <row r="3266" spans="24:25">
      <c r="X3266" s="19"/>
      <c r="Y3266" s="20"/>
    </row>
    <row r="3267" spans="24:25">
      <c r="X3267" s="19"/>
      <c r="Y3267" s="20"/>
    </row>
    <row r="3268" spans="24:25">
      <c r="X3268" s="19"/>
      <c r="Y3268" s="20"/>
    </row>
    <row r="3269" spans="24:25">
      <c r="X3269" s="19"/>
      <c r="Y3269" s="20"/>
    </row>
    <row r="3270" spans="24:25">
      <c r="X3270" s="19"/>
      <c r="Y3270" s="20"/>
    </row>
    <row r="3271" spans="24:25">
      <c r="X3271" s="19"/>
      <c r="Y3271" s="20"/>
    </row>
    <row r="3272" spans="24:25">
      <c r="X3272" s="19"/>
      <c r="Y3272" s="20"/>
    </row>
    <row r="3273" spans="24:25">
      <c r="X3273" s="19"/>
      <c r="Y3273" s="20"/>
    </row>
    <row r="3274" spans="24:25">
      <c r="X3274" s="19"/>
      <c r="Y3274" s="20"/>
    </row>
    <row r="3275" spans="24:25">
      <c r="X3275" s="19"/>
      <c r="Y3275" s="20"/>
    </row>
    <row r="3276" spans="24:25">
      <c r="X3276" s="19"/>
      <c r="Y3276" s="20"/>
    </row>
    <row r="3277" spans="24:25">
      <c r="X3277" s="19"/>
      <c r="Y3277" s="20"/>
    </row>
    <row r="3278" spans="24:25">
      <c r="X3278" s="19"/>
      <c r="Y3278" s="20"/>
    </row>
    <row r="3279" spans="24:25">
      <c r="X3279" s="19"/>
      <c r="Y3279" s="20"/>
    </row>
    <row r="3280" spans="24:25">
      <c r="X3280" s="19"/>
      <c r="Y3280" s="20"/>
    </row>
    <row r="3281" spans="24:25">
      <c r="X3281" s="19"/>
      <c r="Y3281" s="20"/>
    </row>
    <row r="3282" spans="24:25">
      <c r="X3282" s="19"/>
      <c r="Y3282" s="20"/>
    </row>
    <row r="3283" spans="24:25">
      <c r="X3283" s="19"/>
      <c r="Y3283" s="20"/>
    </row>
    <row r="3284" spans="24:25">
      <c r="X3284" s="19"/>
      <c r="Y3284" s="20"/>
    </row>
    <row r="3285" spans="24:25">
      <c r="X3285" s="19"/>
      <c r="Y3285" s="20"/>
    </row>
    <row r="3286" spans="24:25">
      <c r="X3286" s="19"/>
      <c r="Y3286" s="20"/>
    </row>
    <row r="3287" spans="24:25">
      <c r="X3287" s="19"/>
      <c r="Y3287" s="20"/>
    </row>
    <row r="3288" spans="24:25">
      <c r="X3288" s="19"/>
      <c r="Y3288" s="20"/>
    </row>
    <row r="3289" spans="24:25">
      <c r="X3289" s="19"/>
      <c r="Y3289" s="20"/>
    </row>
    <row r="3290" spans="24:25">
      <c r="X3290" s="19"/>
      <c r="Y3290" s="20"/>
    </row>
    <row r="3291" spans="24:25">
      <c r="X3291" s="19"/>
      <c r="Y3291" s="20"/>
    </row>
    <row r="3292" spans="24:25">
      <c r="X3292" s="19"/>
      <c r="Y3292" s="20"/>
    </row>
    <row r="3293" spans="24:25">
      <c r="X3293" s="19"/>
      <c r="Y3293" s="20"/>
    </row>
    <row r="3294" spans="24:25">
      <c r="X3294" s="19"/>
      <c r="Y3294" s="20"/>
    </row>
    <row r="3295" spans="24:25">
      <c r="X3295" s="19"/>
      <c r="Y3295" s="20"/>
    </row>
    <row r="3296" spans="24:25">
      <c r="X3296" s="19"/>
      <c r="Y3296" s="20"/>
    </row>
    <row r="3297" spans="24:25">
      <c r="X3297" s="19"/>
      <c r="Y3297" s="20"/>
    </row>
    <row r="3298" spans="24:25">
      <c r="X3298" s="19"/>
      <c r="Y3298" s="20"/>
    </row>
    <row r="3299" spans="24:25">
      <c r="X3299" s="19"/>
      <c r="Y3299" s="20"/>
    </row>
    <row r="3300" spans="24:25">
      <c r="X3300" s="19"/>
      <c r="Y3300" s="20"/>
    </row>
    <row r="3301" spans="24:25">
      <c r="X3301" s="19"/>
      <c r="Y3301" s="20"/>
    </row>
    <row r="3302" spans="24:25">
      <c r="X3302" s="19"/>
      <c r="Y3302" s="20"/>
    </row>
    <row r="3303" spans="24:25">
      <c r="X3303" s="19"/>
      <c r="Y3303" s="20"/>
    </row>
    <row r="3304" spans="24:25">
      <c r="X3304" s="19"/>
      <c r="Y3304" s="20"/>
    </row>
    <row r="3305" spans="24:25">
      <c r="X3305" s="19"/>
      <c r="Y3305" s="20"/>
    </row>
    <row r="3306" spans="24:25">
      <c r="X3306" s="19"/>
      <c r="Y3306" s="20"/>
    </row>
    <row r="3307" spans="24:25">
      <c r="X3307" s="19"/>
      <c r="Y3307" s="20"/>
    </row>
    <row r="3308" spans="24:25">
      <c r="X3308" s="19"/>
      <c r="Y3308" s="20"/>
    </row>
    <row r="3309" spans="24:25">
      <c r="X3309" s="19"/>
      <c r="Y3309" s="20"/>
    </row>
    <row r="3310" spans="24:25">
      <c r="X3310" s="19"/>
      <c r="Y3310" s="20"/>
    </row>
    <row r="3311" spans="24:25">
      <c r="X3311" s="19"/>
      <c r="Y3311" s="20"/>
    </row>
    <row r="3312" spans="24:25">
      <c r="X3312" s="19"/>
      <c r="Y3312" s="20"/>
    </row>
    <row r="3313" spans="24:25">
      <c r="X3313" s="19"/>
      <c r="Y3313" s="20"/>
    </row>
    <row r="3314" spans="24:25">
      <c r="X3314" s="19"/>
      <c r="Y3314" s="20"/>
    </row>
    <row r="3315" spans="24:25">
      <c r="X3315" s="19"/>
      <c r="Y3315" s="20"/>
    </row>
    <row r="3316" spans="24:25">
      <c r="X3316" s="19"/>
      <c r="Y3316" s="20"/>
    </row>
    <row r="3317" spans="24:25">
      <c r="X3317" s="19"/>
      <c r="Y3317" s="20"/>
    </row>
    <row r="3318" spans="24:25">
      <c r="X3318" s="19"/>
      <c r="Y3318" s="20"/>
    </row>
    <row r="3319" spans="24:25">
      <c r="X3319" s="19"/>
      <c r="Y3319" s="20"/>
    </row>
    <row r="3320" spans="24:25">
      <c r="X3320" s="19"/>
      <c r="Y3320" s="20"/>
    </row>
    <row r="3321" spans="24:25">
      <c r="X3321" s="19"/>
      <c r="Y3321" s="20"/>
    </row>
    <row r="3322" spans="24:25">
      <c r="X3322" s="19"/>
      <c r="Y3322" s="20"/>
    </row>
    <row r="3323" spans="24:25">
      <c r="X3323" s="19"/>
      <c r="Y3323" s="20"/>
    </row>
    <row r="3324" spans="24:25">
      <c r="X3324" s="19"/>
      <c r="Y3324" s="20"/>
    </row>
    <row r="3325" spans="24:25">
      <c r="X3325" s="19"/>
      <c r="Y3325" s="20"/>
    </row>
    <row r="3326" spans="24:25">
      <c r="X3326" s="19"/>
      <c r="Y3326" s="20"/>
    </row>
    <row r="3327" spans="24:25">
      <c r="X3327" s="19"/>
      <c r="Y3327" s="20"/>
    </row>
    <row r="3328" spans="24:25">
      <c r="X3328" s="19"/>
      <c r="Y3328" s="20"/>
    </row>
    <row r="3329" spans="24:25">
      <c r="X3329" s="19"/>
      <c r="Y3329" s="20"/>
    </row>
    <row r="3330" spans="24:25">
      <c r="X3330" s="19"/>
      <c r="Y3330" s="20"/>
    </row>
    <row r="3331" spans="24:25">
      <c r="X3331" s="19"/>
      <c r="Y3331" s="20"/>
    </row>
    <row r="3332" spans="24:25">
      <c r="X3332" s="19"/>
      <c r="Y3332" s="20"/>
    </row>
    <row r="3333" spans="24:25">
      <c r="X3333" s="19"/>
      <c r="Y3333" s="20"/>
    </row>
    <row r="3334" spans="24:25">
      <c r="X3334" s="19"/>
      <c r="Y3334" s="20"/>
    </row>
    <row r="3335" spans="24:25">
      <c r="X3335" s="19"/>
      <c r="Y3335" s="20"/>
    </row>
    <row r="3336" spans="24:25">
      <c r="X3336" s="19"/>
      <c r="Y3336" s="20"/>
    </row>
    <row r="3337" spans="24:25">
      <c r="X3337" s="19"/>
      <c r="Y3337" s="20"/>
    </row>
    <row r="3338" spans="24:25">
      <c r="X3338" s="19"/>
      <c r="Y3338" s="20"/>
    </row>
    <row r="3339" spans="24:25">
      <c r="X3339" s="19"/>
      <c r="Y3339" s="20"/>
    </row>
    <row r="3340" spans="24:25">
      <c r="X3340" s="19"/>
      <c r="Y3340" s="20"/>
    </row>
    <row r="3341" spans="24:25">
      <c r="X3341" s="19"/>
      <c r="Y3341" s="20"/>
    </row>
    <row r="3342" spans="24:25">
      <c r="X3342" s="19"/>
      <c r="Y3342" s="20"/>
    </row>
    <row r="3343" spans="24:25">
      <c r="X3343" s="19"/>
      <c r="Y3343" s="20"/>
    </row>
    <row r="3344" spans="24:25">
      <c r="X3344" s="19"/>
      <c r="Y3344" s="20"/>
    </row>
    <row r="3345" spans="24:25">
      <c r="X3345" s="19"/>
      <c r="Y3345" s="20"/>
    </row>
    <row r="3346" spans="24:25">
      <c r="X3346" s="19"/>
      <c r="Y3346" s="20"/>
    </row>
    <row r="3347" spans="24:25">
      <c r="X3347" s="19"/>
      <c r="Y3347" s="20"/>
    </row>
    <row r="3348" spans="24:25">
      <c r="X3348" s="19"/>
      <c r="Y3348" s="20"/>
    </row>
    <row r="3349" spans="24:25">
      <c r="X3349" s="19"/>
      <c r="Y3349" s="20"/>
    </row>
    <row r="3350" spans="24:25">
      <c r="X3350" s="19"/>
      <c r="Y3350" s="20"/>
    </row>
    <row r="3351" spans="24:25">
      <c r="X3351" s="19"/>
      <c r="Y3351" s="20"/>
    </row>
    <row r="3352" spans="24:25">
      <c r="X3352" s="19"/>
      <c r="Y3352" s="20"/>
    </row>
    <row r="3353" spans="24:25">
      <c r="X3353" s="19"/>
      <c r="Y3353" s="20"/>
    </row>
    <row r="3354" spans="24:25">
      <c r="X3354" s="19"/>
      <c r="Y3354" s="20"/>
    </row>
    <row r="3355" spans="24:25">
      <c r="X3355" s="19"/>
      <c r="Y3355" s="20"/>
    </row>
    <row r="3356" spans="24:25">
      <c r="X3356" s="19"/>
      <c r="Y3356" s="20"/>
    </row>
    <row r="3357" spans="24:25">
      <c r="X3357" s="19"/>
      <c r="Y3357" s="20"/>
    </row>
    <row r="3358" spans="24:25">
      <c r="X3358" s="19"/>
      <c r="Y3358" s="20"/>
    </row>
    <row r="3359" spans="24:25">
      <c r="X3359" s="19"/>
      <c r="Y3359" s="20"/>
    </row>
    <row r="3360" spans="24:25">
      <c r="X3360" s="19"/>
      <c r="Y3360" s="20"/>
    </row>
    <row r="3361" spans="24:25">
      <c r="X3361" s="19"/>
      <c r="Y3361" s="20"/>
    </row>
    <row r="3362" spans="24:25">
      <c r="X3362" s="19"/>
      <c r="Y3362" s="20"/>
    </row>
    <row r="3363" spans="24:25">
      <c r="X3363" s="19"/>
      <c r="Y3363" s="20"/>
    </row>
    <row r="3364" spans="24:25">
      <c r="X3364" s="19"/>
      <c r="Y3364" s="20"/>
    </row>
    <row r="3365" spans="24:25">
      <c r="X3365" s="19"/>
      <c r="Y3365" s="20"/>
    </row>
    <row r="3366" spans="24:25">
      <c r="X3366" s="19"/>
      <c r="Y3366" s="20"/>
    </row>
    <row r="3367" spans="24:25">
      <c r="X3367" s="19"/>
      <c r="Y3367" s="20"/>
    </row>
    <row r="3368" spans="24:25">
      <c r="X3368" s="19"/>
      <c r="Y3368" s="20"/>
    </row>
    <row r="3369" spans="24:25">
      <c r="X3369" s="19"/>
      <c r="Y3369" s="20"/>
    </row>
    <row r="3370" spans="24:25">
      <c r="X3370" s="19"/>
      <c r="Y3370" s="20"/>
    </row>
    <row r="3371" spans="24:25">
      <c r="X3371" s="19"/>
      <c r="Y3371" s="20"/>
    </row>
    <row r="3372" spans="24:25">
      <c r="X3372" s="19"/>
      <c r="Y3372" s="20"/>
    </row>
    <row r="3373" spans="24:25">
      <c r="X3373" s="19"/>
      <c r="Y3373" s="20"/>
    </row>
    <row r="3374" spans="24:25">
      <c r="X3374" s="19"/>
      <c r="Y3374" s="20"/>
    </row>
    <row r="3375" spans="24:25">
      <c r="X3375" s="19"/>
      <c r="Y3375" s="20"/>
    </row>
    <row r="3376" spans="24:25">
      <c r="X3376" s="19"/>
      <c r="Y3376" s="20"/>
    </row>
    <row r="3377" spans="24:25">
      <c r="X3377" s="19"/>
      <c r="Y3377" s="20"/>
    </row>
    <row r="3378" spans="24:25">
      <c r="X3378" s="19"/>
      <c r="Y3378" s="20"/>
    </row>
    <row r="3379" spans="24:25">
      <c r="X3379" s="19"/>
      <c r="Y3379" s="20"/>
    </row>
    <row r="3380" spans="24:25">
      <c r="X3380" s="19"/>
      <c r="Y3380" s="20"/>
    </row>
    <row r="3381" spans="24:25">
      <c r="X3381" s="19"/>
      <c r="Y3381" s="20"/>
    </row>
    <row r="3382" spans="24:25">
      <c r="X3382" s="19"/>
      <c r="Y3382" s="20"/>
    </row>
    <row r="3383" spans="24:25">
      <c r="X3383" s="19"/>
      <c r="Y3383" s="20"/>
    </row>
    <row r="3384" spans="24:25">
      <c r="X3384" s="19"/>
      <c r="Y3384" s="20"/>
    </row>
    <row r="3385" spans="24:25">
      <c r="X3385" s="19"/>
      <c r="Y3385" s="20"/>
    </row>
    <row r="3386" spans="24:25">
      <c r="X3386" s="19"/>
      <c r="Y3386" s="20"/>
    </row>
    <row r="3387" spans="24:25">
      <c r="X3387" s="19"/>
      <c r="Y3387" s="20"/>
    </row>
    <row r="3388" spans="24:25">
      <c r="X3388" s="19"/>
      <c r="Y3388" s="20"/>
    </row>
    <row r="3389" spans="24:25">
      <c r="X3389" s="19"/>
      <c r="Y3389" s="20"/>
    </row>
    <row r="3390" spans="24:25">
      <c r="X3390" s="19"/>
      <c r="Y3390" s="20"/>
    </row>
    <row r="3391" spans="24:25">
      <c r="X3391" s="19"/>
      <c r="Y3391" s="20"/>
    </row>
    <row r="3392" spans="24:25">
      <c r="X3392" s="19"/>
      <c r="Y3392" s="20"/>
    </row>
    <row r="3393" spans="24:25">
      <c r="X3393" s="19"/>
      <c r="Y3393" s="20"/>
    </row>
    <row r="3394" spans="24:25">
      <c r="X3394" s="19"/>
      <c r="Y3394" s="20"/>
    </row>
    <row r="3395" spans="24:25">
      <c r="X3395" s="19"/>
      <c r="Y3395" s="20"/>
    </row>
    <row r="3396" spans="24:25">
      <c r="X3396" s="19"/>
      <c r="Y3396" s="20"/>
    </row>
    <row r="3397" spans="24:25">
      <c r="X3397" s="19"/>
      <c r="Y3397" s="20"/>
    </row>
    <row r="3398" spans="24:25">
      <c r="X3398" s="19"/>
      <c r="Y3398" s="20"/>
    </row>
    <row r="3399" spans="24:25">
      <c r="X3399" s="19"/>
      <c r="Y3399" s="20"/>
    </row>
    <row r="3400" spans="24:25">
      <c r="X3400" s="19"/>
      <c r="Y3400" s="20"/>
    </row>
    <row r="3401" spans="24:25">
      <c r="X3401" s="19"/>
      <c r="Y3401" s="20"/>
    </row>
    <row r="3402" spans="24:25">
      <c r="X3402" s="19"/>
      <c r="Y3402" s="20"/>
    </row>
    <row r="3403" spans="24:25">
      <c r="X3403" s="19"/>
      <c r="Y3403" s="20"/>
    </row>
    <row r="3404" spans="24:25">
      <c r="X3404" s="19"/>
      <c r="Y3404" s="20"/>
    </row>
    <row r="3405" spans="24:25">
      <c r="X3405" s="19"/>
      <c r="Y3405" s="20"/>
    </row>
    <row r="3406" spans="24:25">
      <c r="X3406" s="19"/>
      <c r="Y3406" s="20"/>
    </row>
    <row r="3407" spans="24:25">
      <c r="X3407" s="19"/>
      <c r="Y3407" s="20"/>
    </row>
    <row r="3408" spans="24:25">
      <c r="X3408" s="19"/>
      <c r="Y3408" s="20"/>
    </row>
    <row r="3409" spans="24:25">
      <c r="X3409" s="19"/>
      <c r="Y3409" s="20"/>
    </row>
    <row r="3410" spans="24:25">
      <c r="X3410" s="19"/>
      <c r="Y3410" s="20"/>
    </row>
    <row r="3411" spans="24:25">
      <c r="X3411" s="19"/>
      <c r="Y3411" s="20"/>
    </row>
    <row r="3412" spans="24:25">
      <c r="X3412" s="19"/>
      <c r="Y3412" s="20"/>
    </row>
    <row r="3413" spans="24:25">
      <c r="X3413" s="19"/>
      <c r="Y3413" s="20"/>
    </row>
    <row r="3414" spans="24:25">
      <c r="X3414" s="19"/>
      <c r="Y3414" s="20"/>
    </row>
    <row r="3415" spans="24:25">
      <c r="X3415" s="19"/>
      <c r="Y3415" s="20"/>
    </row>
    <row r="3416" spans="24:25">
      <c r="X3416" s="19"/>
      <c r="Y3416" s="20"/>
    </row>
    <row r="3417" spans="24:25">
      <c r="X3417" s="19"/>
      <c r="Y3417" s="20"/>
    </row>
    <row r="3418" spans="24:25">
      <c r="X3418" s="19"/>
      <c r="Y3418" s="20"/>
    </row>
    <row r="3419" spans="24:25">
      <c r="X3419" s="19"/>
      <c r="Y3419" s="20"/>
    </row>
    <row r="3420" spans="24:25">
      <c r="X3420" s="19"/>
      <c r="Y3420" s="20"/>
    </row>
    <row r="3421" spans="24:25">
      <c r="X3421" s="19"/>
      <c r="Y3421" s="20"/>
    </row>
    <row r="3422" spans="24:25">
      <c r="X3422" s="19"/>
      <c r="Y3422" s="20"/>
    </row>
    <row r="3423" spans="24:25">
      <c r="X3423" s="19"/>
      <c r="Y3423" s="20"/>
    </row>
    <row r="3424" spans="24:25">
      <c r="X3424" s="19"/>
      <c r="Y3424" s="20"/>
    </row>
    <row r="3425" spans="24:25">
      <c r="X3425" s="19"/>
      <c r="Y3425" s="20"/>
    </row>
    <row r="3426" spans="24:25">
      <c r="X3426" s="19"/>
      <c r="Y3426" s="20"/>
    </row>
    <row r="3427" spans="24:25">
      <c r="X3427" s="19"/>
      <c r="Y3427" s="20"/>
    </row>
    <row r="3428" spans="24:25">
      <c r="X3428" s="19"/>
      <c r="Y3428" s="20"/>
    </row>
    <row r="3429" spans="24:25">
      <c r="X3429" s="19"/>
      <c r="Y3429" s="20"/>
    </row>
    <row r="3430" spans="24:25">
      <c r="X3430" s="19"/>
      <c r="Y3430" s="20"/>
    </row>
    <row r="3431" spans="24:25">
      <c r="X3431" s="19"/>
      <c r="Y3431" s="20"/>
    </row>
    <row r="3432" spans="24:25">
      <c r="X3432" s="19"/>
      <c r="Y3432" s="20"/>
    </row>
    <row r="3433" spans="24:25">
      <c r="X3433" s="19"/>
      <c r="Y3433" s="20"/>
    </row>
    <row r="3434" spans="24:25">
      <c r="X3434" s="19"/>
      <c r="Y3434" s="20"/>
    </row>
    <row r="3435" spans="24:25">
      <c r="X3435" s="19"/>
      <c r="Y3435" s="20"/>
    </row>
    <row r="3436" spans="24:25">
      <c r="X3436" s="19"/>
      <c r="Y3436" s="20"/>
    </row>
    <row r="3437" spans="24:25">
      <c r="X3437" s="19"/>
      <c r="Y3437" s="20"/>
    </row>
    <row r="3438" spans="24:25">
      <c r="X3438" s="19"/>
      <c r="Y3438" s="20"/>
    </row>
    <row r="3439" spans="24:25">
      <c r="X3439" s="19"/>
      <c r="Y3439" s="20"/>
    </row>
    <row r="3440" spans="24:25">
      <c r="X3440" s="19"/>
      <c r="Y3440" s="20"/>
    </row>
    <row r="3441" spans="24:25">
      <c r="X3441" s="19"/>
      <c r="Y3441" s="20"/>
    </row>
    <row r="3442" spans="24:25">
      <c r="X3442" s="19"/>
      <c r="Y3442" s="20"/>
    </row>
    <row r="3443" spans="24:25">
      <c r="X3443" s="19"/>
      <c r="Y3443" s="20"/>
    </row>
    <row r="3444" spans="24:25">
      <c r="X3444" s="19"/>
      <c r="Y3444" s="20"/>
    </row>
    <row r="3445" spans="24:25">
      <c r="X3445" s="19"/>
      <c r="Y3445" s="20"/>
    </row>
    <row r="3446" spans="24:25">
      <c r="X3446" s="19"/>
      <c r="Y3446" s="20"/>
    </row>
    <row r="3447" spans="24:25">
      <c r="X3447" s="19"/>
      <c r="Y3447" s="20"/>
    </row>
    <row r="3448" spans="24:25">
      <c r="X3448" s="19"/>
      <c r="Y3448" s="20"/>
    </row>
    <row r="3449" spans="24:25">
      <c r="X3449" s="19"/>
      <c r="Y3449" s="20"/>
    </row>
    <row r="3450" spans="24:25">
      <c r="X3450" s="19"/>
      <c r="Y3450" s="20"/>
    </row>
    <row r="3451" spans="24:25">
      <c r="X3451" s="19"/>
      <c r="Y3451" s="20"/>
    </row>
    <row r="3452" spans="24:25">
      <c r="X3452" s="19"/>
      <c r="Y3452" s="20"/>
    </row>
    <row r="3453" spans="24:25">
      <c r="X3453" s="19"/>
      <c r="Y3453" s="20"/>
    </row>
    <row r="3454" spans="24:25">
      <c r="X3454" s="19"/>
      <c r="Y3454" s="20"/>
    </row>
    <row r="3455" spans="24:25">
      <c r="X3455" s="19"/>
      <c r="Y3455" s="20"/>
    </row>
    <row r="3456" spans="24:25">
      <c r="X3456" s="19"/>
      <c r="Y3456" s="20"/>
    </row>
    <row r="3457" spans="24:25">
      <c r="X3457" s="19"/>
      <c r="Y3457" s="20"/>
    </row>
    <row r="3458" spans="24:25">
      <c r="X3458" s="19"/>
      <c r="Y3458" s="20"/>
    </row>
    <row r="3459" spans="24:25">
      <c r="X3459" s="19"/>
      <c r="Y3459" s="20"/>
    </row>
    <row r="3460" spans="24:25">
      <c r="X3460" s="19"/>
      <c r="Y3460" s="20"/>
    </row>
    <row r="3461" spans="24:25">
      <c r="X3461" s="19"/>
      <c r="Y3461" s="20"/>
    </row>
    <row r="3462" spans="24:25">
      <c r="X3462" s="19"/>
      <c r="Y3462" s="20"/>
    </row>
    <row r="3463" spans="24:25">
      <c r="X3463" s="19"/>
      <c r="Y3463" s="20"/>
    </row>
    <row r="3464" spans="24:25">
      <c r="X3464" s="19"/>
      <c r="Y3464" s="20"/>
    </row>
    <row r="3465" spans="24:25">
      <c r="X3465" s="19"/>
      <c r="Y3465" s="20"/>
    </row>
    <row r="3466" spans="24:25">
      <c r="X3466" s="19"/>
      <c r="Y3466" s="20"/>
    </row>
    <row r="3467" spans="24:25">
      <c r="X3467" s="19"/>
      <c r="Y3467" s="20"/>
    </row>
    <row r="3468" spans="24:25">
      <c r="X3468" s="19"/>
      <c r="Y3468" s="20"/>
    </row>
    <row r="3469" spans="24:25">
      <c r="X3469" s="19"/>
      <c r="Y3469" s="20"/>
    </row>
    <row r="3470" spans="24:25">
      <c r="X3470" s="19"/>
      <c r="Y3470" s="20"/>
    </row>
    <row r="3471" spans="24:25">
      <c r="X3471" s="19"/>
      <c r="Y3471" s="20"/>
    </row>
    <row r="3472" spans="24:25">
      <c r="X3472" s="19"/>
      <c r="Y3472" s="20"/>
    </row>
    <row r="3473" spans="24:25">
      <c r="X3473" s="19"/>
      <c r="Y3473" s="20"/>
    </row>
    <row r="3474" spans="24:25">
      <c r="X3474" s="19"/>
      <c r="Y3474" s="20"/>
    </row>
    <row r="3475" spans="24:25">
      <c r="X3475" s="19"/>
      <c r="Y3475" s="20"/>
    </row>
    <row r="3476" spans="24:25">
      <c r="X3476" s="19"/>
      <c r="Y3476" s="20"/>
    </row>
    <row r="3477" spans="24:25">
      <c r="X3477" s="19"/>
      <c r="Y3477" s="20"/>
    </row>
    <row r="3478" spans="24:25">
      <c r="X3478" s="19"/>
      <c r="Y3478" s="20"/>
    </row>
    <row r="3479" spans="24:25">
      <c r="X3479" s="19"/>
      <c r="Y3479" s="20"/>
    </row>
    <row r="3480" spans="24:25">
      <c r="X3480" s="19"/>
      <c r="Y3480" s="20"/>
    </row>
    <row r="3481" spans="24:25">
      <c r="X3481" s="19"/>
      <c r="Y3481" s="20"/>
    </row>
    <row r="3482" spans="24:25">
      <c r="X3482" s="19"/>
      <c r="Y3482" s="20"/>
    </row>
    <row r="3483" spans="24:25">
      <c r="X3483" s="19"/>
      <c r="Y3483" s="20"/>
    </row>
    <row r="3484" spans="24:25">
      <c r="X3484" s="19"/>
      <c r="Y3484" s="20"/>
    </row>
    <row r="3485" spans="24:25">
      <c r="X3485" s="19"/>
      <c r="Y3485" s="20"/>
    </row>
    <row r="3486" spans="24:25">
      <c r="X3486" s="19"/>
      <c r="Y3486" s="20"/>
    </row>
    <row r="3487" spans="24:25">
      <c r="X3487" s="19"/>
      <c r="Y3487" s="20"/>
    </row>
    <row r="3488" spans="24:25">
      <c r="X3488" s="19"/>
      <c r="Y3488" s="20"/>
    </row>
    <row r="3489" spans="24:25">
      <c r="X3489" s="19"/>
      <c r="Y3489" s="20"/>
    </row>
    <row r="3490" spans="24:25">
      <c r="X3490" s="19"/>
      <c r="Y3490" s="20"/>
    </row>
    <row r="3491" spans="24:25">
      <c r="X3491" s="19"/>
      <c r="Y3491" s="20"/>
    </row>
    <row r="3492" spans="24:25">
      <c r="X3492" s="19"/>
      <c r="Y3492" s="20"/>
    </row>
    <row r="3493" spans="24:25">
      <c r="X3493" s="19"/>
      <c r="Y3493" s="20"/>
    </row>
    <row r="3494" spans="24:25">
      <c r="X3494" s="19"/>
      <c r="Y3494" s="20"/>
    </row>
    <row r="3495" spans="24:25">
      <c r="X3495" s="19"/>
      <c r="Y3495" s="20"/>
    </row>
    <row r="3496" spans="24:25">
      <c r="X3496" s="19"/>
      <c r="Y3496" s="20"/>
    </row>
    <row r="3497" spans="24:25">
      <c r="X3497" s="19"/>
      <c r="Y3497" s="20"/>
    </row>
    <row r="3498" spans="24:25">
      <c r="X3498" s="19"/>
      <c r="Y3498" s="20"/>
    </row>
    <row r="3499" spans="24:25">
      <c r="X3499" s="19"/>
      <c r="Y3499" s="20"/>
    </row>
    <row r="3500" spans="24:25">
      <c r="X3500" s="19"/>
      <c r="Y3500" s="20"/>
    </row>
    <row r="3501" spans="24:25">
      <c r="X3501" s="19"/>
      <c r="Y3501" s="20"/>
    </row>
    <row r="3502" spans="24:25">
      <c r="X3502" s="19"/>
      <c r="Y3502" s="20"/>
    </row>
    <row r="3503" spans="24:25">
      <c r="X3503" s="19"/>
      <c r="Y3503" s="20"/>
    </row>
    <row r="3504" spans="24:25">
      <c r="X3504" s="19"/>
      <c r="Y3504" s="20"/>
    </row>
    <row r="3505" spans="24:25">
      <c r="X3505" s="19"/>
      <c r="Y3505" s="20"/>
    </row>
    <row r="3506" spans="24:25">
      <c r="X3506" s="19"/>
      <c r="Y3506" s="20"/>
    </row>
    <row r="3507" spans="24:25">
      <c r="X3507" s="19"/>
      <c r="Y3507" s="20"/>
    </row>
    <row r="3508" spans="24:25">
      <c r="X3508" s="19"/>
      <c r="Y3508" s="20"/>
    </row>
    <row r="3509" spans="24:25">
      <c r="X3509" s="19"/>
      <c r="Y3509" s="20"/>
    </row>
    <row r="3510" spans="24:25">
      <c r="X3510" s="19"/>
      <c r="Y3510" s="20"/>
    </row>
    <row r="3511" spans="24:25">
      <c r="X3511" s="19"/>
      <c r="Y3511" s="20"/>
    </row>
    <row r="3512" spans="24:25">
      <c r="X3512" s="19"/>
      <c r="Y3512" s="20"/>
    </row>
    <row r="3513" spans="24:25">
      <c r="X3513" s="19"/>
      <c r="Y3513" s="20"/>
    </row>
    <row r="3514" spans="24:25">
      <c r="X3514" s="19"/>
      <c r="Y3514" s="20"/>
    </row>
    <row r="3515" spans="24:25">
      <c r="X3515" s="19"/>
      <c r="Y3515" s="20"/>
    </row>
    <row r="3516" spans="24:25">
      <c r="X3516" s="19"/>
      <c r="Y3516" s="20"/>
    </row>
    <row r="3517" spans="24:25">
      <c r="X3517" s="19"/>
      <c r="Y3517" s="20"/>
    </row>
    <row r="3518" spans="24:25">
      <c r="X3518" s="19"/>
      <c r="Y3518" s="20"/>
    </row>
    <row r="3519" spans="24:25">
      <c r="X3519" s="19"/>
      <c r="Y3519" s="20"/>
    </row>
    <row r="3520" spans="24:25">
      <c r="X3520" s="19"/>
      <c r="Y3520" s="20"/>
    </row>
    <row r="3521" spans="24:25">
      <c r="X3521" s="19"/>
      <c r="Y3521" s="20"/>
    </row>
    <row r="3522" spans="24:25">
      <c r="X3522" s="19"/>
      <c r="Y3522" s="20"/>
    </row>
    <row r="3523" spans="24:25">
      <c r="X3523" s="19"/>
      <c r="Y3523" s="20"/>
    </row>
    <row r="3524" spans="24:25">
      <c r="X3524" s="19"/>
      <c r="Y3524" s="20"/>
    </row>
    <row r="3525" spans="24:25">
      <c r="X3525" s="19"/>
      <c r="Y3525" s="20"/>
    </row>
    <row r="3526" spans="24:25">
      <c r="X3526" s="19"/>
      <c r="Y3526" s="20"/>
    </row>
    <row r="3527" spans="24:25">
      <c r="X3527" s="19"/>
      <c r="Y3527" s="20"/>
    </row>
    <row r="3528" spans="24:25">
      <c r="X3528" s="19"/>
      <c r="Y3528" s="20"/>
    </row>
    <row r="3529" spans="24:25">
      <c r="X3529" s="19"/>
      <c r="Y3529" s="20"/>
    </row>
    <row r="3530" spans="24:25">
      <c r="X3530" s="19"/>
      <c r="Y3530" s="20"/>
    </row>
    <row r="3531" spans="24:25">
      <c r="X3531" s="19"/>
      <c r="Y3531" s="20"/>
    </row>
    <row r="3532" spans="24:25">
      <c r="X3532" s="19"/>
      <c r="Y3532" s="20"/>
    </row>
    <row r="3533" spans="24:25">
      <c r="X3533" s="19"/>
      <c r="Y3533" s="20"/>
    </row>
    <row r="3534" spans="24:25">
      <c r="X3534" s="19"/>
      <c r="Y3534" s="20"/>
    </row>
    <row r="3535" spans="24:25">
      <c r="X3535" s="19"/>
      <c r="Y3535" s="20"/>
    </row>
    <row r="3536" spans="24:25">
      <c r="X3536" s="19"/>
      <c r="Y3536" s="20"/>
    </row>
    <row r="3537" spans="24:25">
      <c r="X3537" s="19"/>
      <c r="Y3537" s="20"/>
    </row>
    <row r="3538" spans="24:25">
      <c r="X3538" s="19"/>
      <c r="Y3538" s="20"/>
    </row>
    <row r="3539" spans="24:25">
      <c r="X3539" s="19"/>
      <c r="Y3539" s="20"/>
    </row>
    <row r="3540" spans="24:25">
      <c r="X3540" s="19"/>
      <c r="Y3540" s="20"/>
    </row>
    <row r="3541" spans="24:25">
      <c r="X3541" s="19"/>
      <c r="Y3541" s="20"/>
    </row>
    <row r="3542" spans="24:25">
      <c r="X3542" s="19"/>
      <c r="Y3542" s="20"/>
    </row>
    <row r="3543" spans="24:25">
      <c r="X3543" s="19"/>
      <c r="Y3543" s="20"/>
    </row>
    <row r="3544" spans="24:25">
      <c r="X3544" s="19"/>
      <c r="Y3544" s="20"/>
    </row>
    <row r="3545" spans="24:25">
      <c r="X3545" s="19"/>
      <c r="Y3545" s="20"/>
    </row>
    <row r="3546" spans="24:25">
      <c r="X3546" s="19"/>
      <c r="Y3546" s="20"/>
    </row>
    <row r="3547" spans="24:25">
      <c r="X3547" s="19"/>
      <c r="Y3547" s="20"/>
    </row>
    <row r="3548" spans="24:25">
      <c r="X3548" s="19"/>
      <c r="Y3548" s="20"/>
    </row>
    <row r="3549" spans="24:25">
      <c r="X3549" s="19"/>
      <c r="Y3549" s="20"/>
    </row>
    <row r="3550" spans="24:25">
      <c r="X3550" s="19"/>
      <c r="Y3550" s="20"/>
    </row>
    <row r="3551" spans="24:25">
      <c r="X3551" s="19"/>
      <c r="Y3551" s="20"/>
    </row>
    <row r="3552" spans="24:25">
      <c r="X3552" s="19"/>
      <c r="Y3552" s="20"/>
    </row>
    <row r="3553" spans="24:25">
      <c r="X3553" s="19"/>
      <c r="Y3553" s="20"/>
    </row>
    <row r="3554" spans="24:25">
      <c r="X3554" s="19"/>
      <c r="Y3554" s="20"/>
    </row>
    <row r="3555" spans="24:25">
      <c r="X3555" s="19"/>
      <c r="Y3555" s="20"/>
    </row>
    <row r="3556" spans="24:25">
      <c r="X3556" s="19"/>
      <c r="Y3556" s="20"/>
    </row>
    <row r="3557" spans="24:25">
      <c r="X3557" s="19"/>
      <c r="Y3557" s="20"/>
    </row>
    <row r="3558" spans="24:25">
      <c r="X3558" s="19"/>
      <c r="Y3558" s="20"/>
    </row>
    <row r="3559" spans="24:25">
      <c r="X3559" s="19"/>
      <c r="Y3559" s="20"/>
    </row>
    <row r="3560" spans="24:25">
      <c r="X3560" s="19"/>
      <c r="Y3560" s="20"/>
    </row>
    <row r="3561" spans="24:25">
      <c r="X3561" s="19"/>
      <c r="Y3561" s="20"/>
    </row>
    <row r="3562" spans="24:25">
      <c r="X3562" s="19"/>
      <c r="Y3562" s="20"/>
    </row>
    <row r="3563" spans="24:25">
      <c r="X3563" s="19"/>
      <c r="Y3563" s="20"/>
    </row>
    <row r="3564" spans="24:25">
      <c r="X3564" s="19"/>
      <c r="Y3564" s="20"/>
    </row>
    <row r="3565" spans="24:25">
      <c r="X3565" s="19"/>
      <c r="Y3565" s="20"/>
    </row>
    <row r="3566" spans="24:25">
      <c r="X3566" s="19"/>
      <c r="Y3566" s="20"/>
    </row>
    <row r="3567" spans="24:25">
      <c r="X3567" s="19"/>
      <c r="Y3567" s="20"/>
    </row>
    <row r="3568" spans="24:25">
      <c r="X3568" s="19"/>
      <c r="Y3568" s="20"/>
    </row>
    <row r="3569" spans="24:25">
      <c r="X3569" s="19"/>
      <c r="Y3569" s="20"/>
    </row>
    <row r="3570" spans="24:25">
      <c r="X3570" s="19"/>
      <c r="Y3570" s="20"/>
    </row>
    <row r="3571" spans="24:25">
      <c r="X3571" s="19"/>
      <c r="Y3571" s="20"/>
    </row>
    <row r="3572" spans="24:25">
      <c r="X3572" s="19"/>
      <c r="Y3572" s="20"/>
    </row>
    <row r="3573" spans="24:25">
      <c r="X3573" s="19"/>
      <c r="Y3573" s="20"/>
    </row>
    <row r="3574" spans="24:25">
      <c r="X3574" s="19"/>
      <c r="Y3574" s="20"/>
    </row>
    <row r="3575" spans="24:25">
      <c r="X3575" s="19"/>
      <c r="Y3575" s="20"/>
    </row>
    <row r="3576" spans="24:25">
      <c r="X3576" s="19"/>
      <c r="Y3576" s="20"/>
    </row>
    <row r="3577" spans="24:25">
      <c r="X3577" s="19"/>
      <c r="Y3577" s="20"/>
    </row>
    <row r="3578" spans="24:25">
      <c r="X3578" s="19"/>
      <c r="Y3578" s="20"/>
    </row>
    <row r="3579" spans="24:25">
      <c r="X3579" s="19"/>
      <c r="Y3579" s="20"/>
    </row>
    <row r="3580" spans="24:25">
      <c r="X3580" s="19"/>
      <c r="Y3580" s="20"/>
    </row>
    <row r="3581" spans="24:25">
      <c r="X3581" s="19"/>
      <c r="Y3581" s="20"/>
    </row>
    <row r="3582" spans="24:25">
      <c r="X3582" s="19"/>
      <c r="Y3582" s="20"/>
    </row>
    <row r="3583" spans="24:25">
      <c r="X3583" s="19"/>
      <c r="Y3583" s="20"/>
    </row>
    <row r="3584" spans="24:25">
      <c r="X3584" s="19"/>
      <c r="Y3584" s="20"/>
    </row>
    <row r="3585" spans="24:25">
      <c r="X3585" s="19"/>
      <c r="Y3585" s="20"/>
    </row>
    <row r="3586" spans="24:25">
      <c r="X3586" s="19"/>
      <c r="Y3586" s="20"/>
    </row>
    <row r="3587" spans="24:25">
      <c r="X3587" s="19"/>
      <c r="Y3587" s="20"/>
    </row>
    <row r="3588" spans="24:25">
      <c r="X3588" s="19"/>
      <c r="Y3588" s="20"/>
    </row>
    <row r="3589" spans="24:25">
      <c r="X3589" s="19"/>
      <c r="Y3589" s="20"/>
    </row>
    <row r="3590" spans="24:25">
      <c r="X3590" s="19"/>
      <c r="Y3590" s="20"/>
    </row>
    <row r="3591" spans="24:25">
      <c r="X3591" s="19"/>
      <c r="Y3591" s="20"/>
    </row>
    <row r="3592" spans="24:25">
      <c r="X3592" s="19"/>
      <c r="Y3592" s="20"/>
    </row>
    <row r="3593" spans="24:25">
      <c r="X3593" s="19"/>
      <c r="Y3593" s="20"/>
    </row>
    <row r="3594" spans="24:25">
      <c r="X3594" s="19"/>
      <c r="Y3594" s="20"/>
    </row>
    <row r="3595" spans="24:25">
      <c r="X3595" s="19"/>
      <c r="Y3595" s="20"/>
    </row>
    <row r="3596" spans="24:25">
      <c r="X3596" s="19"/>
      <c r="Y3596" s="20"/>
    </row>
    <row r="3597" spans="24:25">
      <c r="X3597" s="19"/>
      <c r="Y3597" s="20"/>
    </row>
    <row r="3598" spans="24:25">
      <c r="X3598" s="19"/>
      <c r="Y3598" s="20"/>
    </row>
    <row r="3599" spans="24:25">
      <c r="X3599" s="19"/>
      <c r="Y3599" s="20"/>
    </row>
    <row r="3600" spans="24:25">
      <c r="X3600" s="19"/>
      <c r="Y3600" s="20"/>
    </row>
    <row r="3601" spans="24:25">
      <c r="X3601" s="19"/>
      <c r="Y3601" s="20"/>
    </row>
    <row r="3602" spans="24:25">
      <c r="X3602" s="19"/>
      <c r="Y3602" s="20"/>
    </row>
    <row r="3603" spans="24:25">
      <c r="X3603" s="19"/>
      <c r="Y3603" s="20"/>
    </row>
    <row r="3604" spans="24:25">
      <c r="X3604" s="19"/>
      <c r="Y3604" s="20"/>
    </row>
    <row r="3605" spans="24:25">
      <c r="X3605" s="19"/>
      <c r="Y3605" s="20"/>
    </row>
    <row r="3606" spans="24:25">
      <c r="X3606" s="19"/>
      <c r="Y3606" s="20"/>
    </row>
    <row r="3607" spans="24:25">
      <c r="X3607" s="19"/>
      <c r="Y3607" s="20"/>
    </row>
    <row r="3608" spans="24:25">
      <c r="X3608" s="19"/>
      <c r="Y3608" s="20"/>
    </row>
    <row r="3609" spans="24:25">
      <c r="X3609" s="19"/>
      <c r="Y3609" s="20"/>
    </row>
    <row r="3610" spans="24:25">
      <c r="X3610" s="19"/>
      <c r="Y3610" s="20"/>
    </row>
    <row r="3611" spans="24:25">
      <c r="X3611" s="19"/>
      <c r="Y3611" s="20"/>
    </row>
    <row r="3612" spans="24:25">
      <c r="X3612" s="19"/>
      <c r="Y3612" s="20"/>
    </row>
    <row r="3613" spans="24:25">
      <c r="X3613" s="19"/>
      <c r="Y3613" s="20"/>
    </row>
    <row r="3614" spans="24:25">
      <c r="X3614" s="19"/>
      <c r="Y3614" s="20"/>
    </row>
    <row r="3615" spans="24:25">
      <c r="X3615" s="19"/>
      <c r="Y3615" s="20"/>
    </row>
    <row r="3616" spans="24:25">
      <c r="X3616" s="19"/>
      <c r="Y3616" s="20"/>
    </row>
    <row r="3617" spans="24:25">
      <c r="X3617" s="19"/>
      <c r="Y3617" s="20"/>
    </row>
    <row r="3618" spans="24:25">
      <c r="X3618" s="19"/>
      <c r="Y3618" s="20"/>
    </row>
    <row r="3619" spans="24:25">
      <c r="X3619" s="19"/>
      <c r="Y3619" s="20"/>
    </row>
    <row r="3620" spans="24:25">
      <c r="X3620" s="19"/>
      <c r="Y3620" s="20"/>
    </row>
    <row r="3621" spans="24:25">
      <c r="X3621" s="19"/>
      <c r="Y3621" s="20"/>
    </row>
    <row r="3622" spans="24:25">
      <c r="X3622" s="19"/>
      <c r="Y3622" s="20"/>
    </row>
    <row r="3623" spans="24:25">
      <c r="X3623" s="19"/>
      <c r="Y3623" s="20"/>
    </row>
    <row r="3624" spans="24:25">
      <c r="X3624" s="19"/>
      <c r="Y3624" s="20"/>
    </row>
    <row r="3625" spans="24:25">
      <c r="X3625" s="19"/>
      <c r="Y3625" s="20"/>
    </row>
    <row r="3626" spans="24:25">
      <c r="X3626" s="19"/>
      <c r="Y3626" s="20"/>
    </row>
    <row r="3627" spans="24:25">
      <c r="X3627" s="19"/>
      <c r="Y3627" s="20"/>
    </row>
    <row r="3628" spans="24:25">
      <c r="X3628" s="19"/>
      <c r="Y3628" s="20"/>
    </row>
    <row r="3629" spans="24:25">
      <c r="X3629" s="19"/>
      <c r="Y3629" s="20"/>
    </row>
    <row r="3630" spans="24:25">
      <c r="X3630" s="19"/>
      <c r="Y3630" s="20"/>
    </row>
    <row r="3631" spans="24:25">
      <c r="X3631" s="19"/>
      <c r="Y3631" s="20"/>
    </row>
    <row r="3632" spans="24:25">
      <c r="X3632" s="19"/>
      <c r="Y3632" s="20"/>
    </row>
    <row r="3633" spans="24:25">
      <c r="X3633" s="19"/>
      <c r="Y3633" s="20"/>
    </row>
    <row r="3634" spans="24:25">
      <c r="X3634" s="19"/>
      <c r="Y3634" s="20"/>
    </row>
    <row r="3635" spans="24:25">
      <c r="X3635" s="19"/>
      <c r="Y3635" s="20"/>
    </row>
    <row r="3636" spans="24:25">
      <c r="X3636" s="19"/>
      <c r="Y3636" s="20"/>
    </row>
    <row r="3637" spans="24:25">
      <c r="X3637" s="19"/>
      <c r="Y3637" s="20"/>
    </row>
    <row r="3638" spans="24:25">
      <c r="X3638" s="19"/>
      <c r="Y3638" s="20"/>
    </row>
    <row r="3639" spans="24:25">
      <c r="X3639" s="19"/>
      <c r="Y3639" s="20"/>
    </row>
    <row r="3640" spans="24:25">
      <c r="X3640" s="19"/>
      <c r="Y3640" s="20"/>
    </row>
    <row r="3641" spans="24:25">
      <c r="X3641" s="19"/>
      <c r="Y3641" s="20"/>
    </row>
    <row r="3642" spans="24:25">
      <c r="X3642" s="19"/>
      <c r="Y3642" s="20"/>
    </row>
    <row r="3643" spans="24:25">
      <c r="X3643" s="19"/>
      <c r="Y3643" s="20"/>
    </row>
    <row r="3644" spans="24:25">
      <c r="X3644" s="19"/>
      <c r="Y3644" s="20"/>
    </row>
    <row r="3645" spans="24:25">
      <c r="X3645" s="19"/>
      <c r="Y3645" s="20"/>
    </row>
    <row r="3646" spans="24:25">
      <c r="X3646" s="19"/>
      <c r="Y3646" s="20"/>
    </row>
    <row r="3647" spans="24:25">
      <c r="X3647" s="19"/>
      <c r="Y3647" s="20"/>
    </row>
    <row r="3648" spans="24:25">
      <c r="X3648" s="19"/>
      <c r="Y3648" s="20"/>
    </row>
    <row r="3649" spans="24:25">
      <c r="X3649" s="19"/>
      <c r="Y3649" s="20"/>
    </row>
    <row r="3650" spans="24:25">
      <c r="X3650" s="19"/>
      <c r="Y3650" s="20"/>
    </row>
    <row r="3651" spans="24:25">
      <c r="X3651" s="19"/>
      <c r="Y3651" s="20"/>
    </row>
    <row r="3652" spans="24:25">
      <c r="X3652" s="19"/>
      <c r="Y3652" s="20"/>
    </row>
    <row r="3653" spans="24:25">
      <c r="X3653" s="19"/>
      <c r="Y3653" s="20"/>
    </row>
    <row r="3654" spans="24:25">
      <c r="X3654" s="19"/>
      <c r="Y3654" s="20"/>
    </row>
    <row r="3655" spans="24:25">
      <c r="X3655" s="19"/>
      <c r="Y3655" s="20"/>
    </row>
    <row r="3656" spans="24:25">
      <c r="X3656" s="19"/>
      <c r="Y3656" s="20"/>
    </row>
    <row r="3657" spans="24:25">
      <c r="X3657" s="19"/>
      <c r="Y3657" s="20"/>
    </row>
    <row r="3658" spans="24:25">
      <c r="X3658" s="19"/>
      <c r="Y3658" s="20"/>
    </row>
    <row r="3659" spans="24:25">
      <c r="X3659" s="19"/>
      <c r="Y3659" s="20"/>
    </row>
    <row r="3660" spans="24:25">
      <c r="X3660" s="19"/>
      <c r="Y3660" s="20"/>
    </row>
    <row r="3661" spans="24:25">
      <c r="X3661" s="19"/>
      <c r="Y3661" s="20"/>
    </row>
    <row r="3662" spans="24:25">
      <c r="X3662" s="19"/>
      <c r="Y3662" s="20"/>
    </row>
    <row r="3663" spans="24:25">
      <c r="X3663" s="19"/>
      <c r="Y3663" s="20"/>
    </row>
    <row r="3664" spans="24:25">
      <c r="X3664" s="19"/>
      <c r="Y3664" s="20"/>
    </row>
    <row r="3665" spans="24:25">
      <c r="X3665" s="19"/>
      <c r="Y3665" s="20"/>
    </row>
    <row r="3666" spans="24:25">
      <c r="X3666" s="19"/>
      <c r="Y3666" s="20"/>
    </row>
    <row r="3667" spans="24:25">
      <c r="X3667" s="19"/>
      <c r="Y3667" s="20"/>
    </row>
    <row r="3668" spans="24:25">
      <c r="X3668" s="19"/>
      <c r="Y3668" s="20"/>
    </row>
    <row r="3669" spans="24:25">
      <c r="X3669" s="19"/>
      <c r="Y3669" s="20"/>
    </row>
    <row r="3670" spans="24:25">
      <c r="X3670" s="19"/>
      <c r="Y3670" s="20"/>
    </row>
    <row r="3671" spans="24:25">
      <c r="X3671" s="19"/>
      <c r="Y3671" s="20"/>
    </row>
    <row r="3672" spans="24:25">
      <c r="X3672" s="19"/>
      <c r="Y3672" s="20"/>
    </row>
    <row r="3673" spans="24:25">
      <c r="X3673" s="19"/>
      <c r="Y3673" s="20"/>
    </row>
    <row r="3674" spans="24:25">
      <c r="X3674" s="19"/>
      <c r="Y3674" s="20"/>
    </row>
    <row r="3675" spans="24:25">
      <c r="X3675" s="19"/>
      <c r="Y3675" s="20"/>
    </row>
    <row r="3676" spans="24:25">
      <c r="X3676" s="19"/>
      <c r="Y3676" s="20"/>
    </row>
    <row r="3677" spans="24:25">
      <c r="X3677" s="19"/>
      <c r="Y3677" s="20"/>
    </row>
    <row r="3678" spans="24:25">
      <c r="X3678" s="19"/>
      <c r="Y3678" s="20"/>
    </row>
    <row r="3679" spans="24:25">
      <c r="X3679" s="19"/>
      <c r="Y3679" s="20"/>
    </row>
    <row r="3680" spans="24:25">
      <c r="X3680" s="19"/>
      <c r="Y3680" s="20"/>
    </row>
    <row r="3681" spans="24:25">
      <c r="X3681" s="19"/>
      <c r="Y3681" s="20"/>
    </row>
    <row r="3682" spans="24:25">
      <c r="X3682" s="19"/>
      <c r="Y3682" s="20"/>
    </row>
    <row r="3683" spans="24:25">
      <c r="X3683" s="19"/>
      <c r="Y3683" s="20"/>
    </row>
    <row r="3684" spans="24:25">
      <c r="X3684" s="19"/>
      <c r="Y3684" s="20"/>
    </row>
    <row r="3685" spans="24:25">
      <c r="X3685" s="19"/>
      <c r="Y3685" s="20"/>
    </row>
    <row r="3686" spans="24:25">
      <c r="X3686" s="19"/>
      <c r="Y3686" s="20"/>
    </row>
    <row r="3687" spans="24:25">
      <c r="X3687" s="19"/>
      <c r="Y3687" s="20"/>
    </row>
    <row r="3688" spans="24:25">
      <c r="X3688" s="19"/>
      <c r="Y3688" s="20"/>
    </row>
    <row r="3689" spans="24:25">
      <c r="X3689" s="19"/>
      <c r="Y3689" s="20"/>
    </row>
    <row r="3690" spans="24:25">
      <c r="X3690" s="19"/>
      <c r="Y3690" s="20"/>
    </row>
    <row r="3691" spans="24:25">
      <c r="X3691" s="19"/>
      <c r="Y3691" s="20"/>
    </row>
    <row r="3692" spans="24:25">
      <c r="X3692" s="19"/>
      <c r="Y3692" s="20"/>
    </row>
    <row r="3693" spans="24:25">
      <c r="X3693" s="19"/>
      <c r="Y3693" s="20"/>
    </row>
    <row r="3694" spans="24:25">
      <c r="X3694" s="19"/>
      <c r="Y3694" s="20"/>
    </row>
    <row r="3695" spans="24:25">
      <c r="X3695" s="19"/>
      <c r="Y3695" s="20"/>
    </row>
    <row r="3696" spans="24:25">
      <c r="X3696" s="19"/>
      <c r="Y3696" s="20"/>
    </row>
    <row r="3697" spans="24:25">
      <c r="X3697" s="19"/>
      <c r="Y3697" s="20"/>
    </row>
    <row r="3698" spans="24:25">
      <c r="X3698" s="19"/>
      <c r="Y3698" s="20"/>
    </row>
    <row r="3699" spans="24:25">
      <c r="X3699" s="19"/>
      <c r="Y3699" s="20"/>
    </row>
    <row r="3700" spans="24:25">
      <c r="X3700" s="19"/>
      <c r="Y3700" s="20"/>
    </row>
    <row r="3701" spans="24:25">
      <c r="X3701" s="19"/>
      <c r="Y3701" s="20"/>
    </row>
    <row r="3702" spans="24:25">
      <c r="X3702" s="19"/>
      <c r="Y3702" s="20"/>
    </row>
    <row r="3703" spans="24:25">
      <c r="X3703" s="19"/>
      <c r="Y3703" s="20"/>
    </row>
    <row r="3704" spans="24:25">
      <c r="X3704" s="19"/>
      <c r="Y3704" s="20"/>
    </row>
    <row r="3705" spans="24:25">
      <c r="X3705" s="19"/>
      <c r="Y3705" s="20"/>
    </row>
    <row r="3706" spans="24:25">
      <c r="X3706" s="19"/>
      <c r="Y3706" s="20"/>
    </row>
    <row r="3707" spans="24:25">
      <c r="X3707" s="19"/>
      <c r="Y3707" s="20"/>
    </row>
    <row r="3708" spans="24:25">
      <c r="X3708" s="19"/>
      <c r="Y3708" s="20"/>
    </row>
    <row r="3709" spans="24:25">
      <c r="X3709" s="19"/>
      <c r="Y3709" s="20"/>
    </row>
    <row r="3710" spans="24:25">
      <c r="X3710" s="19"/>
      <c r="Y3710" s="20"/>
    </row>
    <row r="3711" spans="24:25">
      <c r="X3711" s="19"/>
      <c r="Y3711" s="20"/>
    </row>
    <row r="3712" spans="24:25">
      <c r="X3712" s="19"/>
      <c r="Y3712" s="20"/>
    </row>
    <row r="3713" spans="24:25">
      <c r="X3713" s="19"/>
      <c r="Y3713" s="20"/>
    </row>
    <row r="3714" spans="24:25">
      <c r="X3714" s="19"/>
      <c r="Y3714" s="20"/>
    </row>
    <row r="3715" spans="24:25">
      <c r="X3715" s="19"/>
      <c r="Y3715" s="20"/>
    </row>
    <row r="3716" spans="24:25">
      <c r="X3716" s="19"/>
      <c r="Y3716" s="20"/>
    </row>
    <row r="3717" spans="24:25">
      <c r="X3717" s="19"/>
      <c r="Y3717" s="20"/>
    </row>
    <row r="3718" spans="24:25">
      <c r="X3718" s="19"/>
      <c r="Y3718" s="20"/>
    </row>
    <row r="3719" spans="24:25">
      <c r="X3719" s="19"/>
      <c r="Y3719" s="20"/>
    </row>
    <row r="3720" spans="24:25">
      <c r="X3720" s="19"/>
      <c r="Y3720" s="20"/>
    </row>
    <row r="3721" spans="24:25">
      <c r="X3721" s="19"/>
      <c r="Y3721" s="20"/>
    </row>
    <row r="3722" spans="24:25">
      <c r="X3722" s="19"/>
      <c r="Y3722" s="20"/>
    </row>
    <row r="3723" spans="24:25">
      <c r="X3723" s="19"/>
      <c r="Y3723" s="20"/>
    </row>
    <row r="3724" spans="24:25">
      <c r="X3724" s="19"/>
      <c r="Y3724" s="20"/>
    </row>
    <row r="3725" spans="24:25">
      <c r="X3725" s="19"/>
      <c r="Y3725" s="20"/>
    </row>
    <row r="3726" spans="24:25">
      <c r="X3726" s="19"/>
      <c r="Y3726" s="20"/>
    </row>
    <row r="3727" spans="24:25">
      <c r="X3727" s="19"/>
      <c r="Y3727" s="20"/>
    </row>
    <row r="3728" spans="24:25">
      <c r="X3728" s="19"/>
      <c r="Y3728" s="20"/>
    </row>
    <row r="3729" spans="24:25">
      <c r="X3729" s="19"/>
      <c r="Y3729" s="20"/>
    </row>
    <row r="3730" spans="24:25">
      <c r="X3730" s="19"/>
      <c r="Y3730" s="20"/>
    </row>
    <row r="3731" spans="24:25">
      <c r="X3731" s="19"/>
      <c r="Y3731" s="20"/>
    </row>
    <row r="3732" spans="24:25">
      <c r="X3732" s="19"/>
      <c r="Y3732" s="20"/>
    </row>
    <row r="3733" spans="24:25">
      <c r="X3733" s="19"/>
      <c r="Y3733" s="20"/>
    </row>
    <row r="3734" spans="24:25">
      <c r="X3734" s="19"/>
      <c r="Y3734" s="20"/>
    </row>
    <row r="3735" spans="24:25">
      <c r="X3735" s="19"/>
      <c r="Y3735" s="20"/>
    </row>
    <row r="3736" spans="24:25">
      <c r="X3736" s="19"/>
      <c r="Y3736" s="20"/>
    </row>
    <row r="3737" spans="24:25">
      <c r="X3737" s="19"/>
      <c r="Y3737" s="20"/>
    </row>
    <row r="3738" spans="24:25">
      <c r="X3738" s="19"/>
      <c r="Y3738" s="20"/>
    </row>
    <row r="3739" spans="24:25">
      <c r="X3739" s="19"/>
      <c r="Y3739" s="20"/>
    </row>
    <row r="3740" spans="24:25">
      <c r="X3740" s="19"/>
      <c r="Y3740" s="20"/>
    </row>
    <row r="3741" spans="24:25">
      <c r="X3741" s="19"/>
      <c r="Y3741" s="20"/>
    </row>
    <row r="3742" spans="24:25">
      <c r="X3742" s="19"/>
      <c r="Y3742" s="20"/>
    </row>
    <row r="3743" spans="24:25">
      <c r="X3743" s="19"/>
      <c r="Y3743" s="20"/>
    </row>
    <row r="3744" spans="24:25">
      <c r="X3744" s="19"/>
      <c r="Y3744" s="20"/>
    </row>
    <row r="3745" spans="24:25">
      <c r="X3745" s="19"/>
      <c r="Y3745" s="20"/>
    </row>
    <row r="3746" spans="24:25">
      <c r="X3746" s="19"/>
      <c r="Y3746" s="20"/>
    </row>
    <row r="3747" spans="24:25">
      <c r="X3747" s="19"/>
      <c r="Y3747" s="20"/>
    </row>
    <row r="3748" spans="24:25">
      <c r="X3748" s="19"/>
      <c r="Y3748" s="20"/>
    </row>
    <row r="3749" spans="24:25">
      <c r="X3749" s="19"/>
      <c r="Y3749" s="20"/>
    </row>
    <row r="3750" spans="24:25">
      <c r="X3750" s="19"/>
      <c r="Y3750" s="20"/>
    </row>
    <row r="3751" spans="24:25">
      <c r="X3751" s="19"/>
      <c r="Y3751" s="20"/>
    </row>
    <row r="3752" spans="24:25">
      <c r="X3752" s="19"/>
      <c r="Y3752" s="20"/>
    </row>
    <row r="3753" spans="24:25">
      <c r="X3753" s="19"/>
      <c r="Y3753" s="20"/>
    </row>
    <row r="3754" spans="24:25">
      <c r="X3754" s="19"/>
      <c r="Y3754" s="20"/>
    </row>
    <row r="3755" spans="24:25">
      <c r="X3755" s="19"/>
      <c r="Y3755" s="20"/>
    </row>
    <row r="3756" spans="24:25">
      <c r="X3756" s="19"/>
      <c r="Y3756" s="20"/>
    </row>
    <row r="3757" spans="24:25">
      <c r="X3757" s="19"/>
      <c r="Y3757" s="20"/>
    </row>
    <row r="3758" spans="24:25">
      <c r="X3758" s="19"/>
      <c r="Y3758" s="20"/>
    </row>
    <row r="3759" spans="24:25">
      <c r="X3759" s="19"/>
      <c r="Y3759" s="20"/>
    </row>
    <row r="3760" spans="24:25">
      <c r="X3760" s="19"/>
      <c r="Y3760" s="20"/>
    </row>
    <row r="3761" spans="24:25">
      <c r="X3761" s="19"/>
      <c r="Y3761" s="20"/>
    </row>
    <row r="3762" spans="24:25">
      <c r="X3762" s="19"/>
      <c r="Y3762" s="20"/>
    </row>
    <row r="3763" spans="24:25">
      <c r="X3763" s="19"/>
      <c r="Y3763" s="20"/>
    </row>
    <row r="3764" spans="24:25">
      <c r="X3764" s="19"/>
      <c r="Y3764" s="20"/>
    </row>
    <row r="3765" spans="24:25">
      <c r="X3765" s="19"/>
      <c r="Y3765" s="20"/>
    </row>
    <row r="3766" spans="24:25">
      <c r="X3766" s="19"/>
      <c r="Y3766" s="20"/>
    </row>
    <row r="3767" spans="24:25">
      <c r="X3767" s="19"/>
      <c r="Y3767" s="20"/>
    </row>
    <row r="3768" spans="24:25">
      <c r="X3768" s="19"/>
      <c r="Y3768" s="20"/>
    </row>
    <row r="3769" spans="24:25">
      <c r="X3769" s="19"/>
      <c r="Y3769" s="20"/>
    </row>
    <row r="3770" spans="24:25">
      <c r="X3770" s="19"/>
      <c r="Y3770" s="20"/>
    </row>
    <row r="3771" spans="24:25">
      <c r="X3771" s="19"/>
      <c r="Y3771" s="20"/>
    </row>
    <row r="3772" spans="24:25">
      <c r="X3772" s="19"/>
      <c r="Y3772" s="20"/>
    </row>
    <row r="3773" spans="24:25">
      <c r="X3773" s="19"/>
      <c r="Y3773" s="20"/>
    </row>
    <row r="3774" spans="24:25">
      <c r="X3774" s="19"/>
      <c r="Y3774" s="20"/>
    </row>
    <row r="3775" spans="24:25">
      <c r="X3775" s="19"/>
      <c r="Y3775" s="20"/>
    </row>
    <row r="3776" spans="24:25">
      <c r="X3776" s="19"/>
      <c r="Y3776" s="20"/>
    </row>
    <row r="3777" spans="24:25">
      <c r="X3777" s="19"/>
      <c r="Y3777" s="20"/>
    </row>
    <row r="3778" spans="24:25">
      <c r="X3778" s="19"/>
      <c r="Y3778" s="20"/>
    </row>
    <row r="3779" spans="24:25">
      <c r="X3779" s="19"/>
      <c r="Y3779" s="20"/>
    </row>
    <row r="3780" spans="24:25">
      <c r="X3780" s="19"/>
      <c r="Y3780" s="20"/>
    </row>
    <row r="3781" spans="24:25">
      <c r="X3781" s="19"/>
      <c r="Y3781" s="20"/>
    </row>
    <row r="3782" spans="24:25">
      <c r="X3782" s="19"/>
      <c r="Y3782" s="20"/>
    </row>
    <row r="3783" spans="24:25">
      <c r="X3783" s="19"/>
      <c r="Y3783" s="20"/>
    </row>
    <row r="3784" spans="24:25">
      <c r="X3784" s="19"/>
      <c r="Y3784" s="20"/>
    </row>
    <row r="3785" spans="24:25">
      <c r="X3785" s="19"/>
      <c r="Y3785" s="20"/>
    </row>
    <row r="3786" spans="24:25">
      <c r="X3786" s="19"/>
      <c r="Y3786" s="20"/>
    </row>
    <row r="3787" spans="24:25">
      <c r="X3787" s="19"/>
      <c r="Y3787" s="20"/>
    </row>
    <row r="3788" spans="24:25">
      <c r="X3788" s="19"/>
      <c r="Y3788" s="20"/>
    </row>
    <row r="3789" spans="24:25">
      <c r="X3789" s="19"/>
      <c r="Y3789" s="20"/>
    </row>
    <row r="3790" spans="24:25">
      <c r="X3790" s="19"/>
      <c r="Y3790" s="20"/>
    </row>
    <row r="3791" spans="24:25">
      <c r="X3791" s="19"/>
      <c r="Y3791" s="20"/>
    </row>
    <row r="3792" spans="24:25">
      <c r="X3792" s="19"/>
      <c r="Y3792" s="20"/>
    </row>
    <row r="3793" spans="24:25">
      <c r="X3793" s="19"/>
      <c r="Y3793" s="20"/>
    </row>
    <row r="3794" spans="24:25">
      <c r="X3794" s="19"/>
      <c r="Y3794" s="20"/>
    </row>
    <row r="3795" spans="24:25">
      <c r="X3795" s="19"/>
      <c r="Y3795" s="20"/>
    </row>
    <row r="3796" spans="24:25">
      <c r="X3796" s="19"/>
      <c r="Y3796" s="20"/>
    </row>
    <row r="3797" spans="24:25">
      <c r="X3797" s="19"/>
      <c r="Y3797" s="20"/>
    </row>
    <row r="3798" spans="24:25">
      <c r="X3798" s="19"/>
      <c r="Y3798" s="20"/>
    </row>
    <row r="3799" spans="24:25">
      <c r="X3799" s="19"/>
      <c r="Y3799" s="20"/>
    </row>
    <row r="3800" spans="24:25">
      <c r="X3800" s="19"/>
      <c r="Y3800" s="20"/>
    </row>
    <row r="3801" spans="24:25">
      <c r="X3801" s="19"/>
      <c r="Y3801" s="20"/>
    </row>
    <row r="3802" spans="24:25">
      <c r="X3802" s="19"/>
      <c r="Y3802" s="20"/>
    </row>
    <row r="3803" spans="24:25">
      <c r="X3803" s="19"/>
      <c r="Y3803" s="20"/>
    </row>
    <row r="3804" spans="24:25">
      <c r="X3804" s="19"/>
      <c r="Y3804" s="20"/>
    </row>
    <row r="3805" spans="24:25">
      <c r="X3805" s="19"/>
      <c r="Y3805" s="20"/>
    </row>
    <row r="3806" spans="24:25">
      <c r="X3806" s="19"/>
      <c r="Y3806" s="20"/>
    </row>
    <row r="3807" spans="24:25">
      <c r="X3807" s="19"/>
      <c r="Y3807" s="20"/>
    </row>
    <row r="3808" spans="24:25">
      <c r="X3808" s="19"/>
      <c r="Y3808" s="20"/>
    </row>
    <row r="3809" spans="24:25">
      <c r="X3809" s="19"/>
      <c r="Y3809" s="20"/>
    </row>
    <row r="3810" spans="24:25">
      <c r="X3810" s="19"/>
      <c r="Y3810" s="20"/>
    </row>
    <row r="3811" spans="24:25">
      <c r="X3811" s="19"/>
      <c r="Y3811" s="20"/>
    </row>
    <row r="3812" spans="24:25">
      <c r="X3812" s="19"/>
      <c r="Y3812" s="20"/>
    </row>
    <row r="3813" spans="24:25">
      <c r="X3813" s="19"/>
      <c r="Y3813" s="20"/>
    </row>
    <row r="3814" spans="24:25">
      <c r="X3814" s="19"/>
      <c r="Y3814" s="20"/>
    </row>
    <row r="3815" spans="24:25">
      <c r="X3815" s="19"/>
      <c r="Y3815" s="20"/>
    </row>
    <row r="3816" spans="24:25">
      <c r="X3816" s="19"/>
      <c r="Y3816" s="20"/>
    </row>
    <row r="3817" spans="24:25">
      <c r="X3817" s="19"/>
      <c r="Y3817" s="20"/>
    </row>
    <row r="3818" spans="24:25">
      <c r="X3818" s="19"/>
      <c r="Y3818" s="20"/>
    </row>
    <row r="3819" spans="24:25">
      <c r="X3819" s="19"/>
      <c r="Y3819" s="20"/>
    </row>
    <row r="3820" spans="24:25">
      <c r="X3820" s="19"/>
      <c r="Y3820" s="20"/>
    </row>
    <row r="3821" spans="24:25">
      <c r="X3821" s="19"/>
      <c r="Y3821" s="20"/>
    </row>
    <row r="3822" spans="24:25">
      <c r="X3822" s="19"/>
      <c r="Y3822" s="20"/>
    </row>
    <row r="3823" spans="24:25">
      <c r="X3823" s="19"/>
      <c r="Y3823" s="20"/>
    </row>
    <row r="3824" spans="24:25">
      <c r="X3824" s="19"/>
      <c r="Y3824" s="20"/>
    </row>
    <row r="3825" spans="24:25">
      <c r="X3825" s="19"/>
      <c r="Y3825" s="20"/>
    </row>
    <row r="3826" spans="24:25">
      <c r="X3826" s="19"/>
      <c r="Y3826" s="20"/>
    </row>
    <row r="3827" spans="24:25">
      <c r="X3827" s="19"/>
      <c r="Y3827" s="20"/>
    </row>
    <row r="3828" spans="24:25">
      <c r="X3828" s="19"/>
      <c r="Y3828" s="20"/>
    </row>
    <row r="3829" spans="24:25">
      <c r="X3829" s="19"/>
      <c r="Y3829" s="20"/>
    </row>
    <row r="3830" spans="24:25">
      <c r="X3830" s="19"/>
      <c r="Y3830" s="20"/>
    </row>
    <row r="3831" spans="24:25">
      <c r="X3831" s="19"/>
      <c r="Y3831" s="20"/>
    </row>
    <row r="3832" spans="24:25">
      <c r="X3832" s="19"/>
      <c r="Y3832" s="20"/>
    </row>
    <row r="3833" spans="24:25">
      <c r="X3833" s="19"/>
      <c r="Y3833" s="20"/>
    </row>
    <row r="3834" spans="24:25">
      <c r="X3834" s="19"/>
      <c r="Y3834" s="20"/>
    </row>
    <row r="3835" spans="24:25">
      <c r="X3835" s="19"/>
      <c r="Y3835" s="20"/>
    </row>
    <row r="3836" spans="24:25">
      <c r="X3836" s="19"/>
      <c r="Y3836" s="20"/>
    </row>
    <row r="3837" spans="24:25">
      <c r="X3837" s="19"/>
      <c r="Y3837" s="20"/>
    </row>
    <row r="3838" spans="24:25">
      <c r="X3838" s="19"/>
      <c r="Y3838" s="20"/>
    </row>
    <row r="3839" spans="24:25">
      <c r="X3839" s="19"/>
      <c r="Y3839" s="20"/>
    </row>
    <row r="3840" spans="24:25">
      <c r="X3840" s="19"/>
      <c r="Y3840" s="20"/>
    </row>
    <row r="3841" spans="24:25">
      <c r="X3841" s="19"/>
      <c r="Y3841" s="20"/>
    </row>
    <row r="3842" spans="24:25">
      <c r="X3842" s="19"/>
      <c r="Y3842" s="20"/>
    </row>
    <row r="3843" spans="24:25">
      <c r="X3843" s="19"/>
      <c r="Y3843" s="20"/>
    </row>
    <row r="3844" spans="24:25">
      <c r="X3844" s="19"/>
      <c r="Y3844" s="20"/>
    </row>
    <row r="3845" spans="24:25">
      <c r="X3845" s="19"/>
      <c r="Y3845" s="20"/>
    </row>
    <row r="3846" spans="24:25">
      <c r="X3846" s="19"/>
      <c r="Y3846" s="20"/>
    </row>
    <row r="3847" spans="24:25">
      <c r="X3847" s="19"/>
      <c r="Y3847" s="20"/>
    </row>
    <row r="3848" spans="24:25">
      <c r="X3848" s="19"/>
      <c r="Y3848" s="20"/>
    </row>
    <row r="3849" spans="24:25">
      <c r="X3849" s="19"/>
      <c r="Y3849" s="20"/>
    </row>
    <row r="3850" spans="24:25">
      <c r="X3850" s="19"/>
      <c r="Y3850" s="20"/>
    </row>
    <row r="3851" spans="24:25">
      <c r="X3851" s="19"/>
      <c r="Y3851" s="20"/>
    </row>
    <row r="3852" spans="24:25">
      <c r="X3852" s="19"/>
      <c r="Y3852" s="20"/>
    </row>
    <row r="3853" spans="24:25">
      <c r="X3853" s="19"/>
      <c r="Y3853" s="20"/>
    </row>
    <row r="3854" spans="24:25">
      <c r="X3854" s="19"/>
      <c r="Y3854" s="20"/>
    </row>
    <row r="3855" spans="24:25">
      <c r="X3855" s="19"/>
      <c r="Y3855" s="20"/>
    </row>
    <row r="3856" spans="24:25">
      <c r="X3856" s="19"/>
      <c r="Y3856" s="20"/>
    </row>
    <row r="3857" spans="24:25">
      <c r="X3857" s="19"/>
      <c r="Y3857" s="20"/>
    </row>
    <row r="3858" spans="24:25">
      <c r="X3858" s="19"/>
      <c r="Y3858" s="20"/>
    </row>
    <row r="3859" spans="24:25">
      <c r="X3859" s="19"/>
      <c r="Y3859" s="20"/>
    </row>
    <row r="3860" spans="24:25">
      <c r="X3860" s="19"/>
      <c r="Y3860" s="20"/>
    </row>
    <row r="3861" spans="24:25">
      <c r="X3861" s="19"/>
      <c r="Y3861" s="20"/>
    </row>
    <row r="3862" spans="24:25">
      <c r="X3862" s="19"/>
      <c r="Y3862" s="20"/>
    </row>
    <row r="3863" spans="24:25">
      <c r="X3863" s="19"/>
      <c r="Y3863" s="20"/>
    </row>
    <row r="3864" spans="24:25">
      <c r="X3864" s="19"/>
      <c r="Y3864" s="20"/>
    </row>
    <row r="3865" spans="24:25">
      <c r="X3865" s="19"/>
      <c r="Y3865" s="20"/>
    </row>
    <row r="3866" spans="24:25">
      <c r="X3866" s="19"/>
      <c r="Y3866" s="20"/>
    </row>
    <row r="3867" spans="24:25">
      <c r="X3867" s="19"/>
      <c r="Y3867" s="20"/>
    </row>
    <row r="3868" spans="24:25">
      <c r="X3868" s="19"/>
      <c r="Y3868" s="20"/>
    </row>
    <row r="3869" spans="24:25">
      <c r="X3869" s="19"/>
      <c r="Y3869" s="20"/>
    </row>
    <row r="3870" spans="24:25">
      <c r="X3870" s="19"/>
      <c r="Y3870" s="20"/>
    </row>
    <row r="3871" spans="24:25">
      <c r="X3871" s="19"/>
      <c r="Y3871" s="20"/>
    </row>
    <row r="3872" spans="24:25">
      <c r="X3872" s="19"/>
      <c r="Y3872" s="20"/>
    </row>
    <row r="3873" spans="24:25">
      <c r="X3873" s="19"/>
      <c r="Y3873" s="20"/>
    </row>
    <row r="3874" spans="24:25">
      <c r="X3874" s="19"/>
      <c r="Y3874" s="20"/>
    </row>
    <row r="3875" spans="24:25">
      <c r="X3875" s="19"/>
      <c r="Y3875" s="20"/>
    </row>
    <row r="3876" spans="24:25">
      <c r="X3876" s="19"/>
      <c r="Y3876" s="20"/>
    </row>
    <row r="3877" spans="24:25">
      <c r="X3877" s="19"/>
      <c r="Y3877" s="20"/>
    </row>
    <row r="3878" spans="24:25">
      <c r="X3878" s="19"/>
      <c r="Y3878" s="20"/>
    </row>
    <row r="3879" spans="24:25">
      <c r="X3879" s="19"/>
      <c r="Y3879" s="20"/>
    </row>
    <row r="3880" spans="24:25">
      <c r="X3880" s="19"/>
      <c r="Y3880" s="20"/>
    </row>
    <row r="3881" spans="24:25">
      <c r="X3881" s="19"/>
      <c r="Y3881" s="20"/>
    </row>
    <row r="3882" spans="24:25">
      <c r="X3882" s="19"/>
      <c r="Y3882" s="20"/>
    </row>
    <row r="3883" spans="24:25">
      <c r="X3883" s="19"/>
      <c r="Y3883" s="20"/>
    </row>
    <row r="3884" spans="24:25">
      <c r="X3884" s="19"/>
      <c r="Y3884" s="20"/>
    </row>
    <row r="3885" spans="24:25">
      <c r="X3885" s="19"/>
      <c r="Y3885" s="20"/>
    </row>
    <row r="3886" spans="24:25">
      <c r="X3886" s="19"/>
      <c r="Y3886" s="20"/>
    </row>
    <row r="3887" spans="24:25">
      <c r="X3887" s="19"/>
      <c r="Y3887" s="20"/>
    </row>
    <row r="3888" spans="24:25">
      <c r="X3888" s="19"/>
      <c r="Y3888" s="20"/>
    </row>
    <row r="3889" spans="24:25">
      <c r="X3889" s="19"/>
      <c r="Y3889" s="20"/>
    </row>
    <row r="3890" spans="24:25">
      <c r="X3890" s="19"/>
      <c r="Y3890" s="20"/>
    </row>
    <row r="3891" spans="24:25">
      <c r="X3891" s="19"/>
      <c r="Y3891" s="20"/>
    </row>
    <row r="3892" spans="24:25">
      <c r="X3892" s="19"/>
      <c r="Y3892" s="20"/>
    </row>
    <row r="3893" spans="24:25">
      <c r="X3893" s="19"/>
      <c r="Y3893" s="20"/>
    </row>
    <row r="3894" spans="24:25">
      <c r="X3894" s="19"/>
      <c r="Y3894" s="20"/>
    </row>
    <row r="3895" spans="24:25">
      <c r="X3895" s="19"/>
      <c r="Y3895" s="20"/>
    </row>
    <row r="3896" spans="24:25">
      <c r="X3896" s="19"/>
      <c r="Y3896" s="20"/>
    </row>
    <row r="3897" spans="24:25">
      <c r="X3897" s="19"/>
      <c r="Y3897" s="20"/>
    </row>
    <row r="3898" spans="24:25">
      <c r="X3898" s="19"/>
      <c r="Y3898" s="20"/>
    </row>
    <row r="3899" spans="24:25">
      <c r="X3899" s="19"/>
      <c r="Y3899" s="20"/>
    </row>
    <row r="3900" spans="24:25">
      <c r="X3900" s="19"/>
      <c r="Y3900" s="20"/>
    </row>
    <row r="3901" spans="24:25">
      <c r="X3901" s="19"/>
      <c r="Y3901" s="20"/>
    </row>
    <row r="3902" spans="24:25">
      <c r="X3902" s="19"/>
      <c r="Y3902" s="20"/>
    </row>
    <row r="3903" spans="24:25">
      <c r="X3903" s="19"/>
      <c r="Y3903" s="20"/>
    </row>
    <row r="3904" spans="24:25">
      <c r="X3904" s="19"/>
      <c r="Y3904" s="20"/>
    </row>
    <row r="3905" spans="24:25">
      <c r="X3905" s="19"/>
      <c r="Y3905" s="20"/>
    </row>
    <row r="3906" spans="24:25">
      <c r="X3906" s="19"/>
      <c r="Y3906" s="20"/>
    </row>
    <row r="3907" spans="24:25">
      <c r="X3907" s="19"/>
      <c r="Y3907" s="20"/>
    </row>
    <row r="3908" spans="24:25">
      <c r="X3908" s="19"/>
      <c r="Y3908" s="20"/>
    </row>
    <row r="3909" spans="24:25">
      <c r="X3909" s="19"/>
      <c r="Y3909" s="20"/>
    </row>
    <row r="3910" spans="24:25">
      <c r="X3910" s="19"/>
      <c r="Y3910" s="20"/>
    </row>
    <row r="3911" spans="24:25">
      <c r="X3911" s="19"/>
      <c r="Y3911" s="20"/>
    </row>
    <row r="3912" spans="24:25">
      <c r="X3912" s="19"/>
      <c r="Y3912" s="20"/>
    </row>
    <row r="3913" spans="24:25">
      <c r="X3913" s="19"/>
      <c r="Y3913" s="20"/>
    </row>
    <row r="3914" spans="24:25">
      <c r="X3914" s="19"/>
      <c r="Y3914" s="20"/>
    </row>
    <row r="3915" spans="24:25">
      <c r="X3915" s="19"/>
      <c r="Y3915" s="20"/>
    </row>
    <row r="3916" spans="24:25">
      <c r="X3916" s="19"/>
      <c r="Y3916" s="20"/>
    </row>
    <row r="3917" spans="24:25">
      <c r="X3917" s="19"/>
      <c r="Y3917" s="20"/>
    </row>
    <row r="3918" spans="24:25">
      <c r="X3918" s="19"/>
      <c r="Y3918" s="20"/>
    </row>
    <row r="3919" spans="24:25">
      <c r="X3919" s="19"/>
      <c r="Y3919" s="20"/>
    </row>
    <row r="3920" spans="24:25">
      <c r="X3920" s="19"/>
      <c r="Y3920" s="20"/>
    </row>
    <row r="3921" spans="24:25">
      <c r="X3921" s="19"/>
      <c r="Y3921" s="20"/>
    </row>
    <row r="3922" spans="24:25">
      <c r="X3922" s="19"/>
      <c r="Y3922" s="20"/>
    </row>
    <row r="3923" spans="24:25">
      <c r="X3923" s="19"/>
      <c r="Y3923" s="20"/>
    </row>
    <row r="3924" spans="24:25">
      <c r="X3924" s="19"/>
      <c r="Y3924" s="20"/>
    </row>
    <row r="3925" spans="24:25">
      <c r="X3925" s="19"/>
      <c r="Y3925" s="20"/>
    </row>
    <row r="3926" spans="24:25">
      <c r="X3926" s="19"/>
      <c r="Y3926" s="20"/>
    </row>
    <row r="3927" spans="24:25">
      <c r="X3927" s="19"/>
      <c r="Y3927" s="20"/>
    </row>
    <row r="3928" spans="24:25">
      <c r="X3928" s="19"/>
      <c r="Y3928" s="20"/>
    </row>
    <row r="3929" spans="24:25">
      <c r="X3929" s="19"/>
      <c r="Y3929" s="20"/>
    </row>
    <row r="3930" spans="24:25">
      <c r="X3930" s="19"/>
      <c r="Y3930" s="20"/>
    </row>
    <row r="3931" spans="24:25">
      <c r="X3931" s="19"/>
      <c r="Y3931" s="20"/>
    </row>
    <row r="3932" spans="24:25">
      <c r="X3932" s="19"/>
      <c r="Y3932" s="20"/>
    </row>
    <row r="3933" spans="24:25">
      <c r="X3933" s="19"/>
      <c r="Y3933" s="20"/>
    </row>
    <row r="3934" spans="24:25">
      <c r="X3934" s="19"/>
      <c r="Y3934" s="20"/>
    </row>
    <row r="3935" spans="24:25">
      <c r="X3935" s="19"/>
      <c r="Y3935" s="20"/>
    </row>
    <row r="3936" spans="24:25">
      <c r="X3936" s="19"/>
      <c r="Y3936" s="20"/>
    </row>
    <row r="3937" spans="24:25">
      <c r="X3937" s="19"/>
      <c r="Y3937" s="20"/>
    </row>
    <row r="3938" spans="24:25">
      <c r="X3938" s="19"/>
      <c r="Y3938" s="20"/>
    </row>
    <row r="3939" spans="24:25">
      <c r="X3939" s="19"/>
      <c r="Y3939" s="20"/>
    </row>
    <row r="3940" spans="24:25">
      <c r="X3940" s="19"/>
      <c r="Y3940" s="20"/>
    </row>
    <row r="3941" spans="24:25">
      <c r="X3941" s="19"/>
      <c r="Y3941" s="20"/>
    </row>
    <row r="3942" spans="24:25">
      <c r="X3942" s="19"/>
      <c r="Y3942" s="20"/>
    </row>
    <row r="3943" spans="24:25">
      <c r="X3943" s="19"/>
      <c r="Y3943" s="20"/>
    </row>
    <row r="3944" spans="24:25">
      <c r="X3944" s="19"/>
      <c r="Y3944" s="20"/>
    </row>
    <row r="3945" spans="24:25">
      <c r="X3945" s="19"/>
      <c r="Y3945" s="20"/>
    </row>
    <row r="3946" spans="24:25">
      <c r="X3946" s="19"/>
      <c r="Y3946" s="20"/>
    </row>
    <row r="3947" spans="24:25">
      <c r="X3947" s="19"/>
      <c r="Y3947" s="20"/>
    </row>
    <row r="3948" spans="24:25">
      <c r="X3948" s="19"/>
      <c r="Y3948" s="20"/>
    </row>
    <row r="3949" spans="24:25">
      <c r="X3949" s="19"/>
      <c r="Y3949" s="20"/>
    </row>
    <row r="3950" spans="24:25">
      <c r="X3950" s="19"/>
      <c r="Y3950" s="20"/>
    </row>
    <row r="3951" spans="24:25">
      <c r="X3951" s="19"/>
      <c r="Y3951" s="20"/>
    </row>
    <row r="3952" spans="24:25">
      <c r="X3952" s="19"/>
      <c r="Y3952" s="20"/>
    </row>
    <row r="3953" spans="24:25">
      <c r="X3953" s="19"/>
      <c r="Y3953" s="20"/>
    </row>
    <row r="3954" spans="24:25">
      <c r="X3954" s="19"/>
      <c r="Y3954" s="20"/>
    </row>
    <row r="3955" spans="24:25">
      <c r="X3955" s="19"/>
      <c r="Y3955" s="20"/>
    </row>
    <row r="3956" spans="24:25">
      <c r="X3956" s="19"/>
      <c r="Y3956" s="20"/>
    </row>
    <row r="3957" spans="24:25">
      <c r="X3957" s="19"/>
      <c r="Y3957" s="20"/>
    </row>
    <row r="3958" spans="24:25">
      <c r="X3958" s="19"/>
      <c r="Y3958" s="20"/>
    </row>
    <row r="3959" spans="24:25">
      <c r="X3959" s="19"/>
      <c r="Y3959" s="20"/>
    </row>
    <row r="3960" spans="24:25">
      <c r="X3960" s="19"/>
      <c r="Y3960" s="20"/>
    </row>
    <row r="3961" spans="24:25">
      <c r="X3961" s="19"/>
      <c r="Y3961" s="20"/>
    </row>
    <row r="3962" spans="24:25">
      <c r="X3962" s="19"/>
      <c r="Y3962" s="20"/>
    </row>
    <row r="3963" spans="24:25">
      <c r="X3963" s="19"/>
      <c r="Y3963" s="20"/>
    </row>
    <row r="3964" spans="24:25">
      <c r="X3964" s="19"/>
      <c r="Y3964" s="20"/>
    </row>
    <row r="3965" spans="24:25">
      <c r="X3965" s="19"/>
      <c r="Y3965" s="20"/>
    </row>
    <row r="3966" spans="24:25">
      <c r="X3966" s="19"/>
      <c r="Y3966" s="20"/>
    </row>
    <row r="3967" spans="24:25">
      <c r="X3967" s="19"/>
      <c r="Y3967" s="20"/>
    </row>
    <row r="3968" spans="24:25">
      <c r="X3968" s="19"/>
      <c r="Y3968" s="20"/>
    </row>
    <row r="3969" spans="24:25">
      <c r="X3969" s="19"/>
      <c r="Y3969" s="20"/>
    </row>
    <row r="3970" spans="24:25">
      <c r="X3970" s="19"/>
      <c r="Y3970" s="20"/>
    </row>
    <row r="3971" spans="24:25">
      <c r="X3971" s="19"/>
      <c r="Y3971" s="20"/>
    </row>
    <row r="3972" spans="24:25">
      <c r="X3972" s="19"/>
      <c r="Y3972" s="20"/>
    </row>
    <row r="3973" spans="24:25">
      <c r="X3973" s="19"/>
      <c r="Y3973" s="20"/>
    </row>
    <row r="3974" spans="24:25">
      <c r="X3974" s="19"/>
      <c r="Y3974" s="20"/>
    </row>
    <row r="3975" spans="24:25">
      <c r="X3975" s="19"/>
      <c r="Y3975" s="20"/>
    </row>
    <row r="3976" spans="24:25">
      <c r="X3976" s="19"/>
      <c r="Y3976" s="20"/>
    </row>
    <row r="3977" spans="24:25">
      <c r="X3977" s="19"/>
      <c r="Y3977" s="20"/>
    </row>
    <row r="3978" spans="24:25">
      <c r="X3978" s="19"/>
      <c r="Y3978" s="20"/>
    </row>
    <row r="3979" spans="24:25">
      <c r="X3979" s="19"/>
      <c r="Y3979" s="20"/>
    </row>
    <row r="3980" spans="24:25">
      <c r="X3980" s="19"/>
      <c r="Y3980" s="20"/>
    </row>
    <row r="3981" spans="24:25">
      <c r="X3981" s="19"/>
      <c r="Y3981" s="20"/>
    </row>
    <row r="3982" spans="24:25">
      <c r="X3982" s="19"/>
      <c r="Y3982" s="20"/>
    </row>
    <row r="3983" spans="24:25">
      <c r="X3983" s="19"/>
      <c r="Y3983" s="20"/>
    </row>
    <row r="3984" spans="24:25">
      <c r="X3984" s="19"/>
      <c r="Y3984" s="20"/>
    </row>
    <row r="3985" spans="24:25">
      <c r="X3985" s="19"/>
      <c r="Y3985" s="20"/>
    </row>
    <row r="3986" spans="24:25">
      <c r="X3986" s="19"/>
      <c r="Y3986" s="20"/>
    </row>
    <row r="3987" spans="24:25">
      <c r="X3987" s="19"/>
      <c r="Y3987" s="20"/>
    </row>
    <row r="3988" spans="24:25">
      <c r="X3988" s="19"/>
      <c r="Y3988" s="20"/>
    </row>
    <row r="3989" spans="24:25">
      <c r="X3989" s="19"/>
      <c r="Y3989" s="20"/>
    </row>
    <row r="3990" spans="24:25">
      <c r="X3990" s="19"/>
      <c r="Y3990" s="20"/>
    </row>
    <row r="3991" spans="24:25">
      <c r="X3991" s="19"/>
      <c r="Y3991" s="20"/>
    </row>
    <row r="3992" spans="24:25">
      <c r="X3992" s="19"/>
      <c r="Y3992" s="20"/>
    </row>
    <row r="3993" spans="24:25">
      <c r="X3993" s="19"/>
      <c r="Y3993" s="20"/>
    </row>
    <row r="3994" spans="24:25">
      <c r="X3994" s="19"/>
      <c r="Y3994" s="20"/>
    </row>
    <row r="3995" spans="24:25">
      <c r="X3995" s="19"/>
      <c r="Y3995" s="20"/>
    </row>
    <row r="3996" spans="24:25">
      <c r="X3996" s="19"/>
      <c r="Y3996" s="20"/>
    </row>
    <row r="3997" spans="24:25">
      <c r="X3997" s="19"/>
      <c r="Y3997" s="20"/>
    </row>
    <row r="3998" spans="24:25">
      <c r="X3998" s="19"/>
      <c r="Y3998" s="20"/>
    </row>
    <row r="3999" spans="24:25">
      <c r="X3999" s="19"/>
      <c r="Y3999" s="20"/>
    </row>
    <row r="4000" spans="24:25">
      <c r="X4000" s="19"/>
      <c r="Y4000" s="20"/>
    </row>
    <row r="4001" spans="24:25">
      <c r="X4001" s="19"/>
      <c r="Y4001" s="20"/>
    </row>
    <row r="4002" spans="24:25">
      <c r="X4002" s="19"/>
      <c r="Y4002" s="20"/>
    </row>
    <row r="4003" spans="24:25">
      <c r="X4003" s="19"/>
      <c r="Y4003" s="20"/>
    </row>
    <row r="4004" spans="24:25">
      <c r="X4004" s="19"/>
      <c r="Y4004" s="20"/>
    </row>
    <row r="4005" spans="24:25">
      <c r="X4005" s="19"/>
      <c r="Y4005" s="20"/>
    </row>
    <row r="4006" spans="24:25">
      <c r="X4006" s="19"/>
      <c r="Y4006" s="20"/>
    </row>
    <row r="4007" spans="24:25">
      <c r="X4007" s="19"/>
      <c r="Y4007" s="20"/>
    </row>
    <row r="4008" spans="24:25">
      <c r="X4008" s="19"/>
      <c r="Y4008" s="20"/>
    </row>
    <row r="4009" spans="24:25">
      <c r="X4009" s="19"/>
      <c r="Y4009" s="20"/>
    </row>
    <row r="4010" spans="24:25">
      <c r="X4010" s="19"/>
      <c r="Y4010" s="20"/>
    </row>
    <row r="4011" spans="24:25">
      <c r="X4011" s="19"/>
      <c r="Y4011" s="20"/>
    </row>
    <row r="4012" spans="24:25">
      <c r="X4012" s="19"/>
      <c r="Y4012" s="20"/>
    </row>
    <row r="4013" spans="24:25">
      <c r="X4013" s="19"/>
      <c r="Y4013" s="20"/>
    </row>
    <row r="4014" spans="24:25">
      <c r="X4014" s="19"/>
      <c r="Y4014" s="20"/>
    </row>
    <row r="4015" spans="24:25">
      <c r="X4015" s="19"/>
      <c r="Y4015" s="20"/>
    </row>
    <row r="4016" spans="24:25">
      <c r="X4016" s="19"/>
      <c r="Y4016" s="20"/>
    </row>
    <row r="4017" spans="24:25">
      <c r="X4017" s="19"/>
      <c r="Y4017" s="20"/>
    </row>
    <row r="4018" spans="24:25">
      <c r="X4018" s="19"/>
      <c r="Y4018" s="20"/>
    </row>
    <row r="4019" spans="24:25">
      <c r="X4019" s="19"/>
      <c r="Y4019" s="20"/>
    </row>
    <row r="4020" spans="24:25">
      <c r="X4020" s="19"/>
      <c r="Y4020" s="20"/>
    </row>
    <row r="4021" spans="24:25">
      <c r="X4021" s="19"/>
      <c r="Y4021" s="20"/>
    </row>
    <row r="4022" spans="24:25">
      <c r="X4022" s="19"/>
      <c r="Y4022" s="20"/>
    </row>
    <row r="4023" spans="24:25">
      <c r="X4023" s="19"/>
      <c r="Y4023" s="20"/>
    </row>
    <row r="4024" spans="24:25">
      <c r="X4024" s="19"/>
      <c r="Y4024" s="20"/>
    </row>
    <row r="4025" spans="24:25">
      <c r="X4025" s="19"/>
      <c r="Y4025" s="20"/>
    </row>
    <row r="4026" spans="24:25">
      <c r="X4026" s="19"/>
      <c r="Y4026" s="20"/>
    </row>
    <row r="4027" spans="24:25">
      <c r="X4027" s="19"/>
      <c r="Y4027" s="20"/>
    </row>
    <row r="4028" spans="24:25">
      <c r="X4028" s="19"/>
      <c r="Y4028" s="20"/>
    </row>
    <row r="4029" spans="24:25">
      <c r="X4029" s="19"/>
      <c r="Y4029" s="20"/>
    </row>
    <row r="4030" spans="24:25">
      <c r="X4030" s="19"/>
      <c r="Y4030" s="20"/>
    </row>
    <row r="4031" spans="24:25">
      <c r="X4031" s="19"/>
      <c r="Y4031" s="20"/>
    </row>
    <row r="4032" spans="24:25">
      <c r="X4032" s="19"/>
      <c r="Y4032" s="20"/>
    </row>
    <row r="4033" spans="24:25">
      <c r="X4033" s="19"/>
      <c r="Y4033" s="20"/>
    </row>
    <row r="4034" spans="24:25">
      <c r="X4034" s="19"/>
      <c r="Y4034" s="20"/>
    </row>
    <row r="4035" spans="24:25">
      <c r="X4035" s="19"/>
      <c r="Y4035" s="20"/>
    </row>
    <row r="4036" spans="24:25">
      <c r="X4036" s="19"/>
      <c r="Y4036" s="20"/>
    </row>
    <row r="4037" spans="24:25">
      <c r="X4037" s="19"/>
      <c r="Y4037" s="20"/>
    </row>
    <row r="4038" spans="24:25">
      <c r="X4038" s="19"/>
      <c r="Y4038" s="20"/>
    </row>
    <row r="4039" spans="24:25">
      <c r="X4039" s="19"/>
      <c r="Y4039" s="20"/>
    </row>
    <row r="4040" spans="24:25">
      <c r="X4040" s="19"/>
      <c r="Y4040" s="20"/>
    </row>
    <row r="4041" spans="24:25">
      <c r="X4041" s="19"/>
      <c r="Y4041" s="20"/>
    </row>
    <row r="4042" spans="24:25">
      <c r="X4042" s="19"/>
      <c r="Y4042" s="20"/>
    </row>
    <row r="4043" spans="24:25">
      <c r="X4043" s="19"/>
      <c r="Y4043" s="20"/>
    </row>
    <row r="4044" spans="24:25">
      <c r="X4044" s="19"/>
      <c r="Y4044" s="20"/>
    </row>
    <row r="4045" spans="24:25">
      <c r="X4045" s="19"/>
      <c r="Y4045" s="20"/>
    </row>
    <row r="4046" spans="24:25">
      <c r="X4046" s="19"/>
      <c r="Y4046" s="20"/>
    </row>
    <row r="4047" spans="24:25">
      <c r="X4047" s="19"/>
      <c r="Y4047" s="20"/>
    </row>
    <row r="4048" spans="24:25">
      <c r="X4048" s="19"/>
      <c r="Y4048" s="20"/>
    </row>
    <row r="4049" spans="24:25">
      <c r="X4049" s="19"/>
      <c r="Y4049" s="20"/>
    </row>
    <row r="4050" spans="24:25">
      <c r="X4050" s="19"/>
      <c r="Y4050" s="20"/>
    </row>
    <row r="4051" spans="24:25">
      <c r="X4051" s="19"/>
      <c r="Y4051" s="20"/>
    </row>
    <row r="4052" spans="24:25">
      <c r="X4052" s="19"/>
      <c r="Y4052" s="20"/>
    </row>
    <row r="4053" spans="24:25">
      <c r="X4053" s="19"/>
      <c r="Y4053" s="20"/>
    </row>
    <row r="4054" spans="24:25">
      <c r="X4054" s="19"/>
      <c r="Y4054" s="20"/>
    </row>
    <row r="4055" spans="24:25">
      <c r="X4055" s="19"/>
      <c r="Y4055" s="20"/>
    </row>
    <row r="4056" spans="24:25">
      <c r="X4056" s="19"/>
      <c r="Y4056" s="20"/>
    </row>
    <row r="4057" spans="24:25">
      <c r="X4057" s="19"/>
      <c r="Y4057" s="20"/>
    </row>
    <row r="4058" spans="24:25">
      <c r="X4058" s="19"/>
      <c r="Y4058" s="20"/>
    </row>
    <row r="4059" spans="24:25">
      <c r="X4059" s="19"/>
      <c r="Y4059" s="20"/>
    </row>
    <row r="4060" spans="24:25">
      <c r="X4060" s="19"/>
      <c r="Y4060" s="20"/>
    </row>
    <row r="4061" spans="24:25">
      <c r="X4061" s="19"/>
      <c r="Y4061" s="20"/>
    </row>
    <row r="4062" spans="24:25">
      <c r="X4062" s="19"/>
      <c r="Y4062" s="20"/>
    </row>
    <row r="4063" spans="24:25">
      <c r="X4063" s="19"/>
      <c r="Y4063" s="20"/>
    </row>
    <row r="4064" spans="24:25">
      <c r="X4064" s="19"/>
      <c r="Y4064" s="20"/>
    </row>
    <row r="4065" spans="24:25">
      <c r="X4065" s="19"/>
      <c r="Y4065" s="20"/>
    </row>
    <row r="4066" spans="24:25">
      <c r="X4066" s="19"/>
      <c r="Y4066" s="20"/>
    </row>
    <row r="4067" spans="24:25">
      <c r="X4067" s="19"/>
      <c r="Y4067" s="20"/>
    </row>
    <row r="4068" spans="24:25">
      <c r="X4068" s="19"/>
      <c r="Y4068" s="20"/>
    </row>
    <row r="4069" spans="24:25">
      <c r="X4069" s="19"/>
      <c r="Y4069" s="20"/>
    </row>
    <row r="4070" spans="24:25">
      <c r="X4070" s="19"/>
      <c r="Y4070" s="20"/>
    </row>
    <row r="4071" spans="24:25">
      <c r="X4071" s="19"/>
      <c r="Y4071" s="20"/>
    </row>
    <row r="4072" spans="24:25">
      <c r="X4072" s="19"/>
      <c r="Y4072" s="20"/>
    </row>
    <row r="4073" spans="24:25">
      <c r="X4073" s="19"/>
      <c r="Y4073" s="20"/>
    </row>
    <row r="4074" spans="24:25">
      <c r="X4074" s="19"/>
      <c r="Y4074" s="20"/>
    </row>
    <row r="4075" spans="24:25">
      <c r="X4075" s="19"/>
      <c r="Y4075" s="20"/>
    </row>
    <row r="4076" spans="24:25">
      <c r="X4076" s="19"/>
      <c r="Y4076" s="20"/>
    </row>
    <row r="4077" spans="24:25">
      <c r="X4077" s="19"/>
      <c r="Y4077" s="20"/>
    </row>
    <row r="4078" spans="24:25">
      <c r="X4078" s="19"/>
      <c r="Y4078" s="20"/>
    </row>
    <row r="4079" spans="24:25">
      <c r="X4079" s="19"/>
      <c r="Y4079" s="20"/>
    </row>
    <row r="4080" spans="24:25">
      <c r="X4080" s="19"/>
      <c r="Y4080" s="20"/>
    </row>
    <row r="4081" spans="24:25">
      <c r="X4081" s="19"/>
      <c r="Y4081" s="20"/>
    </row>
    <row r="4082" spans="24:25">
      <c r="X4082" s="19"/>
      <c r="Y4082" s="20"/>
    </row>
    <row r="4083" spans="24:25">
      <c r="X4083" s="19"/>
      <c r="Y4083" s="20"/>
    </row>
    <row r="4084" spans="24:25">
      <c r="X4084" s="19"/>
      <c r="Y4084" s="20"/>
    </row>
    <row r="4085" spans="24:25">
      <c r="X4085" s="19"/>
      <c r="Y4085" s="20"/>
    </row>
    <row r="4086" spans="24:25">
      <c r="X4086" s="19"/>
      <c r="Y4086" s="20"/>
    </row>
    <row r="4087" spans="24:25">
      <c r="X4087" s="19"/>
      <c r="Y4087" s="20"/>
    </row>
    <row r="4088" spans="24:25">
      <c r="X4088" s="19"/>
      <c r="Y4088" s="20"/>
    </row>
    <row r="4089" spans="24:25">
      <c r="X4089" s="19"/>
      <c r="Y4089" s="20"/>
    </row>
    <row r="4090" spans="24:25">
      <c r="X4090" s="19"/>
      <c r="Y4090" s="20"/>
    </row>
    <row r="4091" spans="24:25">
      <c r="X4091" s="19"/>
      <c r="Y4091" s="20"/>
    </row>
    <row r="4092" spans="24:25">
      <c r="X4092" s="19"/>
      <c r="Y4092" s="20"/>
    </row>
    <row r="4093" spans="24:25">
      <c r="X4093" s="19"/>
      <c r="Y4093" s="20"/>
    </row>
    <row r="4094" spans="24:25">
      <c r="X4094" s="19"/>
      <c r="Y4094" s="20"/>
    </row>
    <row r="4095" spans="24:25">
      <c r="X4095" s="19"/>
      <c r="Y4095" s="20"/>
    </row>
    <row r="4096" spans="24:25">
      <c r="X4096" s="19"/>
      <c r="Y4096" s="20"/>
    </row>
    <row r="4097" spans="24:25">
      <c r="X4097" s="19"/>
      <c r="Y4097" s="20"/>
    </row>
    <row r="4098" spans="24:25">
      <c r="X4098" s="19"/>
      <c r="Y4098" s="20"/>
    </row>
    <row r="4099" spans="24:25">
      <c r="X4099" s="19"/>
      <c r="Y4099" s="20"/>
    </row>
    <row r="4100" spans="24:25">
      <c r="X4100" s="19"/>
      <c r="Y4100" s="20"/>
    </row>
    <row r="4101" spans="24:25">
      <c r="X4101" s="19"/>
      <c r="Y4101" s="20"/>
    </row>
    <row r="4102" spans="24:25">
      <c r="X4102" s="19"/>
      <c r="Y4102" s="20"/>
    </row>
    <row r="4103" spans="24:25">
      <c r="X4103" s="19"/>
      <c r="Y4103" s="20"/>
    </row>
    <row r="4104" spans="24:25">
      <c r="X4104" s="19"/>
      <c r="Y4104" s="20"/>
    </row>
    <row r="4105" spans="24:25">
      <c r="X4105" s="19"/>
      <c r="Y4105" s="20"/>
    </row>
    <row r="4106" spans="24:25">
      <c r="X4106" s="19"/>
      <c r="Y4106" s="20"/>
    </row>
    <row r="4107" spans="24:25">
      <c r="X4107" s="19"/>
      <c r="Y4107" s="20"/>
    </row>
    <row r="4108" spans="24:25">
      <c r="X4108" s="19"/>
      <c r="Y4108" s="20"/>
    </row>
    <row r="4109" spans="24:25">
      <c r="X4109" s="19"/>
      <c r="Y4109" s="20"/>
    </row>
    <row r="4110" spans="24:25">
      <c r="X4110" s="19"/>
      <c r="Y4110" s="20"/>
    </row>
    <row r="4111" spans="24:25">
      <c r="X4111" s="19"/>
      <c r="Y4111" s="20"/>
    </row>
    <row r="4112" spans="24:25">
      <c r="X4112" s="19"/>
      <c r="Y4112" s="20"/>
    </row>
    <row r="4113" spans="24:25">
      <c r="X4113" s="19"/>
      <c r="Y4113" s="20"/>
    </row>
    <row r="4114" spans="24:25">
      <c r="X4114" s="19"/>
      <c r="Y4114" s="20"/>
    </row>
    <row r="4115" spans="24:25">
      <c r="X4115" s="19"/>
      <c r="Y4115" s="20"/>
    </row>
    <row r="4116" spans="24:25">
      <c r="X4116" s="19"/>
      <c r="Y4116" s="20"/>
    </row>
    <row r="4117" spans="24:25">
      <c r="X4117" s="19"/>
      <c r="Y4117" s="20"/>
    </row>
    <row r="4118" spans="24:25">
      <c r="X4118" s="19"/>
      <c r="Y4118" s="20"/>
    </row>
    <row r="4119" spans="24:25">
      <c r="X4119" s="19"/>
      <c r="Y4119" s="20"/>
    </row>
    <row r="4120" spans="24:25">
      <c r="X4120" s="19"/>
      <c r="Y4120" s="20"/>
    </row>
    <row r="4121" spans="24:25">
      <c r="X4121" s="19"/>
      <c r="Y4121" s="20"/>
    </row>
    <row r="4122" spans="24:25">
      <c r="X4122" s="19"/>
      <c r="Y4122" s="20"/>
    </row>
    <row r="4123" spans="24:25">
      <c r="X4123" s="19"/>
      <c r="Y4123" s="20"/>
    </row>
    <row r="4124" spans="24:25">
      <c r="X4124" s="19"/>
      <c r="Y4124" s="20"/>
    </row>
    <row r="4125" spans="24:25">
      <c r="X4125" s="19"/>
      <c r="Y4125" s="20"/>
    </row>
    <row r="4126" spans="24:25">
      <c r="X4126" s="19"/>
      <c r="Y4126" s="20"/>
    </row>
    <row r="4127" spans="24:25">
      <c r="X4127" s="19"/>
      <c r="Y4127" s="20"/>
    </row>
    <row r="4128" spans="24:25">
      <c r="X4128" s="19"/>
      <c r="Y4128" s="20"/>
    </row>
    <row r="4129" spans="24:25">
      <c r="X4129" s="19"/>
      <c r="Y4129" s="20"/>
    </row>
    <row r="4130" spans="24:25">
      <c r="X4130" s="19"/>
      <c r="Y4130" s="20"/>
    </row>
    <row r="4131" spans="24:25">
      <c r="X4131" s="19"/>
      <c r="Y4131" s="20"/>
    </row>
    <row r="4132" spans="24:25">
      <c r="X4132" s="19"/>
      <c r="Y4132" s="20"/>
    </row>
    <row r="4133" spans="24:25">
      <c r="X4133" s="19"/>
      <c r="Y4133" s="20"/>
    </row>
    <row r="4134" spans="24:25">
      <c r="X4134" s="19"/>
      <c r="Y4134" s="20"/>
    </row>
    <row r="4135" spans="24:25">
      <c r="X4135" s="19"/>
      <c r="Y4135" s="20"/>
    </row>
    <row r="4136" spans="24:25">
      <c r="X4136" s="19"/>
      <c r="Y4136" s="20"/>
    </row>
    <row r="4137" spans="24:25">
      <c r="X4137" s="19"/>
      <c r="Y4137" s="20"/>
    </row>
    <row r="4138" spans="24:25">
      <c r="X4138" s="19"/>
      <c r="Y4138" s="20"/>
    </row>
    <row r="4139" spans="24:25">
      <c r="X4139" s="19"/>
      <c r="Y4139" s="20"/>
    </row>
    <row r="4140" spans="24:25">
      <c r="X4140" s="19"/>
      <c r="Y4140" s="20"/>
    </row>
    <row r="4141" spans="24:25">
      <c r="X4141" s="19"/>
      <c r="Y4141" s="20"/>
    </row>
    <row r="4142" spans="24:25">
      <c r="X4142" s="19"/>
      <c r="Y4142" s="20"/>
    </row>
    <row r="4143" spans="24:25">
      <c r="X4143" s="19"/>
      <c r="Y4143" s="20"/>
    </row>
    <row r="4144" spans="24:25">
      <c r="X4144" s="19"/>
      <c r="Y4144" s="20"/>
    </row>
    <row r="4145" spans="24:25">
      <c r="X4145" s="19"/>
      <c r="Y4145" s="20"/>
    </row>
    <row r="4146" spans="24:25">
      <c r="X4146" s="19"/>
      <c r="Y4146" s="20"/>
    </row>
    <row r="4147" spans="24:25">
      <c r="X4147" s="19"/>
      <c r="Y4147" s="20"/>
    </row>
    <row r="4148" spans="24:25">
      <c r="X4148" s="19"/>
      <c r="Y4148" s="20"/>
    </row>
    <row r="4149" spans="24:25">
      <c r="X4149" s="19"/>
      <c r="Y4149" s="20"/>
    </row>
    <row r="4150" spans="24:25">
      <c r="X4150" s="19"/>
      <c r="Y4150" s="20"/>
    </row>
    <row r="4151" spans="24:25">
      <c r="X4151" s="19"/>
      <c r="Y4151" s="20"/>
    </row>
    <row r="4152" spans="24:25">
      <c r="X4152" s="19"/>
      <c r="Y4152" s="20"/>
    </row>
    <row r="4153" spans="24:25">
      <c r="X4153" s="19"/>
      <c r="Y4153" s="20"/>
    </row>
    <row r="4154" spans="24:25">
      <c r="X4154" s="19"/>
      <c r="Y4154" s="20"/>
    </row>
    <row r="4155" spans="24:25">
      <c r="X4155" s="19"/>
      <c r="Y4155" s="20"/>
    </row>
    <row r="4156" spans="24:25">
      <c r="X4156" s="19"/>
      <c r="Y4156" s="20"/>
    </row>
    <row r="4157" spans="24:25">
      <c r="X4157" s="19"/>
      <c r="Y4157" s="20"/>
    </row>
    <row r="4158" spans="24:25">
      <c r="X4158" s="19"/>
      <c r="Y4158" s="20"/>
    </row>
    <row r="4159" spans="24:25">
      <c r="X4159" s="19"/>
      <c r="Y4159" s="20"/>
    </row>
    <row r="4160" spans="24:25">
      <c r="X4160" s="19"/>
      <c r="Y4160" s="20"/>
    </row>
    <row r="4161" spans="24:25">
      <c r="X4161" s="19"/>
      <c r="Y4161" s="20"/>
    </row>
    <row r="4162" spans="24:25">
      <c r="X4162" s="19"/>
      <c r="Y4162" s="20"/>
    </row>
    <row r="4163" spans="24:25">
      <c r="X4163" s="19"/>
      <c r="Y4163" s="20"/>
    </row>
    <row r="4164" spans="24:25">
      <c r="X4164" s="19"/>
      <c r="Y4164" s="20"/>
    </row>
    <row r="4165" spans="24:25">
      <c r="X4165" s="19"/>
      <c r="Y4165" s="20"/>
    </row>
    <row r="4166" spans="24:25">
      <c r="X4166" s="19"/>
      <c r="Y4166" s="20"/>
    </row>
    <row r="4167" spans="24:25">
      <c r="X4167" s="19"/>
      <c r="Y4167" s="20"/>
    </row>
    <row r="4168" spans="24:25">
      <c r="X4168" s="19"/>
      <c r="Y4168" s="20"/>
    </row>
    <row r="4169" spans="24:25">
      <c r="X4169" s="19"/>
      <c r="Y4169" s="20"/>
    </row>
    <row r="4170" spans="24:25">
      <c r="X4170" s="19"/>
      <c r="Y4170" s="20"/>
    </row>
    <row r="4171" spans="24:25">
      <c r="X4171" s="19"/>
      <c r="Y4171" s="20"/>
    </row>
    <row r="4172" spans="24:25">
      <c r="X4172" s="19"/>
      <c r="Y4172" s="20"/>
    </row>
    <row r="4173" spans="24:25">
      <c r="X4173" s="19"/>
      <c r="Y4173" s="20"/>
    </row>
    <row r="4174" spans="24:25">
      <c r="X4174" s="19"/>
      <c r="Y4174" s="20"/>
    </row>
    <row r="4175" spans="24:25">
      <c r="X4175" s="19"/>
      <c r="Y4175" s="20"/>
    </row>
    <row r="4176" spans="24:25">
      <c r="X4176" s="19"/>
      <c r="Y4176" s="20"/>
    </row>
    <row r="4177" spans="24:25">
      <c r="X4177" s="19"/>
      <c r="Y4177" s="20"/>
    </row>
    <row r="4178" spans="24:25">
      <c r="X4178" s="19"/>
      <c r="Y4178" s="20"/>
    </row>
    <row r="4179" spans="24:25">
      <c r="X4179" s="19"/>
      <c r="Y4179" s="20"/>
    </row>
    <row r="4180" spans="24:25">
      <c r="X4180" s="19"/>
      <c r="Y4180" s="20"/>
    </row>
    <row r="4181" spans="24:25">
      <c r="X4181" s="19"/>
      <c r="Y4181" s="20"/>
    </row>
    <row r="4182" spans="24:25">
      <c r="X4182" s="19"/>
      <c r="Y4182" s="20"/>
    </row>
    <row r="4183" spans="24:25">
      <c r="X4183" s="19"/>
      <c r="Y4183" s="20"/>
    </row>
    <row r="4184" spans="24:25">
      <c r="X4184" s="19"/>
      <c r="Y4184" s="20"/>
    </row>
    <row r="4185" spans="24:25">
      <c r="X4185" s="19"/>
      <c r="Y4185" s="20"/>
    </row>
    <row r="4186" spans="24:25">
      <c r="X4186" s="19"/>
      <c r="Y4186" s="20"/>
    </row>
    <row r="4187" spans="24:25">
      <c r="X4187" s="19"/>
      <c r="Y4187" s="20"/>
    </row>
    <row r="4188" spans="24:25">
      <c r="X4188" s="19"/>
      <c r="Y4188" s="20"/>
    </row>
    <row r="4189" spans="24:25">
      <c r="X4189" s="19"/>
      <c r="Y4189" s="20"/>
    </row>
    <row r="4190" spans="24:25">
      <c r="X4190" s="19"/>
      <c r="Y4190" s="20"/>
    </row>
    <row r="4191" spans="24:25">
      <c r="X4191" s="19"/>
      <c r="Y4191" s="20"/>
    </row>
    <row r="4192" spans="24:25">
      <c r="X4192" s="19"/>
      <c r="Y4192" s="20"/>
    </row>
    <row r="4193" spans="24:25">
      <c r="X4193" s="19"/>
      <c r="Y4193" s="20"/>
    </row>
    <row r="4194" spans="24:25">
      <c r="X4194" s="19"/>
      <c r="Y4194" s="20"/>
    </row>
    <row r="4195" spans="24:25">
      <c r="X4195" s="19"/>
      <c r="Y4195" s="20"/>
    </row>
    <row r="4196" spans="24:25">
      <c r="X4196" s="19"/>
      <c r="Y4196" s="20"/>
    </row>
    <row r="4197" spans="24:25">
      <c r="X4197" s="19"/>
      <c r="Y4197" s="20"/>
    </row>
    <row r="4198" spans="24:25">
      <c r="X4198" s="19"/>
      <c r="Y4198" s="20"/>
    </row>
    <row r="4199" spans="24:25">
      <c r="X4199" s="19"/>
      <c r="Y4199" s="20"/>
    </row>
    <row r="4200" spans="24:25">
      <c r="X4200" s="19"/>
      <c r="Y4200" s="20"/>
    </row>
    <row r="4201" spans="24:25">
      <c r="X4201" s="19"/>
      <c r="Y4201" s="20"/>
    </row>
    <row r="4202" spans="24:25">
      <c r="X4202" s="19"/>
      <c r="Y4202" s="20"/>
    </row>
    <row r="4203" spans="24:25">
      <c r="X4203" s="19"/>
      <c r="Y4203" s="20"/>
    </row>
    <row r="4204" spans="24:25">
      <c r="X4204" s="19"/>
      <c r="Y4204" s="20"/>
    </row>
    <row r="4205" spans="24:25">
      <c r="X4205" s="19"/>
      <c r="Y4205" s="20"/>
    </row>
    <row r="4206" spans="24:25">
      <c r="X4206" s="19"/>
      <c r="Y4206" s="20"/>
    </row>
    <row r="4207" spans="24:25">
      <c r="X4207" s="19"/>
      <c r="Y4207" s="20"/>
    </row>
    <row r="4208" spans="24:25">
      <c r="X4208" s="19"/>
      <c r="Y4208" s="20"/>
    </row>
    <row r="4209" spans="24:25">
      <c r="X4209" s="19"/>
      <c r="Y4209" s="20"/>
    </row>
    <row r="4210" spans="24:25">
      <c r="X4210" s="19"/>
      <c r="Y4210" s="20"/>
    </row>
    <row r="4211" spans="24:25">
      <c r="X4211" s="19"/>
      <c r="Y4211" s="20"/>
    </row>
    <row r="4212" spans="24:25">
      <c r="X4212" s="19"/>
      <c r="Y4212" s="20"/>
    </row>
    <row r="4213" spans="24:25">
      <c r="X4213" s="19"/>
      <c r="Y4213" s="20"/>
    </row>
    <row r="4214" spans="24:25">
      <c r="X4214" s="19"/>
      <c r="Y4214" s="20"/>
    </row>
    <row r="4215" spans="24:25">
      <c r="X4215" s="19"/>
      <c r="Y4215" s="20"/>
    </row>
    <row r="4216" spans="24:25">
      <c r="X4216" s="19"/>
      <c r="Y4216" s="20"/>
    </row>
    <row r="4217" spans="24:25">
      <c r="X4217" s="19"/>
      <c r="Y4217" s="20"/>
    </row>
    <row r="4218" spans="24:25">
      <c r="X4218" s="19"/>
      <c r="Y4218" s="20"/>
    </row>
    <row r="4219" spans="24:25">
      <c r="X4219" s="19"/>
      <c r="Y4219" s="20"/>
    </row>
    <row r="4220" spans="24:25">
      <c r="X4220" s="19"/>
      <c r="Y4220" s="20"/>
    </row>
    <row r="4221" spans="24:25">
      <c r="X4221" s="19"/>
      <c r="Y4221" s="20"/>
    </row>
    <row r="4222" spans="24:25">
      <c r="X4222" s="19"/>
      <c r="Y4222" s="20"/>
    </row>
    <row r="4223" spans="24:25">
      <c r="X4223" s="19"/>
      <c r="Y4223" s="20"/>
    </row>
    <row r="4224" spans="24:25">
      <c r="X4224" s="19"/>
      <c r="Y4224" s="20"/>
    </row>
    <row r="4225" spans="24:25">
      <c r="X4225" s="19"/>
      <c r="Y4225" s="20"/>
    </row>
    <row r="4226" spans="24:25">
      <c r="X4226" s="19"/>
      <c r="Y4226" s="20"/>
    </row>
    <row r="4227" spans="24:25">
      <c r="X4227" s="19"/>
      <c r="Y4227" s="20"/>
    </row>
    <row r="4228" spans="24:25">
      <c r="X4228" s="19"/>
      <c r="Y4228" s="20"/>
    </row>
    <row r="4229" spans="24:25">
      <c r="X4229" s="19"/>
      <c r="Y4229" s="20"/>
    </row>
    <row r="4230" spans="24:25">
      <c r="X4230" s="19"/>
      <c r="Y4230" s="20"/>
    </row>
    <row r="4231" spans="24:25">
      <c r="X4231" s="19"/>
      <c r="Y4231" s="20"/>
    </row>
    <row r="4232" spans="24:25">
      <c r="X4232" s="19"/>
      <c r="Y4232" s="20"/>
    </row>
    <row r="4233" spans="24:25">
      <c r="X4233" s="19"/>
      <c r="Y4233" s="20"/>
    </row>
    <row r="4234" spans="24:25">
      <c r="X4234" s="19"/>
      <c r="Y4234" s="20"/>
    </row>
    <row r="4235" spans="24:25">
      <c r="X4235" s="19"/>
      <c r="Y4235" s="20"/>
    </row>
    <row r="4236" spans="24:25">
      <c r="X4236" s="19"/>
      <c r="Y4236" s="20"/>
    </row>
    <row r="4237" spans="24:25">
      <c r="X4237" s="19"/>
      <c r="Y4237" s="20"/>
    </row>
    <row r="4238" spans="24:25">
      <c r="X4238" s="19"/>
      <c r="Y4238" s="20"/>
    </row>
    <row r="4239" spans="24:25">
      <c r="X4239" s="19"/>
      <c r="Y4239" s="20"/>
    </row>
    <row r="4240" spans="24:25">
      <c r="X4240" s="19"/>
      <c r="Y4240" s="20"/>
    </row>
    <row r="4241" spans="24:25">
      <c r="X4241" s="19"/>
      <c r="Y4241" s="20"/>
    </row>
    <row r="4242" spans="24:25">
      <c r="X4242" s="19"/>
      <c r="Y4242" s="20"/>
    </row>
    <row r="4243" spans="24:25">
      <c r="X4243" s="19"/>
      <c r="Y4243" s="20"/>
    </row>
    <row r="4244" spans="24:25">
      <c r="X4244" s="19"/>
      <c r="Y4244" s="20"/>
    </row>
    <row r="4245" spans="24:25">
      <c r="X4245" s="19"/>
      <c r="Y4245" s="20"/>
    </row>
    <row r="4246" spans="24:25">
      <c r="X4246" s="19"/>
      <c r="Y4246" s="20"/>
    </row>
    <row r="4247" spans="24:25">
      <c r="X4247" s="19"/>
      <c r="Y4247" s="20"/>
    </row>
    <row r="4248" spans="24:25">
      <c r="X4248" s="19"/>
      <c r="Y4248" s="20"/>
    </row>
    <row r="4249" spans="24:25">
      <c r="X4249" s="19"/>
      <c r="Y4249" s="20"/>
    </row>
    <row r="4250" spans="24:25">
      <c r="X4250" s="19"/>
      <c r="Y4250" s="20"/>
    </row>
    <row r="4251" spans="24:25">
      <c r="X4251" s="19"/>
      <c r="Y4251" s="20"/>
    </row>
    <row r="4252" spans="24:25">
      <c r="X4252" s="19"/>
      <c r="Y4252" s="20"/>
    </row>
    <row r="4253" spans="24:25">
      <c r="X4253" s="19"/>
      <c r="Y4253" s="20"/>
    </row>
    <row r="4254" spans="24:25">
      <c r="X4254" s="19"/>
      <c r="Y4254" s="20"/>
    </row>
    <row r="4255" spans="24:25">
      <c r="X4255" s="19"/>
      <c r="Y4255" s="20"/>
    </row>
    <row r="4256" spans="24:25">
      <c r="X4256" s="19"/>
      <c r="Y4256" s="20"/>
    </row>
    <row r="4257" spans="24:25">
      <c r="X4257" s="19"/>
      <c r="Y4257" s="20"/>
    </row>
    <row r="4258" spans="24:25">
      <c r="X4258" s="19"/>
      <c r="Y4258" s="20"/>
    </row>
    <row r="4259" spans="24:25">
      <c r="X4259" s="19"/>
      <c r="Y4259" s="20"/>
    </row>
    <row r="4260" spans="24:25">
      <c r="X4260" s="19"/>
      <c r="Y4260" s="20"/>
    </row>
    <row r="4261" spans="24:25">
      <c r="X4261" s="19"/>
      <c r="Y4261" s="20"/>
    </row>
    <row r="4262" spans="24:25">
      <c r="X4262" s="19"/>
      <c r="Y4262" s="20"/>
    </row>
    <row r="4263" spans="24:25">
      <c r="X4263" s="19"/>
      <c r="Y4263" s="20"/>
    </row>
    <row r="4264" spans="24:25">
      <c r="X4264" s="19"/>
      <c r="Y4264" s="20"/>
    </row>
    <row r="4265" spans="24:25">
      <c r="X4265" s="19"/>
      <c r="Y4265" s="20"/>
    </row>
    <row r="4266" spans="24:25">
      <c r="X4266" s="19"/>
      <c r="Y4266" s="20"/>
    </row>
    <row r="4267" spans="24:25">
      <c r="X4267" s="19"/>
      <c r="Y4267" s="20"/>
    </row>
    <row r="4268" spans="24:25">
      <c r="X4268" s="19"/>
      <c r="Y4268" s="20"/>
    </row>
    <row r="4269" spans="24:25">
      <c r="X4269" s="19"/>
      <c r="Y4269" s="20"/>
    </row>
    <row r="4270" spans="24:25">
      <c r="X4270" s="19"/>
      <c r="Y4270" s="20"/>
    </row>
    <row r="4271" spans="24:25">
      <c r="X4271" s="19"/>
      <c r="Y4271" s="20"/>
    </row>
    <row r="4272" spans="24:25">
      <c r="X4272" s="19"/>
      <c r="Y4272" s="20"/>
    </row>
    <row r="4273" spans="24:25">
      <c r="X4273" s="19"/>
      <c r="Y4273" s="20"/>
    </row>
    <row r="4274" spans="24:25">
      <c r="X4274" s="19"/>
      <c r="Y4274" s="20"/>
    </row>
    <row r="4275" spans="24:25">
      <c r="X4275" s="19"/>
      <c r="Y4275" s="20"/>
    </row>
    <row r="4276" spans="24:25">
      <c r="X4276" s="19"/>
      <c r="Y4276" s="20"/>
    </row>
    <row r="4277" spans="24:25">
      <c r="X4277" s="19"/>
      <c r="Y4277" s="20"/>
    </row>
    <row r="4278" spans="24:25">
      <c r="X4278" s="19"/>
      <c r="Y4278" s="20"/>
    </row>
    <row r="4279" spans="24:25">
      <c r="X4279" s="19"/>
      <c r="Y4279" s="20"/>
    </row>
    <row r="4280" spans="24:25">
      <c r="X4280" s="19"/>
      <c r="Y4280" s="20"/>
    </row>
    <row r="4281" spans="24:25">
      <c r="X4281" s="19"/>
      <c r="Y4281" s="20"/>
    </row>
    <row r="4282" spans="24:25">
      <c r="X4282" s="19"/>
      <c r="Y4282" s="20"/>
    </row>
    <row r="4283" spans="24:25">
      <c r="X4283" s="19"/>
      <c r="Y4283" s="20"/>
    </row>
    <row r="4284" spans="24:25">
      <c r="X4284" s="19"/>
      <c r="Y4284" s="20"/>
    </row>
    <row r="4285" spans="24:25">
      <c r="X4285" s="19"/>
      <c r="Y4285" s="20"/>
    </row>
    <row r="4286" spans="24:25">
      <c r="X4286" s="19"/>
      <c r="Y4286" s="20"/>
    </row>
    <row r="4287" spans="24:25">
      <c r="X4287" s="19"/>
      <c r="Y4287" s="20"/>
    </row>
    <row r="4288" spans="24:25">
      <c r="X4288" s="19"/>
      <c r="Y4288" s="20"/>
    </row>
    <row r="4289" spans="24:25">
      <c r="X4289" s="19"/>
      <c r="Y4289" s="20"/>
    </row>
    <row r="4290" spans="24:25">
      <c r="X4290" s="19"/>
      <c r="Y4290" s="20"/>
    </row>
    <row r="4291" spans="24:25">
      <c r="X4291" s="19"/>
      <c r="Y4291" s="20"/>
    </row>
    <row r="4292" spans="24:25">
      <c r="X4292" s="19"/>
      <c r="Y4292" s="20"/>
    </row>
    <row r="4293" spans="24:25">
      <c r="X4293" s="19"/>
      <c r="Y4293" s="20"/>
    </row>
    <row r="4294" spans="24:25">
      <c r="X4294" s="19"/>
      <c r="Y4294" s="20"/>
    </row>
    <row r="4295" spans="24:25">
      <c r="X4295" s="19"/>
      <c r="Y4295" s="20"/>
    </row>
    <row r="4296" spans="24:25">
      <c r="X4296" s="19"/>
      <c r="Y4296" s="20"/>
    </row>
    <row r="4297" spans="24:25">
      <c r="X4297" s="19"/>
      <c r="Y4297" s="20"/>
    </row>
    <row r="4298" spans="24:25">
      <c r="X4298" s="19"/>
      <c r="Y4298" s="20"/>
    </row>
    <row r="4299" spans="24:25">
      <c r="X4299" s="19"/>
      <c r="Y4299" s="20"/>
    </row>
    <row r="4300" spans="24:25">
      <c r="X4300" s="19"/>
      <c r="Y4300" s="20"/>
    </row>
    <row r="4301" spans="24:25">
      <c r="X4301" s="19"/>
      <c r="Y4301" s="20"/>
    </row>
    <row r="4302" spans="24:25">
      <c r="X4302" s="19"/>
      <c r="Y4302" s="20"/>
    </row>
    <row r="4303" spans="24:25">
      <c r="X4303" s="19"/>
      <c r="Y4303" s="20"/>
    </row>
    <row r="4304" spans="24:25">
      <c r="X4304" s="19"/>
      <c r="Y4304" s="20"/>
    </row>
    <row r="4305" spans="24:25">
      <c r="X4305" s="19"/>
      <c r="Y4305" s="20"/>
    </row>
    <row r="4306" spans="24:25">
      <c r="X4306" s="19"/>
      <c r="Y4306" s="20"/>
    </row>
    <row r="4307" spans="24:25">
      <c r="X4307" s="19"/>
      <c r="Y4307" s="20"/>
    </row>
    <row r="4308" spans="24:25">
      <c r="X4308" s="19"/>
      <c r="Y4308" s="20"/>
    </row>
    <row r="4309" spans="24:25">
      <c r="X4309" s="19"/>
      <c r="Y4309" s="20"/>
    </row>
    <row r="4310" spans="24:25">
      <c r="X4310" s="19"/>
      <c r="Y4310" s="20"/>
    </row>
    <row r="4311" spans="24:25">
      <c r="X4311" s="19"/>
      <c r="Y4311" s="20"/>
    </row>
    <row r="4312" spans="24:25">
      <c r="X4312" s="19"/>
      <c r="Y4312" s="20"/>
    </row>
    <row r="4313" spans="24:25">
      <c r="X4313" s="19"/>
      <c r="Y4313" s="20"/>
    </row>
    <row r="4314" spans="24:25">
      <c r="X4314" s="19"/>
      <c r="Y4314" s="20"/>
    </row>
    <row r="4315" spans="24:25">
      <c r="X4315" s="19"/>
      <c r="Y4315" s="20"/>
    </row>
    <row r="4316" spans="24:25">
      <c r="X4316" s="19"/>
      <c r="Y4316" s="20"/>
    </row>
    <row r="4317" spans="24:25">
      <c r="X4317" s="19"/>
      <c r="Y4317" s="20"/>
    </row>
    <row r="4318" spans="24:25">
      <c r="X4318" s="19"/>
      <c r="Y4318" s="20"/>
    </row>
    <row r="4319" spans="24:25">
      <c r="X4319" s="19"/>
      <c r="Y4319" s="20"/>
    </row>
    <row r="4320" spans="24:25">
      <c r="X4320" s="19"/>
      <c r="Y4320" s="20"/>
    </row>
    <row r="4321" spans="24:25">
      <c r="X4321" s="19"/>
      <c r="Y4321" s="20"/>
    </row>
    <row r="4322" spans="24:25">
      <c r="X4322" s="19"/>
      <c r="Y4322" s="20"/>
    </row>
    <row r="4323" spans="24:25">
      <c r="X4323" s="19"/>
      <c r="Y4323" s="20"/>
    </row>
    <row r="4324" spans="24:25">
      <c r="X4324" s="19"/>
      <c r="Y4324" s="20"/>
    </row>
    <row r="4325" spans="24:25">
      <c r="X4325" s="19"/>
      <c r="Y4325" s="20"/>
    </row>
    <row r="4326" spans="24:25">
      <c r="X4326" s="19"/>
      <c r="Y4326" s="20"/>
    </row>
    <row r="4327" spans="24:25">
      <c r="X4327" s="19"/>
      <c r="Y4327" s="20"/>
    </row>
    <row r="4328" spans="24:25">
      <c r="X4328" s="19"/>
      <c r="Y4328" s="20"/>
    </row>
    <row r="4329" spans="24:25">
      <c r="X4329" s="19"/>
      <c r="Y4329" s="20"/>
    </row>
    <row r="4330" spans="24:25">
      <c r="X4330" s="19"/>
      <c r="Y4330" s="20"/>
    </row>
    <row r="4331" spans="24:25">
      <c r="X4331" s="19"/>
      <c r="Y4331" s="20"/>
    </row>
    <row r="4332" spans="24:25">
      <c r="X4332" s="19"/>
      <c r="Y4332" s="20"/>
    </row>
    <row r="4333" spans="24:25">
      <c r="X4333" s="19"/>
      <c r="Y4333" s="20"/>
    </row>
    <row r="4334" spans="24:25">
      <c r="X4334" s="19"/>
      <c r="Y4334" s="20"/>
    </row>
    <row r="4335" spans="24:25">
      <c r="X4335" s="19"/>
      <c r="Y4335" s="20"/>
    </row>
    <row r="4336" spans="24:25">
      <c r="X4336" s="19"/>
      <c r="Y4336" s="20"/>
    </row>
    <row r="4337" spans="24:25">
      <c r="X4337" s="19"/>
      <c r="Y4337" s="20"/>
    </row>
    <row r="4338" spans="24:25">
      <c r="X4338" s="19"/>
      <c r="Y4338" s="20"/>
    </row>
    <row r="4339" spans="24:25">
      <c r="X4339" s="19"/>
      <c r="Y4339" s="20"/>
    </row>
    <row r="4340" spans="24:25">
      <c r="X4340" s="19"/>
      <c r="Y4340" s="20"/>
    </row>
    <row r="4341" spans="24:25">
      <c r="X4341" s="19"/>
      <c r="Y4341" s="20"/>
    </row>
    <row r="4342" spans="24:25">
      <c r="X4342" s="19"/>
      <c r="Y4342" s="20"/>
    </row>
    <row r="4343" spans="24:25">
      <c r="X4343" s="19"/>
      <c r="Y4343" s="20"/>
    </row>
    <row r="4344" spans="24:25">
      <c r="X4344" s="19"/>
      <c r="Y4344" s="20"/>
    </row>
    <row r="4345" spans="24:25">
      <c r="X4345" s="19"/>
      <c r="Y4345" s="20"/>
    </row>
    <row r="4346" spans="24:25">
      <c r="X4346" s="19"/>
      <c r="Y4346" s="20"/>
    </row>
    <row r="4347" spans="24:25">
      <c r="X4347" s="19"/>
      <c r="Y4347" s="20"/>
    </row>
    <row r="4348" spans="24:25">
      <c r="X4348" s="19"/>
      <c r="Y4348" s="20"/>
    </row>
    <row r="4349" spans="24:25">
      <c r="X4349" s="19"/>
      <c r="Y4349" s="20"/>
    </row>
    <row r="4350" spans="24:25">
      <c r="X4350" s="19"/>
      <c r="Y4350" s="20"/>
    </row>
    <row r="4351" spans="24:25">
      <c r="X4351" s="19"/>
      <c r="Y4351" s="20"/>
    </row>
    <row r="4352" spans="24:25">
      <c r="X4352" s="19"/>
      <c r="Y4352" s="20"/>
    </row>
    <row r="4353" spans="24:25">
      <c r="X4353" s="19"/>
      <c r="Y4353" s="20"/>
    </row>
    <row r="4354" spans="24:25">
      <c r="X4354" s="19"/>
      <c r="Y4354" s="20"/>
    </row>
    <row r="4355" spans="24:25">
      <c r="X4355" s="19"/>
      <c r="Y4355" s="20"/>
    </row>
    <row r="4356" spans="24:25">
      <c r="X4356" s="19"/>
      <c r="Y4356" s="20"/>
    </row>
    <row r="4357" spans="24:25">
      <c r="X4357" s="19"/>
      <c r="Y4357" s="20"/>
    </row>
    <row r="4358" spans="24:25">
      <c r="X4358" s="19"/>
      <c r="Y4358" s="20"/>
    </row>
    <row r="4359" spans="24:25">
      <c r="X4359" s="19"/>
      <c r="Y4359" s="20"/>
    </row>
    <row r="4360" spans="24:25">
      <c r="X4360" s="19"/>
      <c r="Y4360" s="20"/>
    </row>
    <row r="4361" spans="24:25">
      <c r="X4361" s="19"/>
      <c r="Y4361" s="20"/>
    </row>
    <row r="4362" spans="24:25">
      <c r="X4362" s="19"/>
      <c r="Y4362" s="20"/>
    </row>
    <row r="4363" spans="24:25">
      <c r="X4363" s="19"/>
      <c r="Y4363" s="20"/>
    </row>
    <row r="4364" spans="24:25">
      <c r="X4364" s="19"/>
      <c r="Y4364" s="20"/>
    </row>
    <row r="4365" spans="24:25">
      <c r="X4365" s="19"/>
      <c r="Y4365" s="20"/>
    </row>
    <row r="4366" spans="24:25">
      <c r="X4366" s="19"/>
      <c r="Y4366" s="20"/>
    </row>
    <row r="4367" spans="24:25">
      <c r="X4367" s="19"/>
      <c r="Y4367" s="20"/>
    </row>
    <row r="4368" spans="24:25">
      <c r="X4368" s="19"/>
      <c r="Y4368" s="20"/>
    </row>
    <row r="4369" spans="24:25">
      <c r="X4369" s="19"/>
      <c r="Y4369" s="20"/>
    </row>
    <row r="4370" spans="24:25">
      <c r="X4370" s="19"/>
      <c r="Y4370" s="20"/>
    </row>
    <row r="4371" spans="24:25">
      <c r="X4371" s="19"/>
      <c r="Y4371" s="20"/>
    </row>
    <row r="4372" spans="24:25">
      <c r="X4372" s="19"/>
      <c r="Y4372" s="20"/>
    </row>
    <row r="4373" spans="24:25">
      <c r="X4373" s="19"/>
      <c r="Y4373" s="20"/>
    </row>
    <row r="4374" spans="24:25">
      <c r="X4374" s="19"/>
      <c r="Y4374" s="20"/>
    </row>
    <row r="4375" spans="24:25">
      <c r="X4375" s="19"/>
      <c r="Y4375" s="20"/>
    </row>
    <row r="4376" spans="24:25">
      <c r="X4376" s="19"/>
      <c r="Y4376" s="20"/>
    </row>
    <row r="4377" spans="24:25">
      <c r="X4377" s="19"/>
      <c r="Y4377" s="20"/>
    </row>
    <row r="4378" spans="24:25">
      <c r="X4378" s="19"/>
      <c r="Y4378" s="20"/>
    </row>
    <row r="4379" spans="24:25">
      <c r="X4379" s="19"/>
      <c r="Y4379" s="20"/>
    </row>
    <row r="4380" spans="24:25">
      <c r="X4380" s="19"/>
      <c r="Y4380" s="20"/>
    </row>
    <row r="4381" spans="24:25">
      <c r="X4381" s="19"/>
      <c r="Y4381" s="20"/>
    </row>
    <row r="4382" spans="24:25">
      <c r="X4382" s="19"/>
      <c r="Y4382" s="20"/>
    </row>
    <row r="4383" spans="24:25">
      <c r="X4383" s="19"/>
      <c r="Y4383" s="20"/>
    </row>
    <row r="4384" spans="24:25">
      <c r="X4384" s="19"/>
      <c r="Y4384" s="20"/>
    </row>
    <row r="4385" spans="24:25">
      <c r="X4385" s="19"/>
      <c r="Y4385" s="20"/>
    </row>
    <row r="4386" spans="24:25">
      <c r="X4386" s="19"/>
      <c r="Y4386" s="20"/>
    </row>
    <row r="4387" spans="24:25">
      <c r="X4387" s="19"/>
      <c r="Y4387" s="20"/>
    </row>
    <row r="4388" spans="24:25">
      <c r="X4388" s="19"/>
      <c r="Y4388" s="20"/>
    </row>
    <row r="4389" spans="24:25">
      <c r="X4389" s="19"/>
      <c r="Y4389" s="20"/>
    </row>
    <row r="4390" spans="24:25">
      <c r="X4390" s="19"/>
      <c r="Y4390" s="20"/>
    </row>
    <row r="4391" spans="24:25">
      <c r="X4391" s="19"/>
      <c r="Y4391" s="20"/>
    </row>
    <row r="4392" spans="24:25">
      <c r="X4392" s="19"/>
      <c r="Y4392" s="20"/>
    </row>
    <row r="4393" spans="24:25">
      <c r="X4393" s="19"/>
      <c r="Y4393" s="20"/>
    </row>
    <row r="4394" spans="24:25">
      <c r="X4394" s="19"/>
      <c r="Y4394" s="20"/>
    </row>
    <row r="4395" spans="24:25">
      <c r="X4395" s="19"/>
      <c r="Y4395" s="20"/>
    </row>
    <row r="4396" spans="24:25">
      <c r="X4396" s="19"/>
      <c r="Y4396" s="20"/>
    </row>
    <row r="4397" spans="24:25">
      <c r="X4397" s="19"/>
      <c r="Y4397" s="20"/>
    </row>
    <row r="4398" spans="24:25">
      <c r="X4398" s="19"/>
      <c r="Y4398" s="20"/>
    </row>
    <row r="4399" spans="24:25">
      <c r="X4399" s="19"/>
      <c r="Y4399" s="20"/>
    </row>
    <row r="4400" spans="24:25">
      <c r="X4400" s="19"/>
      <c r="Y4400" s="20"/>
    </row>
    <row r="4401" spans="24:25">
      <c r="X4401" s="19"/>
      <c r="Y4401" s="20"/>
    </row>
    <row r="4402" spans="24:25">
      <c r="X4402" s="19"/>
      <c r="Y4402" s="20"/>
    </row>
    <row r="4403" spans="24:25">
      <c r="X4403" s="19"/>
      <c r="Y4403" s="20"/>
    </row>
    <row r="4404" spans="24:25">
      <c r="X4404" s="19"/>
      <c r="Y4404" s="20"/>
    </row>
    <row r="4405" spans="24:25">
      <c r="X4405" s="19"/>
      <c r="Y4405" s="20"/>
    </row>
    <row r="4406" spans="24:25">
      <c r="X4406" s="19"/>
      <c r="Y4406" s="20"/>
    </row>
    <row r="4407" spans="24:25">
      <c r="X4407" s="19"/>
      <c r="Y4407" s="20"/>
    </row>
    <row r="4408" spans="24:25">
      <c r="X4408" s="19"/>
      <c r="Y4408" s="20"/>
    </row>
    <row r="4409" spans="24:25">
      <c r="X4409" s="19"/>
      <c r="Y4409" s="20"/>
    </row>
    <row r="4410" spans="24:25">
      <c r="X4410" s="19"/>
      <c r="Y4410" s="20"/>
    </row>
    <row r="4411" spans="24:25">
      <c r="X4411" s="19"/>
      <c r="Y4411" s="20"/>
    </row>
    <row r="4412" spans="24:25">
      <c r="X4412" s="19"/>
      <c r="Y4412" s="20"/>
    </row>
    <row r="4413" spans="24:25">
      <c r="X4413" s="19"/>
      <c r="Y4413" s="20"/>
    </row>
    <row r="4414" spans="24:25">
      <c r="X4414" s="19"/>
      <c r="Y4414" s="20"/>
    </row>
    <row r="4415" spans="24:25">
      <c r="X4415" s="19"/>
      <c r="Y4415" s="20"/>
    </row>
    <row r="4416" spans="24:25">
      <c r="X4416" s="19"/>
      <c r="Y4416" s="20"/>
    </row>
    <row r="4417" spans="24:25">
      <c r="X4417" s="19"/>
      <c r="Y4417" s="20"/>
    </row>
    <row r="4418" spans="24:25">
      <c r="X4418" s="19"/>
      <c r="Y4418" s="20"/>
    </row>
    <row r="4419" spans="24:25">
      <c r="X4419" s="19"/>
      <c r="Y4419" s="20"/>
    </row>
    <row r="4420" spans="24:25">
      <c r="X4420" s="19"/>
      <c r="Y4420" s="20"/>
    </row>
    <row r="4421" spans="24:25">
      <c r="X4421" s="19"/>
      <c r="Y4421" s="20"/>
    </row>
    <row r="4422" spans="24:25">
      <c r="X4422" s="19"/>
      <c r="Y4422" s="20"/>
    </row>
    <row r="4423" spans="24:25">
      <c r="X4423" s="19"/>
      <c r="Y4423" s="20"/>
    </row>
    <row r="4424" spans="24:25">
      <c r="X4424" s="19"/>
      <c r="Y4424" s="20"/>
    </row>
    <row r="4425" spans="24:25">
      <c r="X4425" s="19"/>
      <c r="Y4425" s="20"/>
    </row>
    <row r="4426" spans="24:25">
      <c r="X4426" s="19"/>
      <c r="Y4426" s="20"/>
    </row>
    <row r="4427" spans="24:25">
      <c r="X4427" s="19"/>
      <c r="Y4427" s="20"/>
    </row>
    <row r="4428" spans="24:25">
      <c r="X4428" s="19"/>
      <c r="Y4428" s="20"/>
    </row>
    <row r="4429" spans="24:25">
      <c r="X4429" s="19"/>
      <c r="Y4429" s="20"/>
    </row>
    <row r="4430" spans="24:25">
      <c r="X4430" s="19"/>
      <c r="Y4430" s="20"/>
    </row>
    <row r="4431" spans="24:25">
      <c r="X4431" s="19"/>
      <c r="Y4431" s="20"/>
    </row>
    <row r="4432" spans="24:25">
      <c r="X4432" s="19"/>
      <c r="Y4432" s="20"/>
    </row>
    <row r="4433" spans="24:25">
      <c r="X4433" s="19"/>
      <c r="Y4433" s="20"/>
    </row>
    <row r="4434" spans="24:25">
      <c r="X4434" s="19"/>
      <c r="Y4434" s="20"/>
    </row>
    <row r="4435" spans="24:25">
      <c r="X4435" s="19"/>
      <c r="Y4435" s="20"/>
    </row>
    <row r="4436" spans="24:25">
      <c r="X4436" s="19"/>
      <c r="Y4436" s="20"/>
    </row>
    <row r="4437" spans="24:25">
      <c r="X4437" s="19"/>
      <c r="Y4437" s="20"/>
    </row>
    <row r="4438" spans="24:25">
      <c r="X4438" s="19"/>
      <c r="Y4438" s="20"/>
    </row>
    <row r="4439" spans="24:25">
      <c r="X4439" s="19"/>
      <c r="Y4439" s="20"/>
    </row>
    <row r="4440" spans="24:25">
      <c r="X4440" s="19"/>
      <c r="Y4440" s="20"/>
    </row>
    <row r="4441" spans="24:25">
      <c r="X4441" s="19"/>
      <c r="Y4441" s="20"/>
    </row>
    <row r="4442" spans="24:25">
      <c r="X4442" s="19"/>
      <c r="Y4442" s="20"/>
    </row>
    <row r="4443" spans="24:25">
      <c r="X4443" s="19"/>
      <c r="Y4443" s="20"/>
    </row>
    <row r="4444" spans="24:25">
      <c r="X4444" s="19"/>
      <c r="Y4444" s="20"/>
    </row>
    <row r="4445" spans="24:25">
      <c r="X4445" s="19"/>
      <c r="Y4445" s="20"/>
    </row>
    <row r="4446" spans="24:25">
      <c r="X4446" s="19"/>
      <c r="Y4446" s="20"/>
    </row>
    <row r="4447" spans="24:25">
      <c r="X4447" s="19"/>
      <c r="Y4447" s="20"/>
    </row>
    <row r="4448" spans="24:25">
      <c r="X4448" s="19"/>
      <c r="Y4448" s="20"/>
    </row>
    <row r="4449" spans="24:25">
      <c r="X4449" s="19"/>
      <c r="Y4449" s="20"/>
    </row>
    <row r="4450" spans="24:25">
      <c r="X4450" s="19"/>
      <c r="Y4450" s="20"/>
    </row>
    <row r="4451" spans="24:25">
      <c r="X4451" s="19"/>
      <c r="Y4451" s="20"/>
    </row>
    <row r="4452" spans="24:25">
      <c r="X4452" s="19"/>
      <c r="Y4452" s="20"/>
    </row>
    <row r="4453" spans="24:25">
      <c r="X4453" s="19"/>
      <c r="Y4453" s="20"/>
    </row>
    <row r="4454" spans="24:25">
      <c r="X4454" s="19"/>
      <c r="Y4454" s="20"/>
    </row>
    <row r="4455" spans="24:25">
      <c r="X4455" s="19"/>
      <c r="Y4455" s="20"/>
    </row>
    <row r="4456" spans="24:25">
      <c r="X4456" s="19"/>
      <c r="Y4456" s="20"/>
    </row>
    <row r="4457" spans="24:25">
      <c r="X4457" s="19"/>
      <c r="Y4457" s="20"/>
    </row>
    <row r="4458" spans="24:25">
      <c r="X4458" s="19"/>
      <c r="Y4458" s="20"/>
    </row>
    <row r="4459" spans="24:25">
      <c r="X4459" s="19"/>
      <c r="Y4459" s="20"/>
    </row>
    <row r="4460" spans="24:25">
      <c r="X4460" s="19"/>
      <c r="Y4460" s="20"/>
    </row>
    <row r="4461" spans="24:25">
      <c r="X4461" s="19"/>
      <c r="Y4461" s="20"/>
    </row>
    <row r="4462" spans="24:25">
      <c r="X4462" s="19"/>
      <c r="Y4462" s="20"/>
    </row>
    <row r="4463" spans="24:25">
      <c r="X4463" s="19"/>
      <c r="Y4463" s="20"/>
    </row>
    <row r="4464" spans="24:25">
      <c r="X4464" s="19"/>
      <c r="Y4464" s="20"/>
    </row>
    <row r="4465" spans="24:25">
      <c r="X4465" s="19"/>
      <c r="Y4465" s="20"/>
    </row>
    <row r="4466" spans="24:25">
      <c r="X4466" s="19"/>
      <c r="Y4466" s="20"/>
    </row>
    <row r="4467" spans="24:25">
      <c r="X4467" s="19"/>
      <c r="Y4467" s="20"/>
    </row>
    <row r="4468" spans="24:25">
      <c r="X4468" s="19"/>
      <c r="Y4468" s="20"/>
    </row>
    <row r="4469" spans="24:25">
      <c r="X4469" s="19"/>
      <c r="Y4469" s="20"/>
    </row>
    <row r="4470" spans="24:25">
      <c r="X4470" s="19"/>
      <c r="Y4470" s="20"/>
    </row>
    <row r="4471" spans="24:25">
      <c r="X4471" s="19"/>
      <c r="Y4471" s="20"/>
    </row>
    <row r="4472" spans="24:25">
      <c r="X4472" s="19"/>
      <c r="Y4472" s="20"/>
    </row>
    <row r="4473" spans="24:25">
      <c r="X4473" s="19"/>
      <c r="Y4473" s="20"/>
    </row>
    <row r="4474" spans="24:25">
      <c r="X4474" s="19"/>
      <c r="Y4474" s="20"/>
    </row>
    <row r="4475" spans="24:25">
      <c r="X4475" s="19"/>
      <c r="Y4475" s="20"/>
    </row>
    <row r="4476" spans="24:25">
      <c r="X4476" s="19"/>
      <c r="Y4476" s="20"/>
    </row>
    <row r="4477" spans="24:25">
      <c r="X4477" s="19"/>
      <c r="Y4477" s="20"/>
    </row>
    <row r="4478" spans="24:25">
      <c r="X4478" s="19"/>
      <c r="Y4478" s="20"/>
    </row>
    <row r="4479" spans="24:25">
      <c r="X4479" s="19"/>
      <c r="Y4479" s="20"/>
    </row>
    <row r="4480" spans="24:25">
      <c r="X4480" s="19"/>
      <c r="Y4480" s="20"/>
    </row>
    <row r="4481" spans="24:25">
      <c r="X4481" s="19"/>
      <c r="Y4481" s="20"/>
    </row>
    <row r="4482" spans="24:25">
      <c r="X4482" s="19"/>
      <c r="Y4482" s="20"/>
    </row>
    <row r="4483" spans="24:25">
      <c r="X4483" s="19"/>
      <c r="Y4483" s="20"/>
    </row>
    <row r="4484" spans="24:25">
      <c r="X4484" s="19"/>
      <c r="Y4484" s="20"/>
    </row>
    <row r="4485" spans="24:25">
      <c r="X4485" s="19"/>
      <c r="Y4485" s="20"/>
    </row>
    <row r="4486" spans="24:25">
      <c r="X4486" s="19"/>
      <c r="Y4486" s="20"/>
    </row>
    <row r="4487" spans="24:25">
      <c r="X4487" s="19"/>
      <c r="Y4487" s="20"/>
    </row>
    <row r="4488" spans="24:25">
      <c r="X4488" s="19"/>
      <c r="Y4488" s="20"/>
    </row>
    <row r="4489" spans="24:25">
      <c r="X4489" s="19"/>
      <c r="Y4489" s="20"/>
    </row>
    <row r="4490" spans="24:25">
      <c r="X4490" s="19"/>
      <c r="Y4490" s="20"/>
    </row>
    <row r="4491" spans="24:25">
      <c r="X4491" s="19"/>
      <c r="Y4491" s="20"/>
    </row>
    <row r="4492" spans="24:25">
      <c r="X4492" s="19"/>
      <c r="Y4492" s="20"/>
    </row>
    <row r="4493" spans="24:25">
      <c r="X4493" s="19"/>
      <c r="Y4493" s="20"/>
    </row>
    <row r="4494" spans="24:25">
      <c r="X4494" s="19"/>
      <c r="Y4494" s="20"/>
    </row>
    <row r="4495" spans="24:25">
      <c r="X4495" s="19"/>
      <c r="Y4495" s="20"/>
    </row>
    <row r="4496" spans="24:25">
      <c r="X4496" s="19"/>
      <c r="Y4496" s="20"/>
    </row>
    <row r="4497" spans="24:25">
      <c r="X4497" s="19"/>
      <c r="Y4497" s="20"/>
    </row>
    <row r="4498" spans="24:25">
      <c r="X4498" s="19"/>
      <c r="Y4498" s="20"/>
    </row>
    <row r="4499" spans="24:25">
      <c r="X4499" s="19"/>
      <c r="Y4499" s="20"/>
    </row>
    <row r="4500" spans="24:25">
      <c r="X4500" s="19"/>
      <c r="Y4500" s="20"/>
    </row>
    <row r="4501" spans="24:25">
      <c r="X4501" s="19"/>
      <c r="Y4501" s="20"/>
    </row>
    <row r="4502" spans="24:25">
      <c r="X4502" s="19"/>
      <c r="Y4502" s="20"/>
    </row>
    <row r="4503" spans="24:25">
      <c r="X4503" s="19"/>
      <c r="Y4503" s="20"/>
    </row>
    <row r="4504" spans="24:25">
      <c r="X4504" s="19"/>
      <c r="Y4504" s="20"/>
    </row>
    <row r="4505" spans="24:25">
      <c r="X4505" s="19"/>
      <c r="Y4505" s="20"/>
    </row>
    <row r="4506" spans="24:25">
      <c r="X4506" s="19"/>
      <c r="Y4506" s="20"/>
    </row>
    <row r="4507" spans="24:25">
      <c r="X4507" s="19"/>
      <c r="Y4507" s="20"/>
    </row>
    <row r="4508" spans="24:25">
      <c r="X4508" s="19"/>
      <c r="Y4508" s="20"/>
    </row>
    <row r="4509" spans="24:25">
      <c r="X4509" s="19"/>
      <c r="Y4509" s="20"/>
    </row>
    <row r="4510" spans="24:25">
      <c r="X4510" s="19"/>
      <c r="Y4510" s="20"/>
    </row>
    <row r="4511" spans="24:25">
      <c r="X4511" s="19"/>
      <c r="Y4511" s="20"/>
    </row>
    <row r="4512" spans="24:25">
      <c r="X4512" s="19"/>
      <c r="Y4512" s="20"/>
    </row>
    <row r="4513" spans="24:25">
      <c r="X4513" s="19"/>
      <c r="Y4513" s="20"/>
    </row>
    <row r="4514" spans="24:25">
      <c r="X4514" s="19"/>
      <c r="Y4514" s="20"/>
    </row>
    <row r="4515" spans="24:25">
      <c r="X4515" s="19"/>
      <c r="Y4515" s="20"/>
    </row>
    <row r="4516" spans="24:25">
      <c r="X4516" s="19"/>
      <c r="Y4516" s="20"/>
    </row>
    <row r="4517" spans="24:25">
      <c r="X4517" s="19"/>
      <c r="Y4517" s="20"/>
    </row>
    <row r="4518" spans="24:25">
      <c r="X4518" s="19"/>
      <c r="Y4518" s="20"/>
    </row>
    <row r="4519" spans="24:25">
      <c r="X4519" s="19"/>
      <c r="Y4519" s="20"/>
    </row>
    <row r="4520" spans="24:25">
      <c r="X4520" s="19"/>
      <c r="Y4520" s="20"/>
    </row>
    <row r="4521" spans="24:25">
      <c r="X4521" s="19"/>
      <c r="Y4521" s="20"/>
    </row>
    <row r="4522" spans="24:25">
      <c r="X4522" s="19"/>
      <c r="Y4522" s="20"/>
    </row>
    <row r="4523" spans="24:25">
      <c r="X4523" s="19"/>
      <c r="Y4523" s="20"/>
    </row>
    <row r="4524" spans="24:25">
      <c r="X4524" s="19"/>
      <c r="Y4524" s="20"/>
    </row>
    <row r="4525" spans="24:25">
      <c r="X4525" s="19"/>
      <c r="Y4525" s="20"/>
    </row>
    <row r="4526" spans="24:25">
      <c r="X4526" s="19"/>
      <c r="Y4526" s="20"/>
    </row>
    <row r="4527" spans="24:25">
      <c r="X4527" s="19"/>
      <c r="Y4527" s="20"/>
    </row>
    <row r="4528" spans="24:25">
      <c r="X4528" s="19"/>
      <c r="Y4528" s="20"/>
    </row>
    <row r="4529" spans="24:25">
      <c r="X4529" s="19"/>
      <c r="Y4529" s="20"/>
    </row>
    <row r="4530" spans="24:25">
      <c r="X4530" s="19"/>
      <c r="Y4530" s="20"/>
    </row>
    <row r="4531" spans="24:25">
      <c r="X4531" s="19"/>
      <c r="Y4531" s="20"/>
    </row>
    <row r="4532" spans="24:25">
      <c r="X4532" s="19"/>
      <c r="Y4532" s="20"/>
    </row>
    <row r="4533" spans="24:25">
      <c r="X4533" s="19"/>
      <c r="Y4533" s="20"/>
    </row>
    <row r="4534" spans="24:25">
      <c r="X4534" s="19"/>
      <c r="Y4534" s="20"/>
    </row>
    <row r="4535" spans="24:25">
      <c r="X4535" s="19"/>
      <c r="Y4535" s="20"/>
    </row>
    <row r="4536" spans="24:25">
      <c r="X4536" s="19"/>
      <c r="Y4536" s="20"/>
    </row>
    <row r="4537" spans="24:25">
      <c r="X4537" s="19"/>
      <c r="Y4537" s="20"/>
    </row>
    <row r="4538" spans="24:25">
      <c r="X4538" s="19"/>
      <c r="Y4538" s="20"/>
    </row>
    <row r="4539" spans="24:25">
      <c r="X4539" s="19"/>
      <c r="Y4539" s="20"/>
    </row>
    <row r="4540" spans="24:25">
      <c r="X4540" s="19"/>
      <c r="Y4540" s="20"/>
    </row>
    <row r="4541" spans="24:25">
      <c r="X4541" s="19"/>
      <c r="Y4541" s="20"/>
    </row>
    <row r="4542" spans="24:25">
      <c r="X4542" s="19"/>
      <c r="Y4542" s="20"/>
    </row>
    <row r="4543" spans="24:25">
      <c r="X4543" s="19"/>
      <c r="Y4543" s="20"/>
    </row>
    <row r="4544" spans="24:25">
      <c r="X4544" s="19"/>
      <c r="Y4544" s="20"/>
    </row>
    <row r="4545" spans="24:25">
      <c r="X4545" s="19"/>
      <c r="Y4545" s="20"/>
    </row>
    <row r="4546" spans="24:25">
      <c r="X4546" s="19"/>
      <c r="Y4546" s="20"/>
    </row>
    <row r="4547" spans="24:25">
      <c r="X4547" s="19"/>
      <c r="Y4547" s="20"/>
    </row>
    <row r="4548" spans="24:25">
      <c r="X4548" s="19"/>
      <c r="Y4548" s="20"/>
    </row>
    <row r="4549" spans="24:25">
      <c r="X4549" s="19"/>
      <c r="Y4549" s="20"/>
    </row>
    <row r="4550" spans="24:25">
      <c r="X4550" s="19"/>
      <c r="Y4550" s="20"/>
    </row>
    <row r="4551" spans="24:25">
      <c r="X4551" s="19"/>
      <c r="Y4551" s="20"/>
    </row>
    <row r="4552" spans="24:25">
      <c r="X4552" s="19"/>
      <c r="Y4552" s="20"/>
    </row>
    <row r="4553" spans="24:25">
      <c r="X4553" s="19"/>
      <c r="Y4553" s="20"/>
    </row>
    <row r="4554" spans="24:25">
      <c r="X4554" s="19"/>
      <c r="Y4554" s="20"/>
    </row>
    <row r="4555" spans="24:25">
      <c r="X4555" s="19"/>
      <c r="Y4555" s="20"/>
    </row>
    <row r="4556" spans="24:25">
      <c r="X4556" s="19"/>
      <c r="Y4556" s="20"/>
    </row>
    <row r="4557" spans="24:25">
      <c r="X4557" s="19"/>
      <c r="Y4557" s="20"/>
    </row>
    <row r="4558" spans="24:25">
      <c r="X4558" s="19"/>
      <c r="Y4558" s="20"/>
    </row>
    <row r="4559" spans="24:25">
      <c r="X4559" s="19"/>
      <c r="Y4559" s="20"/>
    </row>
    <row r="4560" spans="24:25">
      <c r="X4560" s="19"/>
      <c r="Y4560" s="20"/>
    </row>
    <row r="4561" spans="24:25">
      <c r="X4561" s="19"/>
      <c r="Y4561" s="20"/>
    </row>
    <row r="4562" spans="24:25">
      <c r="X4562" s="19"/>
      <c r="Y4562" s="20"/>
    </row>
    <row r="4563" spans="24:25">
      <c r="X4563" s="19"/>
      <c r="Y4563" s="20"/>
    </row>
    <row r="4564" spans="24:25">
      <c r="X4564" s="19"/>
      <c r="Y4564" s="20"/>
    </row>
    <row r="4565" spans="24:25">
      <c r="X4565" s="19"/>
      <c r="Y4565" s="20"/>
    </row>
    <row r="4566" spans="24:25">
      <c r="X4566" s="19"/>
      <c r="Y4566" s="20"/>
    </row>
    <row r="4567" spans="24:25">
      <c r="X4567" s="19"/>
      <c r="Y4567" s="20"/>
    </row>
    <row r="4568" spans="24:25">
      <c r="X4568" s="19"/>
      <c r="Y4568" s="20"/>
    </row>
    <row r="4569" spans="24:25">
      <c r="X4569" s="19"/>
      <c r="Y4569" s="20"/>
    </row>
    <row r="4570" spans="24:25">
      <c r="X4570" s="19"/>
      <c r="Y4570" s="20"/>
    </row>
    <row r="4571" spans="24:25">
      <c r="X4571" s="19"/>
      <c r="Y4571" s="20"/>
    </row>
    <row r="4572" spans="24:25">
      <c r="X4572" s="19"/>
      <c r="Y4572" s="20"/>
    </row>
    <row r="4573" spans="24:25">
      <c r="X4573" s="19"/>
      <c r="Y4573" s="20"/>
    </row>
    <row r="4574" spans="24:25">
      <c r="X4574" s="19"/>
      <c r="Y4574" s="20"/>
    </row>
    <row r="4575" spans="24:25">
      <c r="X4575" s="19"/>
      <c r="Y4575" s="20"/>
    </row>
    <row r="4576" spans="24:25">
      <c r="X4576" s="19"/>
      <c r="Y4576" s="20"/>
    </row>
    <row r="4577" spans="24:25">
      <c r="X4577" s="19"/>
      <c r="Y4577" s="20"/>
    </row>
    <row r="4578" spans="24:25">
      <c r="X4578" s="19"/>
      <c r="Y4578" s="20"/>
    </row>
    <row r="4579" spans="24:25">
      <c r="X4579" s="19"/>
      <c r="Y4579" s="20"/>
    </row>
    <row r="4580" spans="24:25">
      <c r="X4580" s="19"/>
      <c r="Y4580" s="20"/>
    </row>
    <row r="4581" spans="24:25">
      <c r="X4581" s="19"/>
      <c r="Y4581" s="20"/>
    </row>
    <row r="4582" spans="24:25">
      <c r="X4582" s="19"/>
      <c r="Y4582" s="20"/>
    </row>
    <row r="4583" spans="24:25">
      <c r="X4583" s="19"/>
      <c r="Y4583" s="20"/>
    </row>
    <row r="4584" spans="24:25">
      <c r="X4584" s="19"/>
      <c r="Y4584" s="20"/>
    </row>
    <row r="4585" spans="24:25">
      <c r="X4585" s="19"/>
      <c r="Y4585" s="20"/>
    </row>
    <row r="4586" spans="24:25">
      <c r="X4586" s="19"/>
      <c r="Y4586" s="20"/>
    </row>
    <row r="4587" spans="24:25">
      <c r="X4587" s="19"/>
      <c r="Y4587" s="20"/>
    </row>
    <row r="4588" spans="24:25">
      <c r="X4588" s="19"/>
      <c r="Y4588" s="20"/>
    </row>
    <row r="4589" spans="24:25">
      <c r="X4589" s="19"/>
      <c r="Y4589" s="20"/>
    </row>
    <row r="4590" spans="24:25">
      <c r="X4590" s="19"/>
      <c r="Y4590" s="20"/>
    </row>
    <row r="4591" spans="24:25">
      <c r="X4591" s="19"/>
      <c r="Y4591" s="20"/>
    </row>
    <row r="4592" spans="24:25">
      <c r="X4592" s="19"/>
      <c r="Y4592" s="20"/>
    </row>
    <row r="4593" spans="24:25">
      <c r="X4593" s="19"/>
      <c r="Y4593" s="20"/>
    </row>
    <row r="4594" spans="24:25">
      <c r="X4594" s="19"/>
      <c r="Y4594" s="20"/>
    </row>
    <row r="4595" spans="24:25">
      <c r="X4595" s="19"/>
      <c r="Y4595" s="20"/>
    </row>
    <row r="4596" spans="24:25">
      <c r="X4596" s="19"/>
      <c r="Y4596" s="20"/>
    </row>
    <row r="4597" spans="24:25">
      <c r="X4597" s="19"/>
      <c r="Y4597" s="20"/>
    </row>
    <row r="4598" spans="24:25">
      <c r="X4598" s="19"/>
      <c r="Y4598" s="20"/>
    </row>
    <row r="4599" spans="24:25">
      <c r="X4599" s="19"/>
      <c r="Y4599" s="20"/>
    </row>
    <row r="4600" spans="24:25">
      <c r="X4600" s="19"/>
      <c r="Y4600" s="20"/>
    </row>
    <row r="4601" spans="24:25">
      <c r="X4601" s="19"/>
      <c r="Y4601" s="20"/>
    </row>
    <row r="4602" spans="24:25">
      <c r="X4602" s="19"/>
      <c r="Y4602" s="20"/>
    </row>
    <row r="4603" spans="24:25">
      <c r="X4603" s="19"/>
      <c r="Y4603" s="20"/>
    </row>
    <row r="4604" spans="24:25">
      <c r="X4604" s="19"/>
      <c r="Y4604" s="20"/>
    </row>
    <row r="4605" spans="24:25">
      <c r="X4605" s="19"/>
      <c r="Y4605" s="20"/>
    </row>
    <row r="4606" spans="24:25">
      <c r="X4606" s="19"/>
      <c r="Y4606" s="20"/>
    </row>
    <row r="4607" spans="24:25">
      <c r="X4607" s="19"/>
      <c r="Y4607" s="20"/>
    </row>
    <row r="4608" spans="24:25">
      <c r="X4608" s="19"/>
      <c r="Y4608" s="20"/>
    </row>
    <row r="4609" spans="24:25">
      <c r="X4609" s="19"/>
      <c r="Y4609" s="20"/>
    </row>
    <row r="4610" spans="24:25">
      <c r="X4610" s="19"/>
      <c r="Y4610" s="20"/>
    </row>
    <row r="4611" spans="24:25">
      <c r="X4611" s="19"/>
      <c r="Y4611" s="20"/>
    </row>
    <row r="4612" spans="24:25">
      <c r="X4612" s="19"/>
      <c r="Y4612" s="20"/>
    </row>
    <row r="4613" spans="24:25">
      <c r="X4613" s="19"/>
      <c r="Y4613" s="20"/>
    </row>
    <row r="4614" spans="24:25">
      <c r="X4614" s="19"/>
      <c r="Y4614" s="20"/>
    </row>
    <row r="4615" spans="24:25">
      <c r="X4615" s="19"/>
      <c r="Y4615" s="20"/>
    </row>
    <row r="4616" spans="24:25">
      <c r="X4616" s="19"/>
      <c r="Y4616" s="20"/>
    </row>
    <row r="4617" spans="24:25">
      <c r="X4617" s="19"/>
      <c r="Y4617" s="20"/>
    </row>
    <row r="4618" spans="24:25">
      <c r="X4618" s="19"/>
      <c r="Y4618" s="20"/>
    </row>
    <row r="4619" spans="24:25">
      <c r="X4619" s="19"/>
      <c r="Y4619" s="20"/>
    </row>
    <row r="4620" spans="24:25">
      <c r="X4620" s="19"/>
      <c r="Y4620" s="20"/>
    </row>
    <row r="4621" spans="24:25">
      <c r="X4621" s="19"/>
      <c r="Y4621" s="20"/>
    </row>
    <row r="4622" spans="24:25">
      <c r="X4622" s="19"/>
      <c r="Y4622" s="20"/>
    </row>
    <row r="4623" spans="24:25">
      <c r="X4623" s="19"/>
      <c r="Y4623" s="20"/>
    </row>
    <row r="4624" spans="24:25">
      <c r="X4624" s="19"/>
      <c r="Y4624" s="20"/>
    </row>
    <row r="4625" spans="24:25">
      <c r="X4625" s="19"/>
      <c r="Y4625" s="20"/>
    </row>
    <row r="4626" spans="24:25">
      <c r="X4626" s="19"/>
      <c r="Y4626" s="20"/>
    </row>
    <row r="4627" spans="24:25">
      <c r="X4627" s="19"/>
      <c r="Y4627" s="20"/>
    </row>
    <row r="4628" spans="24:25">
      <c r="X4628" s="19"/>
      <c r="Y4628" s="20"/>
    </row>
    <row r="4629" spans="24:25">
      <c r="X4629" s="19"/>
      <c r="Y4629" s="20"/>
    </row>
    <row r="4630" spans="24:25">
      <c r="X4630" s="19"/>
      <c r="Y4630" s="20"/>
    </row>
    <row r="4631" spans="24:25">
      <c r="X4631" s="19"/>
      <c r="Y4631" s="20"/>
    </row>
    <row r="4632" spans="24:25">
      <c r="X4632" s="19"/>
      <c r="Y4632" s="20"/>
    </row>
    <row r="4633" spans="24:25">
      <c r="X4633" s="19"/>
      <c r="Y4633" s="20"/>
    </row>
    <row r="4634" spans="24:25">
      <c r="X4634" s="19"/>
      <c r="Y4634" s="20"/>
    </row>
    <row r="4635" spans="24:25">
      <c r="X4635" s="19"/>
      <c r="Y4635" s="20"/>
    </row>
    <row r="4636" spans="24:25">
      <c r="X4636" s="19"/>
      <c r="Y4636" s="20"/>
    </row>
    <row r="4637" spans="24:25">
      <c r="X4637" s="19"/>
      <c r="Y4637" s="20"/>
    </row>
    <row r="4638" spans="24:25">
      <c r="X4638" s="19"/>
      <c r="Y4638" s="20"/>
    </row>
    <row r="4639" spans="24:25">
      <c r="X4639" s="19"/>
      <c r="Y4639" s="20"/>
    </row>
    <row r="4640" spans="24:25">
      <c r="X4640" s="19"/>
      <c r="Y4640" s="20"/>
    </row>
    <row r="4641" spans="24:25">
      <c r="X4641" s="19"/>
      <c r="Y4641" s="20"/>
    </row>
    <row r="4642" spans="24:25">
      <c r="X4642" s="19"/>
      <c r="Y4642" s="20"/>
    </row>
    <row r="4643" spans="24:25">
      <c r="X4643" s="19"/>
      <c r="Y4643" s="20"/>
    </row>
    <row r="4644" spans="24:25">
      <c r="X4644" s="19"/>
      <c r="Y4644" s="20"/>
    </row>
    <row r="4645" spans="24:25">
      <c r="X4645" s="19"/>
      <c r="Y4645" s="20"/>
    </row>
    <row r="4646" spans="24:25">
      <c r="X4646" s="19"/>
      <c r="Y4646" s="20"/>
    </row>
    <row r="4647" spans="24:25">
      <c r="X4647" s="19"/>
      <c r="Y4647" s="20"/>
    </row>
    <row r="4648" spans="24:25">
      <c r="X4648" s="19"/>
      <c r="Y4648" s="20"/>
    </row>
    <row r="4649" spans="24:25">
      <c r="X4649" s="19"/>
      <c r="Y4649" s="20"/>
    </row>
    <row r="4650" spans="24:25">
      <c r="X4650" s="19"/>
      <c r="Y4650" s="20"/>
    </row>
    <row r="4651" spans="24:25">
      <c r="X4651" s="19"/>
      <c r="Y4651" s="20"/>
    </row>
    <row r="4652" spans="24:25">
      <c r="X4652" s="19"/>
      <c r="Y4652" s="20"/>
    </row>
    <row r="4653" spans="24:25">
      <c r="X4653" s="19"/>
      <c r="Y4653" s="20"/>
    </row>
    <row r="4654" spans="24:25">
      <c r="X4654" s="19"/>
      <c r="Y4654" s="20"/>
    </row>
    <row r="4655" spans="24:25">
      <c r="X4655" s="19"/>
      <c r="Y4655" s="20"/>
    </row>
    <row r="4656" spans="24:25">
      <c r="X4656" s="19"/>
      <c r="Y4656" s="20"/>
    </row>
    <row r="4657" spans="24:25">
      <c r="X4657" s="19"/>
      <c r="Y4657" s="20"/>
    </row>
    <row r="4658" spans="24:25">
      <c r="X4658" s="19"/>
      <c r="Y4658" s="20"/>
    </row>
    <row r="4659" spans="24:25">
      <c r="X4659" s="19"/>
      <c r="Y4659" s="20"/>
    </row>
    <row r="4660" spans="24:25">
      <c r="X4660" s="19"/>
      <c r="Y4660" s="20"/>
    </row>
    <row r="4661" spans="24:25">
      <c r="X4661" s="19"/>
      <c r="Y4661" s="20"/>
    </row>
    <row r="4662" spans="24:25">
      <c r="X4662" s="19"/>
      <c r="Y4662" s="20"/>
    </row>
    <row r="4663" spans="24:25">
      <c r="X4663" s="19"/>
      <c r="Y4663" s="20"/>
    </row>
    <row r="4664" spans="24:25">
      <c r="X4664" s="19"/>
      <c r="Y4664" s="20"/>
    </row>
    <row r="4665" spans="24:25">
      <c r="X4665" s="19"/>
      <c r="Y4665" s="20"/>
    </row>
    <row r="4666" spans="24:25">
      <c r="X4666" s="19"/>
      <c r="Y4666" s="20"/>
    </row>
    <row r="4667" spans="24:25">
      <c r="X4667" s="19"/>
      <c r="Y4667" s="20"/>
    </row>
    <row r="4668" spans="24:25">
      <c r="X4668" s="19"/>
      <c r="Y4668" s="20"/>
    </row>
    <row r="4669" spans="24:25">
      <c r="X4669" s="19"/>
      <c r="Y4669" s="20"/>
    </row>
    <row r="4670" spans="24:25">
      <c r="X4670" s="19"/>
      <c r="Y4670" s="20"/>
    </row>
    <row r="4671" spans="24:25">
      <c r="X4671" s="19"/>
      <c r="Y4671" s="20"/>
    </row>
    <row r="4672" spans="24:25">
      <c r="X4672" s="19"/>
      <c r="Y4672" s="20"/>
    </row>
    <row r="4673" spans="24:25">
      <c r="X4673" s="19"/>
      <c r="Y4673" s="20"/>
    </row>
    <row r="4674" spans="24:25">
      <c r="X4674" s="19"/>
      <c r="Y4674" s="20"/>
    </row>
    <row r="4675" spans="24:25">
      <c r="X4675" s="19"/>
      <c r="Y4675" s="20"/>
    </row>
    <row r="4676" spans="24:25">
      <c r="X4676" s="19"/>
      <c r="Y4676" s="20"/>
    </row>
    <row r="4677" spans="24:25">
      <c r="X4677" s="19"/>
      <c r="Y4677" s="20"/>
    </row>
    <row r="4678" spans="24:25">
      <c r="X4678" s="19"/>
      <c r="Y4678" s="20"/>
    </row>
    <row r="4679" spans="24:25">
      <c r="X4679" s="19"/>
      <c r="Y4679" s="20"/>
    </row>
    <row r="4680" spans="24:25">
      <c r="X4680" s="19"/>
      <c r="Y4680" s="20"/>
    </row>
    <row r="4681" spans="24:25">
      <c r="X4681" s="19"/>
      <c r="Y4681" s="20"/>
    </row>
    <row r="4682" spans="24:25">
      <c r="X4682" s="19"/>
      <c r="Y4682" s="20"/>
    </row>
    <row r="4683" spans="24:25">
      <c r="X4683" s="19"/>
      <c r="Y4683" s="20"/>
    </row>
    <row r="4684" spans="24:25">
      <c r="X4684" s="19"/>
      <c r="Y4684" s="20"/>
    </row>
    <row r="4685" spans="24:25">
      <c r="X4685" s="19"/>
      <c r="Y4685" s="20"/>
    </row>
    <row r="4686" spans="24:25">
      <c r="X4686" s="19"/>
      <c r="Y4686" s="20"/>
    </row>
    <row r="4687" spans="24:25">
      <c r="X4687" s="19"/>
      <c r="Y4687" s="20"/>
    </row>
    <row r="4688" spans="24:25">
      <c r="X4688" s="19"/>
      <c r="Y4688" s="20"/>
    </row>
    <row r="4689" spans="24:25">
      <c r="X4689" s="19"/>
      <c r="Y4689" s="20"/>
    </row>
    <row r="4690" spans="24:25">
      <c r="X4690" s="19"/>
      <c r="Y4690" s="20"/>
    </row>
    <row r="4691" spans="24:25">
      <c r="X4691" s="19"/>
      <c r="Y4691" s="20"/>
    </row>
    <row r="4692" spans="24:25">
      <c r="X4692" s="19"/>
      <c r="Y4692" s="20"/>
    </row>
    <row r="4693" spans="24:25">
      <c r="X4693" s="19"/>
      <c r="Y4693" s="20"/>
    </row>
    <row r="4694" spans="24:25">
      <c r="X4694" s="19"/>
      <c r="Y4694" s="20"/>
    </row>
    <row r="4695" spans="24:25">
      <c r="X4695" s="19"/>
      <c r="Y4695" s="20"/>
    </row>
    <row r="4696" spans="24:25">
      <c r="X4696" s="19"/>
      <c r="Y4696" s="20"/>
    </row>
    <row r="4697" spans="24:25">
      <c r="X4697" s="19"/>
      <c r="Y4697" s="20"/>
    </row>
    <row r="4698" spans="24:25">
      <c r="X4698" s="19"/>
      <c r="Y4698" s="20"/>
    </row>
    <row r="4699" spans="24:25">
      <c r="X4699" s="19"/>
      <c r="Y4699" s="20"/>
    </row>
    <row r="4700" spans="24:25">
      <c r="X4700" s="19"/>
      <c r="Y4700" s="20"/>
    </row>
    <row r="4701" spans="24:25">
      <c r="X4701" s="19"/>
      <c r="Y4701" s="20"/>
    </row>
    <row r="4702" spans="24:25">
      <c r="X4702" s="19"/>
      <c r="Y4702" s="20"/>
    </row>
    <row r="4703" spans="24:25">
      <c r="X4703" s="19"/>
      <c r="Y4703" s="20"/>
    </row>
    <row r="4704" spans="24:25">
      <c r="X4704" s="19"/>
      <c r="Y4704" s="20"/>
    </row>
    <row r="4705" spans="24:25">
      <c r="X4705" s="19"/>
      <c r="Y4705" s="20"/>
    </row>
    <row r="4706" spans="24:25">
      <c r="X4706" s="19"/>
      <c r="Y4706" s="20"/>
    </row>
    <row r="4707" spans="24:25">
      <c r="X4707" s="19"/>
      <c r="Y4707" s="20"/>
    </row>
    <row r="4708" spans="24:25">
      <c r="X4708" s="19"/>
      <c r="Y4708" s="20"/>
    </row>
    <row r="4709" spans="24:25">
      <c r="X4709" s="19"/>
      <c r="Y4709" s="20"/>
    </row>
    <row r="4710" spans="24:25">
      <c r="X4710" s="19"/>
      <c r="Y4710" s="20"/>
    </row>
    <row r="4711" spans="24:25">
      <c r="X4711" s="19"/>
      <c r="Y4711" s="20"/>
    </row>
    <row r="4712" spans="24:25">
      <c r="X4712" s="19"/>
      <c r="Y4712" s="20"/>
    </row>
    <row r="4713" spans="24:25">
      <c r="X4713" s="19"/>
      <c r="Y4713" s="20"/>
    </row>
    <row r="4714" spans="24:25">
      <c r="X4714" s="19"/>
      <c r="Y4714" s="20"/>
    </row>
    <row r="4715" spans="24:25">
      <c r="X4715" s="19"/>
      <c r="Y4715" s="20"/>
    </row>
    <row r="4716" spans="24:25">
      <c r="X4716" s="19"/>
      <c r="Y4716" s="20"/>
    </row>
    <row r="4717" spans="24:25">
      <c r="X4717" s="19"/>
      <c r="Y4717" s="20"/>
    </row>
    <row r="4718" spans="24:25">
      <c r="X4718" s="19"/>
      <c r="Y4718" s="20"/>
    </row>
    <row r="4719" spans="24:25">
      <c r="X4719" s="19"/>
      <c r="Y4719" s="20"/>
    </row>
    <row r="4720" spans="24:25">
      <c r="X4720" s="19"/>
      <c r="Y4720" s="20"/>
    </row>
    <row r="4721" spans="24:25">
      <c r="X4721" s="19"/>
      <c r="Y4721" s="20"/>
    </row>
    <row r="4722" spans="24:25">
      <c r="X4722" s="19"/>
      <c r="Y4722" s="20"/>
    </row>
    <row r="4723" spans="24:25">
      <c r="X4723" s="19"/>
      <c r="Y4723" s="20"/>
    </row>
    <row r="4724" spans="24:25">
      <c r="X4724" s="19"/>
      <c r="Y4724" s="20"/>
    </row>
    <row r="4725" spans="24:25">
      <c r="X4725" s="19"/>
      <c r="Y4725" s="20"/>
    </row>
    <row r="4726" spans="24:25">
      <c r="X4726" s="19"/>
      <c r="Y4726" s="20"/>
    </row>
    <row r="4727" spans="24:25">
      <c r="X4727" s="19"/>
      <c r="Y4727" s="20"/>
    </row>
    <row r="4728" spans="24:25">
      <c r="X4728" s="19"/>
      <c r="Y4728" s="20"/>
    </row>
    <row r="4729" spans="24:25">
      <c r="X4729" s="19"/>
      <c r="Y4729" s="20"/>
    </row>
    <row r="4730" spans="24:25">
      <c r="X4730" s="19"/>
      <c r="Y4730" s="20"/>
    </row>
    <row r="4731" spans="24:25">
      <c r="X4731" s="19"/>
      <c r="Y4731" s="20"/>
    </row>
    <row r="4732" spans="24:25">
      <c r="X4732" s="19"/>
      <c r="Y4732" s="20"/>
    </row>
    <row r="4733" spans="24:25">
      <c r="X4733" s="19"/>
      <c r="Y4733" s="20"/>
    </row>
    <row r="4734" spans="24:25">
      <c r="X4734" s="19"/>
      <c r="Y4734" s="20"/>
    </row>
    <row r="4735" spans="24:25">
      <c r="X4735" s="19"/>
      <c r="Y4735" s="20"/>
    </row>
    <row r="4736" spans="24:25">
      <c r="X4736" s="19"/>
      <c r="Y4736" s="20"/>
    </row>
    <row r="4737" spans="24:25">
      <c r="X4737" s="19"/>
      <c r="Y4737" s="20"/>
    </row>
    <row r="4738" spans="24:25">
      <c r="X4738" s="19"/>
      <c r="Y4738" s="20"/>
    </row>
    <row r="4739" spans="24:25">
      <c r="X4739" s="19"/>
      <c r="Y4739" s="20"/>
    </row>
    <row r="4740" spans="24:25">
      <c r="X4740" s="19"/>
      <c r="Y4740" s="20"/>
    </row>
    <row r="4741" spans="24:25">
      <c r="X4741" s="19"/>
      <c r="Y4741" s="20"/>
    </row>
    <row r="4742" spans="24:25">
      <c r="X4742" s="19"/>
      <c r="Y4742" s="20"/>
    </row>
    <row r="4743" spans="24:25">
      <c r="X4743" s="19"/>
      <c r="Y4743" s="20"/>
    </row>
    <row r="4744" spans="24:25">
      <c r="X4744" s="19"/>
      <c r="Y4744" s="20"/>
    </row>
    <row r="4745" spans="24:25">
      <c r="X4745" s="19"/>
      <c r="Y4745" s="20"/>
    </row>
    <row r="4746" spans="24:25">
      <c r="X4746" s="19"/>
      <c r="Y4746" s="20"/>
    </row>
    <row r="4747" spans="24:25">
      <c r="X4747" s="19"/>
      <c r="Y4747" s="20"/>
    </row>
    <row r="4748" spans="24:25">
      <c r="X4748" s="19"/>
      <c r="Y4748" s="20"/>
    </row>
    <row r="4749" spans="24:25">
      <c r="X4749" s="19"/>
      <c r="Y4749" s="20"/>
    </row>
    <row r="4750" spans="24:25">
      <c r="X4750" s="19"/>
      <c r="Y4750" s="20"/>
    </row>
    <row r="4751" spans="24:25">
      <c r="X4751" s="19"/>
      <c r="Y4751" s="20"/>
    </row>
    <row r="4752" spans="24:25">
      <c r="X4752" s="19"/>
      <c r="Y4752" s="20"/>
    </row>
    <row r="4753" spans="24:25">
      <c r="X4753" s="19"/>
      <c r="Y4753" s="20"/>
    </row>
    <row r="4754" spans="24:25">
      <c r="X4754" s="19"/>
      <c r="Y4754" s="20"/>
    </row>
    <row r="4755" spans="24:25">
      <c r="X4755" s="19"/>
      <c r="Y4755" s="20"/>
    </row>
    <row r="4756" spans="24:25">
      <c r="X4756" s="19"/>
      <c r="Y4756" s="20"/>
    </row>
    <row r="4757" spans="24:25">
      <c r="X4757" s="19"/>
      <c r="Y4757" s="20"/>
    </row>
    <row r="4758" spans="24:25">
      <c r="X4758" s="19"/>
      <c r="Y4758" s="20"/>
    </row>
    <row r="4759" spans="24:25">
      <c r="X4759" s="19"/>
      <c r="Y4759" s="20"/>
    </row>
    <row r="4760" spans="24:25">
      <c r="X4760" s="19"/>
      <c r="Y4760" s="20"/>
    </row>
    <row r="4761" spans="24:25">
      <c r="X4761" s="19"/>
      <c r="Y4761" s="20"/>
    </row>
    <row r="4762" spans="24:25">
      <c r="X4762" s="19"/>
      <c r="Y4762" s="20"/>
    </row>
    <row r="4763" spans="24:25">
      <c r="X4763" s="19"/>
      <c r="Y4763" s="20"/>
    </row>
    <row r="4764" spans="24:25">
      <c r="X4764" s="19"/>
      <c r="Y4764" s="20"/>
    </row>
    <row r="4765" spans="24:25">
      <c r="X4765" s="19"/>
      <c r="Y4765" s="20"/>
    </row>
    <row r="4766" spans="24:25">
      <c r="X4766" s="19"/>
      <c r="Y4766" s="20"/>
    </row>
    <row r="4767" spans="24:25">
      <c r="X4767" s="19"/>
      <c r="Y4767" s="20"/>
    </row>
    <row r="4768" spans="24:25">
      <c r="X4768" s="19"/>
      <c r="Y4768" s="20"/>
    </row>
    <row r="4769" spans="24:25">
      <c r="X4769" s="19"/>
      <c r="Y4769" s="20"/>
    </row>
    <row r="4770" spans="24:25">
      <c r="X4770" s="19"/>
      <c r="Y4770" s="20"/>
    </row>
    <row r="4771" spans="24:25">
      <c r="X4771" s="19"/>
      <c r="Y4771" s="20"/>
    </row>
    <row r="4772" spans="24:25">
      <c r="X4772" s="19"/>
      <c r="Y4772" s="20"/>
    </row>
    <row r="4773" spans="24:25">
      <c r="X4773" s="19"/>
      <c r="Y4773" s="20"/>
    </row>
    <row r="4774" spans="24:25">
      <c r="X4774" s="19"/>
      <c r="Y4774" s="20"/>
    </row>
    <row r="4775" spans="24:25">
      <c r="X4775" s="19"/>
      <c r="Y4775" s="20"/>
    </row>
    <row r="4776" spans="24:25">
      <c r="X4776" s="19"/>
      <c r="Y4776" s="20"/>
    </row>
    <row r="4777" spans="24:25">
      <c r="X4777" s="19"/>
      <c r="Y4777" s="20"/>
    </row>
    <row r="4778" spans="24:25">
      <c r="X4778" s="19"/>
      <c r="Y4778" s="20"/>
    </row>
    <row r="4779" spans="24:25">
      <c r="X4779" s="19"/>
      <c r="Y4779" s="20"/>
    </row>
    <row r="4780" spans="24:25">
      <c r="X4780" s="19"/>
      <c r="Y4780" s="20"/>
    </row>
    <row r="4781" spans="24:25">
      <c r="X4781" s="19"/>
      <c r="Y4781" s="20"/>
    </row>
    <row r="4782" spans="24:25">
      <c r="X4782" s="19"/>
      <c r="Y4782" s="20"/>
    </row>
    <row r="4783" spans="24:25">
      <c r="X4783" s="19"/>
      <c r="Y4783" s="20"/>
    </row>
    <row r="4784" spans="24:25">
      <c r="X4784" s="19"/>
      <c r="Y4784" s="20"/>
    </row>
    <row r="4785" spans="24:25">
      <c r="X4785" s="19"/>
      <c r="Y4785" s="20"/>
    </row>
    <row r="4786" spans="24:25">
      <c r="X4786" s="19"/>
      <c r="Y4786" s="20"/>
    </row>
    <row r="4787" spans="24:25">
      <c r="X4787" s="19"/>
      <c r="Y4787" s="20"/>
    </row>
    <row r="4788" spans="24:25">
      <c r="X4788" s="19"/>
      <c r="Y4788" s="20"/>
    </row>
    <row r="4789" spans="24:25">
      <c r="X4789" s="19"/>
      <c r="Y4789" s="20"/>
    </row>
    <row r="4790" spans="24:25">
      <c r="X4790" s="19"/>
      <c r="Y4790" s="20"/>
    </row>
    <row r="4791" spans="24:25">
      <c r="X4791" s="19"/>
      <c r="Y4791" s="20"/>
    </row>
    <row r="4792" spans="24:25">
      <c r="X4792" s="19"/>
      <c r="Y4792" s="20"/>
    </row>
    <row r="4793" spans="24:25">
      <c r="X4793" s="19"/>
      <c r="Y4793" s="20"/>
    </row>
    <row r="4794" spans="24:25">
      <c r="X4794" s="19"/>
      <c r="Y4794" s="20"/>
    </row>
    <row r="4795" spans="24:25">
      <c r="X4795" s="19"/>
      <c r="Y4795" s="20"/>
    </row>
    <row r="4796" spans="24:25">
      <c r="X4796" s="19"/>
      <c r="Y4796" s="20"/>
    </row>
    <row r="4797" spans="24:25">
      <c r="X4797" s="19"/>
      <c r="Y4797" s="20"/>
    </row>
    <row r="4798" spans="24:25">
      <c r="X4798" s="19"/>
      <c r="Y4798" s="20"/>
    </row>
    <row r="4799" spans="24:25">
      <c r="X4799" s="19"/>
      <c r="Y4799" s="20"/>
    </row>
    <row r="4800" spans="24:25">
      <c r="X4800" s="19"/>
      <c r="Y4800" s="20"/>
    </row>
    <row r="4801" spans="24:25">
      <c r="X4801" s="19"/>
      <c r="Y4801" s="20"/>
    </row>
    <row r="4802" spans="24:25">
      <c r="X4802" s="19"/>
      <c r="Y4802" s="20"/>
    </row>
    <row r="4803" spans="24:25">
      <c r="X4803" s="19"/>
      <c r="Y4803" s="20"/>
    </row>
    <row r="4804" spans="24:25">
      <c r="X4804" s="19"/>
      <c r="Y4804" s="20"/>
    </row>
    <row r="4805" spans="24:25">
      <c r="X4805" s="19"/>
      <c r="Y4805" s="20"/>
    </row>
    <row r="4806" spans="24:25">
      <c r="X4806" s="19"/>
      <c r="Y4806" s="20"/>
    </row>
    <row r="4807" spans="24:25">
      <c r="X4807" s="19"/>
      <c r="Y4807" s="20"/>
    </row>
    <row r="4808" spans="24:25">
      <c r="X4808" s="19"/>
      <c r="Y4808" s="20"/>
    </row>
    <row r="4809" spans="24:25">
      <c r="X4809" s="19"/>
      <c r="Y4809" s="20"/>
    </row>
    <row r="4810" spans="24:25">
      <c r="X4810" s="19"/>
      <c r="Y4810" s="20"/>
    </row>
    <row r="4811" spans="24:25">
      <c r="X4811" s="19"/>
      <c r="Y4811" s="20"/>
    </row>
    <row r="4812" spans="24:25">
      <c r="X4812" s="19"/>
      <c r="Y4812" s="20"/>
    </row>
    <row r="4813" spans="24:25">
      <c r="X4813" s="19"/>
      <c r="Y4813" s="20"/>
    </row>
    <row r="4814" spans="24:25">
      <c r="X4814" s="19"/>
      <c r="Y4814" s="20"/>
    </row>
    <row r="4815" spans="24:25">
      <c r="X4815" s="19"/>
      <c r="Y4815" s="20"/>
    </row>
    <row r="4816" spans="24:25">
      <c r="X4816" s="19"/>
      <c r="Y4816" s="20"/>
    </row>
    <row r="4817" spans="24:25">
      <c r="X4817" s="19"/>
      <c r="Y4817" s="20"/>
    </row>
    <row r="4818" spans="24:25">
      <c r="X4818" s="19"/>
      <c r="Y4818" s="20"/>
    </row>
    <row r="4819" spans="24:25">
      <c r="X4819" s="19"/>
      <c r="Y4819" s="20"/>
    </row>
    <row r="4820" spans="24:25">
      <c r="X4820" s="19"/>
      <c r="Y4820" s="20"/>
    </row>
    <row r="4821" spans="24:25">
      <c r="X4821" s="19"/>
      <c r="Y4821" s="20"/>
    </row>
    <row r="4822" spans="24:25">
      <c r="X4822" s="19"/>
      <c r="Y4822" s="20"/>
    </row>
    <row r="4823" spans="24:25">
      <c r="X4823" s="19"/>
      <c r="Y4823" s="20"/>
    </row>
    <row r="4824" spans="24:25">
      <c r="X4824" s="19"/>
      <c r="Y4824" s="20"/>
    </row>
    <row r="4825" spans="24:25">
      <c r="X4825" s="19"/>
      <c r="Y4825" s="20"/>
    </row>
    <row r="4826" spans="24:25">
      <c r="X4826" s="19"/>
      <c r="Y4826" s="20"/>
    </row>
    <row r="4827" spans="24:25">
      <c r="X4827" s="19"/>
      <c r="Y4827" s="20"/>
    </row>
    <row r="4828" spans="24:25">
      <c r="X4828" s="19"/>
      <c r="Y4828" s="20"/>
    </row>
    <row r="4829" spans="24:25">
      <c r="X4829" s="19"/>
      <c r="Y4829" s="20"/>
    </row>
    <row r="4830" spans="24:25">
      <c r="X4830" s="19"/>
      <c r="Y4830" s="20"/>
    </row>
    <row r="4831" spans="24:25">
      <c r="X4831" s="19"/>
      <c r="Y4831" s="20"/>
    </row>
    <row r="4832" spans="24:25">
      <c r="X4832" s="19"/>
      <c r="Y4832" s="20"/>
    </row>
    <row r="4833" spans="24:25">
      <c r="X4833" s="19"/>
      <c r="Y4833" s="20"/>
    </row>
    <row r="4834" spans="24:25">
      <c r="X4834" s="19"/>
      <c r="Y4834" s="20"/>
    </row>
    <row r="4835" spans="24:25">
      <c r="X4835" s="19"/>
      <c r="Y4835" s="20"/>
    </row>
    <row r="4836" spans="24:25">
      <c r="X4836" s="19"/>
      <c r="Y4836" s="20"/>
    </row>
    <row r="4837" spans="24:25">
      <c r="X4837" s="19"/>
      <c r="Y4837" s="20"/>
    </row>
    <row r="4838" spans="24:25">
      <c r="X4838" s="19"/>
      <c r="Y4838" s="20"/>
    </row>
    <row r="4839" spans="24:25">
      <c r="X4839" s="19"/>
      <c r="Y4839" s="20"/>
    </row>
    <row r="4840" spans="24:25">
      <c r="X4840" s="19"/>
      <c r="Y4840" s="20"/>
    </row>
    <row r="4841" spans="24:25">
      <c r="X4841" s="19"/>
      <c r="Y4841" s="20"/>
    </row>
    <row r="4842" spans="24:25">
      <c r="X4842" s="19"/>
      <c r="Y4842" s="20"/>
    </row>
    <row r="4843" spans="24:25">
      <c r="X4843" s="19"/>
      <c r="Y4843" s="20"/>
    </row>
    <row r="4844" spans="24:25">
      <c r="X4844" s="19"/>
      <c r="Y4844" s="20"/>
    </row>
    <row r="4845" spans="24:25">
      <c r="X4845" s="19"/>
      <c r="Y4845" s="20"/>
    </row>
    <row r="4846" spans="24:25">
      <c r="X4846" s="19"/>
      <c r="Y4846" s="20"/>
    </row>
    <row r="4847" spans="24:25">
      <c r="X4847" s="19"/>
      <c r="Y4847" s="20"/>
    </row>
    <row r="4848" spans="24:25">
      <c r="X4848" s="19"/>
      <c r="Y4848" s="20"/>
    </row>
    <row r="4849" spans="24:25">
      <c r="X4849" s="19"/>
      <c r="Y4849" s="20"/>
    </row>
    <row r="4850" spans="24:25">
      <c r="X4850" s="19"/>
      <c r="Y4850" s="20"/>
    </row>
    <row r="4851" spans="24:25">
      <c r="X4851" s="19"/>
      <c r="Y4851" s="20"/>
    </row>
    <row r="4852" spans="24:25">
      <c r="X4852" s="19"/>
      <c r="Y4852" s="20"/>
    </row>
    <row r="4853" spans="24:25">
      <c r="X4853" s="19"/>
      <c r="Y4853" s="20"/>
    </row>
    <row r="4854" spans="24:25">
      <c r="X4854" s="19"/>
      <c r="Y4854" s="20"/>
    </row>
    <row r="4855" spans="24:25">
      <c r="X4855" s="19"/>
      <c r="Y4855" s="20"/>
    </row>
    <row r="4856" spans="24:25">
      <c r="X4856" s="19"/>
      <c r="Y4856" s="20"/>
    </row>
    <row r="4857" spans="24:25">
      <c r="X4857" s="19"/>
      <c r="Y4857" s="20"/>
    </row>
    <row r="4858" spans="24:25">
      <c r="X4858" s="19"/>
      <c r="Y4858" s="20"/>
    </row>
    <row r="4859" spans="24:25">
      <c r="X4859" s="19"/>
      <c r="Y4859" s="20"/>
    </row>
    <row r="4860" spans="24:25">
      <c r="X4860" s="19"/>
      <c r="Y4860" s="20"/>
    </row>
    <row r="4861" spans="24:25">
      <c r="X4861" s="19"/>
      <c r="Y4861" s="20"/>
    </row>
    <row r="4862" spans="24:25">
      <c r="X4862" s="19"/>
      <c r="Y4862" s="20"/>
    </row>
    <row r="4863" spans="24:25">
      <c r="X4863" s="19"/>
      <c r="Y4863" s="20"/>
    </row>
    <row r="4864" spans="24:25">
      <c r="X4864" s="19"/>
      <c r="Y4864" s="20"/>
    </row>
    <row r="4865" spans="24:25">
      <c r="X4865" s="19"/>
      <c r="Y4865" s="20"/>
    </row>
    <row r="4866" spans="24:25">
      <c r="X4866" s="19"/>
      <c r="Y4866" s="20"/>
    </row>
    <row r="4867" spans="24:25">
      <c r="X4867" s="19"/>
      <c r="Y4867" s="20"/>
    </row>
    <row r="4868" spans="24:25">
      <c r="X4868" s="19"/>
      <c r="Y4868" s="20"/>
    </row>
    <row r="4869" spans="24:25">
      <c r="X4869" s="19"/>
      <c r="Y4869" s="20"/>
    </row>
    <row r="4870" spans="24:25">
      <c r="X4870" s="19"/>
      <c r="Y4870" s="20"/>
    </row>
    <row r="4871" spans="24:25">
      <c r="X4871" s="19"/>
      <c r="Y4871" s="20"/>
    </row>
    <row r="4872" spans="24:25">
      <c r="X4872" s="19"/>
      <c r="Y4872" s="20"/>
    </row>
    <row r="4873" spans="24:25">
      <c r="X4873" s="19"/>
      <c r="Y4873" s="20"/>
    </row>
    <row r="4874" spans="24:25">
      <c r="X4874" s="19"/>
      <c r="Y4874" s="20"/>
    </row>
    <row r="4875" spans="24:25">
      <c r="X4875" s="19"/>
      <c r="Y4875" s="20"/>
    </row>
    <row r="4876" spans="24:25">
      <c r="X4876" s="19"/>
      <c r="Y4876" s="20"/>
    </row>
    <row r="4877" spans="24:25">
      <c r="X4877" s="19"/>
      <c r="Y4877" s="20"/>
    </row>
    <row r="4878" spans="24:25">
      <c r="X4878" s="19"/>
      <c r="Y4878" s="20"/>
    </row>
    <row r="4879" spans="24:25">
      <c r="X4879" s="19"/>
      <c r="Y4879" s="20"/>
    </row>
    <row r="4880" spans="24:25">
      <c r="X4880" s="19"/>
      <c r="Y4880" s="20"/>
    </row>
    <row r="4881" spans="24:25">
      <c r="X4881" s="19"/>
      <c r="Y4881" s="20"/>
    </row>
    <row r="4882" spans="24:25">
      <c r="X4882" s="19"/>
      <c r="Y4882" s="20"/>
    </row>
    <row r="4883" spans="24:25">
      <c r="X4883" s="19"/>
      <c r="Y4883" s="20"/>
    </row>
    <row r="4884" spans="24:25">
      <c r="X4884" s="19"/>
      <c r="Y4884" s="20"/>
    </row>
    <row r="4885" spans="24:25">
      <c r="X4885" s="19"/>
      <c r="Y4885" s="20"/>
    </row>
    <row r="4886" spans="24:25">
      <c r="X4886" s="19"/>
      <c r="Y4886" s="20"/>
    </row>
    <row r="4887" spans="24:25">
      <c r="X4887" s="19"/>
      <c r="Y4887" s="20"/>
    </row>
    <row r="4888" spans="24:25">
      <c r="X4888" s="19"/>
      <c r="Y4888" s="20"/>
    </row>
    <row r="4889" spans="24:25">
      <c r="X4889" s="19"/>
      <c r="Y4889" s="20"/>
    </row>
    <row r="4890" spans="24:25">
      <c r="X4890" s="19"/>
      <c r="Y4890" s="20"/>
    </row>
    <row r="4891" spans="24:25">
      <c r="X4891" s="19"/>
      <c r="Y4891" s="20"/>
    </row>
    <row r="4892" spans="24:25">
      <c r="X4892" s="19"/>
      <c r="Y4892" s="20"/>
    </row>
    <row r="4893" spans="24:25">
      <c r="X4893" s="19"/>
      <c r="Y4893" s="20"/>
    </row>
    <row r="4894" spans="24:25">
      <c r="X4894" s="19"/>
      <c r="Y4894" s="20"/>
    </row>
    <row r="4895" spans="24:25">
      <c r="X4895" s="19"/>
      <c r="Y4895" s="20"/>
    </row>
    <row r="4896" spans="24:25">
      <c r="X4896" s="19"/>
      <c r="Y4896" s="20"/>
    </row>
    <row r="4897" spans="24:25">
      <c r="X4897" s="19"/>
      <c r="Y4897" s="20"/>
    </row>
    <row r="4898" spans="24:25">
      <c r="X4898" s="19"/>
      <c r="Y4898" s="20"/>
    </row>
    <row r="4899" spans="24:25">
      <c r="X4899" s="19"/>
      <c r="Y4899" s="20"/>
    </row>
    <row r="4900" spans="24:25">
      <c r="X4900" s="19"/>
      <c r="Y4900" s="20"/>
    </row>
    <row r="4901" spans="24:25">
      <c r="X4901" s="19"/>
      <c r="Y4901" s="20"/>
    </row>
    <row r="4902" spans="24:25">
      <c r="X4902" s="19"/>
      <c r="Y4902" s="20"/>
    </row>
    <row r="4903" spans="24:25">
      <c r="X4903" s="19"/>
      <c r="Y4903" s="20"/>
    </row>
    <row r="4904" spans="24:25">
      <c r="X4904" s="19"/>
      <c r="Y4904" s="20"/>
    </row>
    <row r="4905" spans="24:25">
      <c r="X4905" s="19"/>
      <c r="Y4905" s="20"/>
    </row>
    <row r="4906" spans="24:25">
      <c r="X4906" s="19"/>
      <c r="Y4906" s="20"/>
    </row>
    <row r="4907" spans="24:25">
      <c r="X4907" s="19"/>
      <c r="Y4907" s="20"/>
    </row>
    <row r="4908" spans="24:25">
      <c r="X4908" s="19"/>
      <c r="Y4908" s="20"/>
    </row>
    <row r="4909" spans="24:25">
      <c r="X4909" s="19"/>
      <c r="Y4909" s="20"/>
    </row>
    <row r="4910" spans="24:25">
      <c r="X4910" s="19"/>
      <c r="Y4910" s="20"/>
    </row>
    <row r="4911" spans="24:25">
      <c r="X4911" s="19"/>
      <c r="Y4911" s="20"/>
    </row>
    <row r="4912" spans="24:25">
      <c r="X4912" s="19"/>
      <c r="Y4912" s="20"/>
    </row>
    <row r="4913" spans="24:25">
      <c r="X4913" s="19"/>
      <c r="Y4913" s="20"/>
    </row>
    <row r="4914" spans="24:25">
      <c r="X4914" s="19"/>
      <c r="Y4914" s="20"/>
    </row>
    <row r="4915" spans="24:25">
      <c r="X4915" s="19"/>
      <c r="Y4915" s="20"/>
    </row>
    <row r="4916" spans="24:25">
      <c r="X4916" s="19"/>
      <c r="Y4916" s="20"/>
    </row>
    <row r="4917" spans="24:25">
      <c r="X4917" s="19"/>
      <c r="Y4917" s="20"/>
    </row>
    <row r="4918" spans="24:25">
      <c r="X4918" s="19"/>
      <c r="Y4918" s="20"/>
    </row>
    <row r="4919" spans="24:25">
      <c r="X4919" s="19"/>
      <c r="Y4919" s="20"/>
    </row>
    <row r="4920" spans="24:25">
      <c r="X4920" s="19"/>
      <c r="Y4920" s="20"/>
    </row>
    <row r="4921" spans="24:25">
      <c r="X4921" s="19"/>
      <c r="Y4921" s="20"/>
    </row>
    <row r="4922" spans="24:25">
      <c r="X4922" s="19"/>
      <c r="Y4922" s="20"/>
    </row>
    <row r="4923" spans="24:25">
      <c r="X4923" s="19"/>
      <c r="Y4923" s="20"/>
    </row>
    <row r="4924" spans="24:25">
      <c r="X4924" s="19"/>
      <c r="Y4924" s="20"/>
    </row>
    <row r="4925" spans="24:25">
      <c r="X4925" s="19"/>
      <c r="Y4925" s="20"/>
    </row>
    <row r="4926" spans="24:25">
      <c r="X4926" s="19"/>
      <c r="Y4926" s="20"/>
    </row>
    <row r="4927" spans="24:25">
      <c r="X4927" s="19"/>
      <c r="Y4927" s="20"/>
    </row>
    <row r="4928" spans="24:25">
      <c r="X4928" s="19"/>
      <c r="Y4928" s="20"/>
    </row>
    <row r="4929" spans="24:25">
      <c r="X4929" s="19"/>
      <c r="Y4929" s="20"/>
    </row>
    <row r="4930" spans="24:25">
      <c r="X4930" s="19"/>
      <c r="Y4930" s="20"/>
    </row>
    <row r="4931" spans="24:25">
      <c r="X4931" s="19"/>
      <c r="Y4931" s="20"/>
    </row>
    <row r="4932" spans="24:25">
      <c r="X4932" s="19"/>
      <c r="Y4932" s="20"/>
    </row>
    <row r="4933" spans="24:25">
      <c r="X4933" s="19"/>
      <c r="Y4933" s="20"/>
    </row>
    <row r="4934" spans="24:25">
      <c r="X4934" s="19"/>
      <c r="Y4934" s="20"/>
    </row>
    <row r="4935" spans="24:25">
      <c r="X4935" s="19"/>
      <c r="Y4935" s="20"/>
    </row>
    <row r="4936" spans="24:25">
      <c r="X4936" s="19"/>
      <c r="Y4936" s="20"/>
    </row>
    <row r="4937" spans="24:25">
      <c r="X4937" s="19"/>
      <c r="Y4937" s="20"/>
    </row>
    <row r="4938" spans="24:25">
      <c r="X4938" s="19"/>
      <c r="Y4938" s="20"/>
    </row>
    <row r="4939" spans="24:25">
      <c r="X4939" s="19"/>
      <c r="Y4939" s="20"/>
    </row>
    <row r="4940" spans="24:25">
      <c r="X4940" s="19"/>
      <c r="Y4940" s="20"/>
    </row>
    <row r="4941" spans="24:25">
      <c r="X4941" s="19"/>
      <c r="Y4941" s="20"/>
    </row>
    <row r="4942" spans="24:25">
      <c r="X4942" s="19"/>
      <c r="Y4942" s="20"/>
    </row>
    <row r="4943" spans="24:25">
      <c r="X4943" s="19"/>
      <c r="Y4943" s="20"/>
    </row>
    <row r="4944" spans="24:25">
      <c r="X4944" s="19"/>
      <c r="Y4944" s="20"/>
    </row>
    <row r="4945" spans="24:25">
      <c r="X4945" s="19"/>
      <c r="Y4945" s="20"/>
    </row>
    <row r="4946" spans="24:25">
      <c r="X4946" s="19"/>
      <c r="Y4946" s="20"/>
    </row>
    <row r="4947" spans="24:25">
      <c r="X4947" s="19"/>
      <c r="Y4947" s="20"/>
    </row>
    <row r="4948" spans="24:25">
      <c r="X4948" s="19"/>
      <c r="Y4948" s="20"/>
    </row>
    <row r="4949" spans="24:25">
      <c r="X4949" s="19"/>
      <c r="Y4949" s="20"/>
    </row>
    <row r="4950" spans="24:25">
      <c r="X4950" s="19"/>
      <c r="Y4950" s="20"/>
    </row>
    <row r="4951" spans="24:25">
      <c r="X4951" s="19"/>
      <c r="Y4951" s="20"/>
    </row>
    <row r="4952" spans="24:25">
      <c r="X4952" s="19"/>
      <c r="Y4952" s="20"/>
    </row>
    <row r="4953" spans="24:25">
      <c r="X4953" s="19"/>
      <c r="Y4953" s="20"/>
    </row>
    <row r="4954" spans="24:25">
      <c r="X4954" s="19"/>
      <c r="Y4954" s="20"/>
    </row>
    <row r="4955" spans="24:25">
      <c r="X4955" s="19"/>
      <c r="Y4955" s="20"/>
    </row>
    <row r="4956" spans="24:25">
      <c r="X4956" s="19"/>
      <c r="Y4956" s="20"/>
    </row>
    <row r="4957" spans="24:25">
      <c r="X4957" s="19"/>
      <c r="Y4957" s="20"/>
    </row>
    <row r="4958" spans="24:25">
      <c r="X4958" s="19"/>
      <c r="Y4958" s="20"/>
    </row>
    <row r="4959" spans="24:25">
      <c r="X4959" s="19"/>
      <c r="Y4959" s="20"/>
    </row>
    <row r="4960" spans="24:25">
      <c r="X4960" s="19"/>
      <c r="Y4960" s="20"/>
    </row>
    <row r="4961" spans="24:25">
      <c r="X4961" s="19"/>
      <c r="Y4961" s="20"/>
    </row>
    <row r="4962" spans="24:25">
      <c r="X4962" s="19"/>
      <c r="Y4962" s="20"/>
    </row>
    <row r="4963" spans="24:25">
      <c r="X4963" s="19"/>
      <c r="Y4963" s="20"/>
    </row>
    <row r="4964" spans="24:25">
      <c r="X4964" s="19"/>
      <c r="Y4964" s="20"/>
    </row>
    <row r="4965" spans="24:25">
      <c r="X4965" s="19"/>
      <c r="Y4965" s="20"/>
    </row>
    <row r="4966" spans="24:25">
      <c r="X4966" s="19"/>
      <c r="Y4966" s="20"/>
    </row>
    <row r="4967" spans="24:25">
      <c r="X4967" s="19"/>
      <c r="Y4967" s="20"/>
    </row>
    <row r="4968" spans="24:25">
      <c r="X4968" s="19"/>
      <c r="Y4968" s="20"/>
    </row>
    <row r="4969" spans="24:25">
      <c r="X4969" s="19"/>
      <c r="Y4969" s="20"/>
    </row>
    <row r="4970" spans="24:25">
      <c r="X4970" s="19"/>
      <c r="Y4970" s="20"/>
    </row>
    <row r="4971" spans="24:25">
      <c r="X4971" s="19"/>
      <c r="Y4971" s="20"/>
    </row>
    <row r="4972" spans="24:25">
      <c r="X4972" s="19"/>
      <c r="Y4972" s="20"/>
    </row>
    <row r="4973" spans="24:25">
      <c r="X4973" s="19"/>
      <c r="Y4973" s="20"/>
    </row>
    <row r="4974" spans="24:25">
      <c r="X4974" s="19"/>
      <c r="Y4974" s="20"/>
    </row>
    <row r="4975" spans="24:25">
      <c r="X4975" s="19"/>
      <c r="Y4975" s="20"/>
    </row>
    <row r="4976" spans="24:25">
      <c r="X4976" s="19"/>
      <c r="Y4976" s="20"/>
    </row>
    <row r="4977" spans="24:25">
      <c r="X4977" s="19"/>
      <c r="Y4977" s="20"/>
    </row>
    <row r="4978" spans="24:25">
      <c r="X4978" s="19"/>
      <c r="Y4978" s="20"/>
    </row>
    <row r="4979" spans="24:25">
      <c r="X4979" s="19"/>
      <c r="Y4979" s="20"/>
    </row>
    <row r="4980" spans="24:25">
      <c r="X4980" s="19"/>
      <c r="Y4980" s="20"/>
    </row>
    <row r="4981" spans="24:25">
      <c r="X4981" s="19"/>
      <c r="Y4981" s="20"/>
    </row>
    <row r="4982" spans="24:25">
      <c r="X4982" s="19"/>
      <c r="Y4982" s="20"/>
    </row>
    <row r="4983" spans="24:25">
      <c r="X4983" s="19"/>
      <c r="Y4983" s="20"/>
    </row>
    <row r="4984" spans="24:25">
      <c r="X4984" s="19"/>
      <c r="Y4984" s="20"/>
    </row>
    <row r="4985" spans="24:25">
      <c r="X4985" s="19"/>
      <c r="Y4985" s="20"/>
    </row>
    <row r="4986" spans="24:25">
      <c r="X4986" s="19"/>
      <c r="Y4986" s="20"/>
    </row>
    <row r="4987" spans="24:25">
      <c r="X4987" s="19"/>
      <c r="Y4987" s="20"/>
    </row>
    <row r="4988" spans="24:25">
      <c r="X4988" s="19"/>
      <c r="Y4988" s="20"/>
    </row>
    <row r="4989" spans="24:25">
      <c r="X4989" s="19"/>
      <c r="Y4989" s="20"/>
    </row>
    <row r="4990" spans="24:25">
      <c r="X4990" s="19"/>
      <c r="Y4990" s="20"/>
    </row>
    <row r="4991" spans="24:25">
      <c r="X4991" s="19"/>
      <c r="Y4991" s="20"/>
    </row>
    <row r="4992" spans="24:25">
      <c r="X4992" s="19"/>
      <c r="Y4992" s="20"/>
    </row>
    <row r="4993" spans="24:25">
      <c r="X4993" s="19"/>
      <c r="Y4993" s="20"/>
    </row>
    <row r="4994" spans="24:25">
      <c r="X4994" s="19"/>
      <c r="Y4994" s="20"/>
    </row>
    <row r="4995" spans="24:25">
      <c r="X4995" s="19"/>
      <c r="Y4995" s="20"/>
    </row>
    <row r="4996" spans="24:25">
      <c r="X4996" s="19"/>
      <c r="Y4996" s="20"/>
    </row>
    <row r="4997" spans="24:25">
      <c r="X4997" s="19"/>
      <c r="Y4997" s="20"/>
    </row>
    <row r="4998" spans="24:25">
      <c r="X4998" s="19"/>
      <c r="Y4998" s="20"/>
    </row>
    <row r="4999" spans="24:25">
      <c r="X4999" s="19"/>
      <c r="Y4999" s="20"/>
    </row>
    <row r="5000" spans="24:25">
      <c r="X5000" s="19"/>
      <c r="Y5000" s="20"/>
    </row>
    <row r="5001" spans="24:25">
      <c r="X5001" s="19"/>
      <c r="Y5001" s="20"/>
    </row>
    <row r="5002" spans="24:25">
      <c r="X5002" s="19"/>
      <c r="Y5002" s="20"/>
    </row>
    <row r="5003" spans="24:25">
      <c r="X5003" s="19"/>
      <c r="Y5003" s="20"/>
    </row>
    <row r="5004" spans="24:25">
      <c r="X5004" s="19"/>
      <c r="Y5004" s="20"/>
    </row>
    <row r="5005" spans="24:25">
      <c r="X5005" s="19"/>
      <c r="Y5005" s="20"/>
    </row>
    <row r="5006" spans="24:25">
      <c r="X5006" s="19"/>
      <c r="Y5006" s="20"/>
    </row>
    <row r="5007" spans="24:25">
      <c r="X5007" s="19"/>
      <c r="Y5007" s="20"/>
    </row>
    <row r="5008" spans="24:25">
      <c r="X5008" s="19"/>
      <c r="Y5008" s="20"/>
    </row>
    <row r="5009" spans="24:25">
      <c r="X5009" s="19"/>
      <c r="Y5009" s="20"/>
    </row>
    <row r="5010" spans="24:25">
      <c r="X5010" s="19"/>
      <c r="Y5010" s="20"/>
    </row>
    <row r="5011" spans="24:25">
      <c r="X5011" s="19"/>
      <c r="Y5011" s="20"/>
    </row>
    <row r="5012" spans="24:25">
      <c r="X5012" s="19"/>
      <c r="Y5012" s="20"/>
    </row>
    <row r="5013" spans="24:25">
      <c r="X5013" s="19"/>
      <c r="Y5013" s="20"/>
    </row>
    <row r="5014" spans="24:25">
      <c r="X5014" s="19"/>
      <c r="Y5014" s="20"/>
    </row>
    <row r="5015" spans="24:25">
      <c r="X5015" s="19"/>
      <c r="Y5015" s="20"/>
    </row>
    <row r="5016" spans="24:25">
      <c r="X5016" s="19"/>
      <c r="Y5016" s="20"/>
    </row>
    <row r="5017" spans="24:25">
      <c r="X5017" s="19"/>
      <c r="Y5017" s="20"/>
    </row>
    <row r="5018" spans="24:25">
      <c r="X5018" s="19"/>
      <c r="Y5018" s="20"/>
    </row>
    <row r="5019" spans="24:25">
      <c r="X5019" s="19"/>
      <c r="Y5019" s="20"/>
    </row>
    <row r="5020" spans="24:25">
      <c r="X5020" s="19"/>
      <c r="Y5020" s="20"/>
    </row>
    <row r="5021" spans="24:25">
      <c r="X5021" s="19"/>
      <c r="Y5021" s="20"/>
    </row>
    <row r="5022" spans="24:25">
      <c r="X5022" s="19"/>
      <c r="Y5022" s="20"/>
    </row>
    <row r="5023" spans="24:25">
      <c r="X5023" s="19"/>
      <c r="Y5023" s="20"/>
    </row>
    <row r="5024" spans="24:25">
      <c r="X5024" s="19"/>
      <c r="Y5024" s="20"/>
    </row>
    <row r="5025" spans="24:25">
      <c r="X5025" s="19"/>
      <c r="Y5025" s="20"/>
    </row>
    <row r="5026" spans="24:25">
      <c r="X5026" s="19"/>
      <c r="Y5026" s="20"/>
    </row>
    <row r="5027" spans="24:25">
      <c r="X5027" s="19"/>
      <c r="Y5027" s="20"/>
    </row>
    <row r="5028" spans="24:25">
      <c r="X5028" s="19"/>
      <c r="Y5028" s="20"/>
    </row>
    <row r="5029" spans="24:25">
      <c r="X5029" s="19"/>
      <c r="Y5029" s="20"/>
    </row>
    <row r="5030" spans="24:25">
      <c r="X5030" s="19"/>
      <c r="Y5030" s="20"/>
    </row>
    <row r="5031" spans="24:25">
      <c r="X5031" s="19"/>
      <c r="Y5031" s="20"/>
    </row>
    <row r="5032" spans="24:25">
      <c r="X5032" s="19"/>
      <c r="Y5032" s="20"/>
    </row>
    <row r="5033" spans="24:25">
      <c r="X5033" s="19"/>
      <c r="Y5033" s="20"/>
    </row>
    <row r="5034" spans="24:25">
      <c r="X5034" s="19"/>
      <c r="Y5034" s="20"/>
    </row>
    <row r="5035" spans="24:25">
      <c r="X5035" s="19"/>
      <c r="Y5035" s="20"/>
    </row>
    <row r="5036" spans="24:25">
      <c r="X5036" s="19"/>
      <c r="Y5036" s="20"/>
    </row>
    <row r="5037" spans="24:25">
      <c r="X5037" s="19"/>
      <c r="Y5037" s="20"/>
    </row>
    <row r="5038" spans="24:25">
      <c r="X5038" s="19"/>
      <c r="Y5038" s="20"/>
    </row>
    <row r="5039" spans="24:25">
      <c r="X5039" s="19"/>
      <c r="Y5039" s="20"/>
    </row>
    <row r="5040" spans="24:25">
      <c r="X5040" s="19"/>
      <c r="Y5040" s="20"/>
    </row>
    <row r="5041" spans="24:25">
      <c r="X5041" s="19"/>
      <c r="Y5041" s="20"/>
    </row>
    <row r="5042" spans="24:25">
      <c r="X5042" s="19"/>
      <c r="Y5042" s="20"/>
    </row>
    <row r="5043" spans="24:25">
      <c r="X5043" s="19"/>
      <c r="Y5043" s="20"/>
    </row>
    <row r="5044" spans="24:25">
      <c r="X5044" s="19"/>
      <c r="Y5044" s="20"/>
    </row>
    <row r="5045" spans="24:25">
      <c r="X5045" s="19"/>
      <c r="Y5045" s="20"/>
    </row>
    <row r="5046" spans="24:25">
      <c r="X5046" s="19"/>
      <c r="Y5046" s="20"/>
    </row>
    <row r="5047" spans="24:25">
      <c r="X5047" s="19"/>
      <c r="Y5047" s="20"/>
    </row>
    <row r="5048" spans="24:25">
      <c r="X5048" s="19"/>
      <c r="Y5048" s="20"/>
    </row>
    <row r="5049" spans="24:25">
      <c r="X5049" s="19"/>
      <c r="Y5049" s="20"/>
    </row>
    <row r="5050" spans="24:25">
      <c r="X5050" s="19"/>
      <c r="Y5050" s="20"/>
    </row>
    <row r="5051" spans="24:25">
      <c r="X5051" s="19"/>
      <c r="Y5051" s="20"/>
    </row>
    <row r="5052" spans="24:25">
      <c r="X5052" s="19"/>
      <c r="Y5052" s="20"/>
    </row>
    <row r="5053" spans="24:25">
      <c r="X5053" s="19"/>
      <c r="Y5053" s="20"/>
    </row>
    <row r="5054" spans="24:25">
      <c r="X5054" s="19"/>
      <c r="Y5054" s="20"/>
    </row>
    <row r="5055" spans="24:25">
      <c r="X5055" s="19"/>
      <c r="Y5055" s="20"/>
    </row>
    <row r="5056" spans="24:25">
      <c r="X5056" s="19"/>
      <c r="Y5056" s="20"/>
    </row>
    <row r="5057" spans="24:25">
      <c r="X5057" s="19"/>
      <c r="Y5057" s="20"/>
    </row>
    <row r="5058" spans="24:25">
      <c r="X5058" s="19"/>
      <c r="Y5058" s="20"/>
    </row>
    <row r="5059" spans="24:25">
      <c r="X5059" s="19"/>
      <c r="Y5059" s="20"/>
    </row>
    <row r="5060" spans="24:25">
      <c r="X5060" s="19"/>
      <c r="Y5060" s="20"/>
    </row>
    <row r="5061" spans="24:25">
      <c r="X5061" s="19"/>
      <c r="Y5061" s="20"/>
    </row>
    <row r="5062" spans="24:25">
      <c r="X5062" s="19"/>
      <c r="Y5062" s="20"/>
    </row>
    <row r="5063" spans="24:25">
      <c r="X5063" s="19"/>
      <c r="Y5063" s="20"/>
    </row>
    <row r="5064" spans="24:25">
      <c r="X5064" s="19"/>
      <c r="Y5064" s="20"/>
    </row>
    <row r="5065" spans="24:25">
      <c r="X5065" s="19"/>
      <c r="Y5065" s="20"/>
    </row>
    <row r="5066" spans="24:25">
      <c r="X5066" s="19"/>
      <c r="Y5066" s="20"/>
    </row>
    <row r="5067" spans="24:25">
      <c r="X5067" s="19"/>
      <c r="Y5067" s="20"/>
    </row>
    <row r="5068" spans="24:25">
      <c r="X5068" s="19"/>
      <c r="Y5068" s="20"/>
    </row>
    <row r="5069" spans="24:25">
      <c r="X5069" s="19"/>
      <c r="Y5069" s="20"/>
    </row>
    <row r="5070" spans="24:25">
      <c r="X5070" s="19"/>
      <c r="Y5070" s="20"/>
    </row>
    <row r="5071" spans="24:25">
      <c r="X5071" s="19"/>
      <c r="Y5071" s="20"/>
    </row>
    <row r="5072" spans="24:25">
      <c r="X5072" s="19"/>
      <c r="Y5072" s="20"/>
    </row>
    <row r="5073" spans="24:25">
      <c r="X5073" s="19"/>
      <c r="Y5073" s="20"/>
    </row>
    <row r="5074" spans="24:25">
      <c r="X5074" s="19"/>
      <c r="Y5074" s="20"/>
    </row>
    <row r="5075" spans="24:25">
      <c r="X5075" s="19"/>
      <c r="Y5075" s="20"/>
    </row>
    <row r="5076" spans="24:25">
      <c r="X5076" s="19"/>
      <c r="Y5076" s="20"/>
    </row>
    <row r="5077" spans="24:25">
      <c r="X5077" s="19"/>
      <c r="Y5077" s="20"/>
    </row>
    <row r="5078" spans="24:25">
      <c r="X5078" s="19"/>
      <c r="Y5078" s="20"/>
    </row>
    <row r="5079" spans="24:25">
      <c r="X5079" s="19"/>
      <c r="Y5079" s="20"/>
    </row>
    <row r="5080" spans="24:25">
      <c r="X5080" s="19"/>
      <c r="Y5080" s="20"/>
    </row>
    <row r="5081" spans="24:25">
      <c r="X5081" s="19"/>
      <c r="Y5081" s="20"/>
    </row>
    <row r="5082" spans="24:25">
      <c r="X5082" s="19"/>
      <c r="Y5082" s="20"/>
    </row>
    <row r="5083" spans="24:25">
      <c r="X5083" s="19"/>
      <c r="Y5083" s="20"/>
    </row>
    <row r="5084" spans="24:25">
      <c r="X5084" s="19"/>
      <c r="Y5084" s="20"/>
    </row>
    <row r="5085" spans="24:25">
      <c r="X5085" s="19"/>
      <c r="Y5085" s="20"/>
    </row>
    <row r="5086" spans="24:25">
      <c r="X5086" s="19"/>
      <c r="Y5086" s="20"/>
    </row>
    <row r="5087" spans="24:25">
      <c r="X5087" s="19"/>
      <c r="Y5087" s="20"/>
    </row>
    <row r="5088" spans="24:25">
      <c r="X5088" s="19"/>
      <c r="Y5088" s="20"/>
    </row>
    <row r="5089" spans="24:25">
      <c r="X5089" s="19"/>
      <c r="Y5089" s="20"/>
    </row>
    <row r="5090" spans="24:25">
      <c r="X5090" s="19"/>
      <c r="Y5090" s="20"/>
    </row>
    <row r="5091" spans="24:25">
      <c r="X5091" s="19"/>
      <c r="Y5091" s="20"/>
    </row>
    <row r="5092" spans="24:25">
      <c r="X5092" s="19"/>
      <c r="Y5092" s="20"/>
    </row>
    <row r="5093" spans="24:25">
      <c r="X5093" s="19"/>
      <c r="Y5093" s="20"/>
    </row>
    <row r="5094" spans="24:25">
      <c r="X5094" s="19"/>
      <c r="Y5094" s="20"/>
    </row>
    <row r="5095" spans="24:25">
      <c r="X5095" s="19"/>
      <c r="Y5095" s="20"/>
    </row>
    <row r="5096" spans="24:25">
      <c r="X5096" s="19"/>
      <c r="Y5096" s="20"/>
    </row>
    <row r="5097" spans="24:25">
      <c r="X5097" s="19"/>
      <c r="Y5097" s="20"/>
    </row>
    <row r="5098" spans="24:25">
      <c r="X5098" s="19"/>
      <c r="Y5098" s="20"/>
    </row>
    <row r="5099" spans="24:25">
      <c r="X5099" s="19"/>
      <c r="Y5099" s="20"/>
    </row>
    <row r="5100" spans="24:25">
      <c r="X5100" s="19"/>
      <c r="Y5100" s="20"/>
    </row>
    <row r="5101" spans="24:25">
      <c r="X5101" s="19"/>
      <c r="Y5101" s="20"/>
    </row>
    <row r="5102" spans="24:25">
      <c r="X5102" s="19"/>
      <c r="Y5102" s="20"/>
    </row>
    <row r="5103" spans="24:25">
      <c r="X5103" s="19"/>
      <c r="Y5103" s="20"/>
    </row>
    <row r="5104" spans="24:25">
      <c r="X5104" s="19"/>
      <c r="Y5104" s="20"/>
    </row>
    <row r="5105" spans="24:25">
      <c r="X5105" s="19"/>
      <c r="Y5105" s="20"/>
    </row>
    <row r="5106" spans="24:25">
      <c r="X5106" s="19"/>
      <c r="Y5106" s="20"/>
    </row>
    <row r="5107" spans="24:25">
      <c r="X5107" s="19"/>
      <c r="Y5107" s="20"/>
    </row>
    <row r="5108" spans="24:25">
      <c r="X5108" s="19"/>
      <c r="Y5108" s="20"/>
    </row>
    <row r="5109" spans="24:25">
      <c r="X5109" s="19"/>
      <c r="Y5109" s="20"/>
    </row>
    <row r="5110" spans="24:25">
      <c r="X5110" s="19"/>
      <c r="Y5110" s="20"/>
    </row>
    <row r="5111" spans="24:25">
      <c r="X5111" s="19"/>
      <c r="Y5111" s="20"/>
    </row>
    <row r="5112" spans="24:25">
      <c r="X5112" s="19"/>
      <c r="Y5112" s="20"/>
    </row>
    <row r="5113" spans="24:25">
      <c r="X5113" s="19"/>
      <c r="Y5113" s="20"/>
    </row>
    <row r="5114" spans="24:25">
      <c r="X5114" s="19"/>
      <c r="Y5114" s="20"/>
    </row>
    <row r="5115" spans="24:25">
      <c r="X5115" s="19"/>
      <c r="Y5115" s="20"/>
    </row>
    <row r="5116" spans="24:25">
      <c r="X5116" s="19"/>
      <c r="Y5116" s="20"/>
    </row>
    <row r="5117" spans="24:25">
      <c r="X5117" s="19"/>
      <c r="Y5117" s="20"/>
    </row>
    <row r="5118" spans="24:25">
      <c r="X5118" s="19"/>
      <c r="Y5118" s="20"/>
    </row>
    <row r="5119" spans="24:25">
      <c r="X5119" s="19"/>
      <c r="Y5119" s="20"/>
    </row>
    <row r="5120" spans="24:25">
      <c r="X5120" s="19"/>
      <c r="Y5120" s="20"/>
    </row>
    <row r="5121" spans="24:25">
      <c r="X5121" s="19"/>
      <c r="Y5121" s="20"/>
    </row>
    <row r="5122" spans="24:25">
      <c r="X5122" s="19"/>
      <c r="Y5122" s="20"/>
    </row>
    <row r="5123" spans="24:25">
      <c r="X5123" s="19"/>
      <c r="Y5123" s="20"/>
    </row>
    <row r="5124" spans="24:25">
      <c r="X5124" s="19"/>
      <c r="Y5124" s="20"/>
    </row>
    <row r="5125" spans="24:25">
      <c r="X5125" s="19"/>
      <c r="Y5125" s="20"/>
    </row>
    <row r="5126" spans="24:25">
      <c r="X5126" s="19"/>
      <c r="Y5126" s="20"/>
    </row>
    <row r="5127" spans="24:25">
      <c r="X5127" s="19"/>
      <c r="Y5127" s="20"/>
    </row>
    <row r="5128" spans="24:25">
      <c r="X5128" s="19"/>
      <c r="Y5128" s="20"/>
    </row>
    <row r="5129" spans="24:25">
      <c r="X5129" s="19"/>
      <c r="Y5129" s="20"/>
    </row>
    <row r="5130" spans="24:25">
      <c r="X5130" s="19"/>
      <c r="Y5130" s="20"/>
    </row>
    <row r="5131" spans="24:25">
      <c r="X5131" s="19"/>
      <c r="Y5131" s="20"/>
    </row>
    <row r="5132" spans="24:25">
      <c r="X5132" s="19"/>
      <c r="Y5132" s="20"/>
    </row>
    <row r="5133" spans="24:25">
      <c r="X5133" s="19"/>
      <c r="Y5133" s="20"/>
    </row>
    <row r="5134" spans="24:25">
      <c r="X5134" s="19"/>
      <c r="Y5134" s="20"/>
    </row>
    <row r="5135" spans="24:25">
      <c r="X5135" s="19"/>
      <c r="Y5135" s="20"/>
    </row>
    <row r="5136" spans="24:25">
      <c r="X5136" s="19"/>
      <c r="Y5136" s="20"/>
    </row>
    <row r="5137" spans="24:25">
      <c r="X5137" s="19"/>
      <c r="Y5137" s="20"/>
    </row>
    <row r="5138" spans="24:25">
      <c r="X5138" s="19"/>
      <c r="Y5138" s="20"/>
    </row>
    <row r="5139" spans="24:25">
      <c r="X5139" s="19"/>
      <c r="Y5139" s="20"/>
    </row>
    <row r="5140" spans="24:25">
      <c r="X5140" s="19"/>
      <c r="Y5140" s="20"/>
    </row>
    <row r="5141" spans="24:25">
      <c r="X5141" s="19"/>
      <c r="Y5141" s="20"/>
    </row>
    <row r="5142" spans="24:25">
      <c r="X5142" s="19"/>
      <c r="Y5142" s="20"/>
    </row>
    <row r="5143" spans="24:25">
      <c r="X5143" s="19"/>
      <c r="Y5143" s="20"/>
    </row>
    <row r="5144" spans="24:25">
      <c r="X5144" s="19"/>
      <c r="Y5144" s="20"/>
    </row>
    <row r="5145" spans="24:25">
      <c r="X5145" s="19"/>
      <c r="Y5145" s="20"/>
    </row>
    <row r="5146" spans="24:25">
      <c r="X5146" s="19"/>
      <c r="Y5146" s="20"/>
    </row>
    <row r="5147" spans="24:25">
      <c r="X5147" s="19"/>
      <c r="Y5147" s="20"/>
    </row>
    <row r="5148" spans="24:25">
      <c r="X5148" s="19"/>
      <c r="Y5148" s="20"/>
    </row>
    <row r="5149" spans="24:25">
      <c r="X5149" s="19"/>
      <c r="Y5149" s="20"/>
    </row>
    <row r="5150" spans="24:25">
      <c r="X5150" s="19"/>
      <c r="Y5150" s="20"/>
    </row>
    <row r="5151" spans="24:25">
      <c r="X5151" s="19"/>
      <c r="Y5151" s="20"/>
    </row>
    <row r="5152" spans="24:25">
      <c r="X5152" s="19"/>
      <c r="Y5152" s="20"/>
    </row>
    <row r="5153" spans="24:25">
      <c r="X5153" s="19"/>
      <c r="Y5153" s="20"/>
    </row>
    <row r="5154" spans="24:25">
      <c r="X5154" s="19"/>
      <c r="Y5154" s="20"/>
    </row>
    <row r="5155" spans="24:25">
      <c r="X5155" s="19"/>
      <c r="Y5155" s="20"/>
    </row>
    <row r="5156" spans="24:25">
      <c r="X5156" s="19"/>
      <c r="Y5156" s="20"/>
    </row>
    <row r="5157" spans="24:25">
      <c r="X5157" s="19"/>
      <c r="Y5157" s="20"/>
    </row>
    <row r="5158" spans="24:25">
      <c r="X5158" s="19"/>
      <c r="Y5158" s="20"/>
    </row>
    <row r="5159" spans="24:25">
      <c r="X5159" s="19"/>
      <c r="Y5159" s="20"/>
    </row>
    <row r="5160" spans="24:25">
      <c r="X5160" s="19"/>
      <c r="Y5160" s="20"/>
    </row>
    <row r="5161" spans="24:25">
      <c r="X5161" s="19"/>
      <c r="Y5161" s="20"/>
    </row>
    <row r="5162" spans="24:25">
      <c r="X5162" s="19"/>
      <c r="Y5162" s="20"/>
    </row>
    <row r="5163" spans="24:25">
      <c r="X5163" s="19"/>
      <c r="Y5163" s="20"/>
    </row>
    <row r="5164" spans="24:25">
      <c r="X5164" s="19"/>
      <c r="Y5164" s="20"/>
    </row>
    <row r="5165" spans="24:25">
      <c r="X5165" s="19"/>
      <c r="Y5165" s="20"/>
    </row>
    <row r="5166" spans="24:25">
      <c r="X5166" s="19"/>
      <c r="Y5166" s="20"/>
    </row>
    <row r="5167" spans="24:25">
      <c r="X5167" s="19"/>
      <c r="Y5167" s="20"/>
    </row>
    <row r="5168" spans="24:25">
      <c r="X5168" s="19"/>
      <c r="Y5168" s="20"/>
    </row>
    <row r="5169" spans="24:25">
      <c r="X5169" s="19"/>
      <c r="Y5169" s="20"/>
    </row>
    <row r="5170" spans="24:25">
      <c r="X5170" s="19"/>
      <c r="Y5170" s="20"/>
    </row>
    <row r="5171" spans="24:25">
      <c r="X5171" s="19"/>
      <c r="Y5171" s="20"/>
    </row>
    <row r="5172" spans="24:25">
      <c r="X5172" s="19"/>
      <c r="Y5172" s="20"/>
    </row>
    <row r="5173" spans="24:25">
      <c r="X5173" s="19"/>
      <c r="Y5173" s="20"/>
    </row>
    <row r="5174" spans="24:25">
      <c r="X5174" s="19"/>
      <c r="Y5174" s="20"/>
    </row>
    <row r="5175" spans="24:25">
      <c r="X5175" s="19"/>
      <c r="Y5175" s="20"/>
    </row>
    <row r="5176" spans="24:25">
      <c r="X5176" s="19"/>
      <c r="Y5176" s="20"/>
    </row>
    <row r="5177" spans="24:25">
      <c r="X5177" s="19"/>
      <c r="Y5177" s="20"/>
    </row>
    <row r="5178" spans="24:25">
      <c r="X5178" s="19"/>
      <c r="Y5178" s="20"/>
    </row>
    <row r="5179" spans="24:25">
      <c r="X5179" s="19"/>
      <c r="Y5179" s="20"/>
    </row>
    <row r="5180" spans="24:25">
      <c r="X5180" s="19"/>
      <c r="Y5180" s="20"/>
    </row>
    <row r="5181" spans="24:25">
      <c r="X5181" s="19"/>
      <c r="Y5181" s="20"/>
    </row>
    <row r="5182" spans="24:25">
      <c r="X5182" s="19"/>
      <c r="Y5182" s="20"/>
    </row>
    <row r="5183" spans="24:25">
      <c r="X5183" s="19"/>
      <c r="Y5183" s="20"/>
    </row>
    <row r="5184" spans="24:25">
      <c r="X5184" s="19"/>
      <c r="Y5184" s="20"/>
    </row>
    <row r="5185" spans="24:25">
      <c r="X5185" s="19"/>
      <c r="Y5185" s="20"/>
    </row>
    <row r="5186" spans="24:25">
      <c r="X5186" s="19"/>
      <c r="Y5186" s="20"/>
    </row>
    <row r="5187" spans="24:25">
      <c r="X5187" s="19"/>
      <c r="Y5187" s="20"/>
    </row>
    <row r="5188" spans="24:25">
      <c r="X5188" s="19"/>
      <c r="Y5188" s="20"/>
    </row>
    <row r="5189" spans="24:25">
      <c r="X5189" s="19"/>
      <c r="Y5189" s="20"/>
    </row>
    <row r="5190" spans="24:25">
      <c r="X5190" s="19"/>
      <c r="Y5190" s="20"/>
    </row>
    <row r="5191" spans="24:25">
      <c r="X5191" s="19"/>
      <c r="Y5191" s="20"/>
    </row>
    <row r="5192" spans="24:25">
      <c r="X5192" s="19"/>
      <c r="Y5192" s="20"/>
    </row>
    <row r="5193" spans="24:25">
      <c r="X5193" s="19"/>
      <c r="Y5193" s="20"/>
    </row>
    <row r="5194" spans="24:25">
      <c r="X5194" s="19"/>
      <c r="Y5194" s="20"/>
    </row>
    <row r="5195" spans="24:25">
      <c r="X5195" s="19"/>
      <c r="Y5195" s="20"/>
    </row>
    <row r="5196" spans="24:25">
      <c r="X5196" s="19"/>
      <c r="Y5196" s="20"/>
    </row>
    <row r="5197" spans="24:25">
      <c r="X5197" s="19"/>
      <c r="Y5197" s="20"/>
    </row>
    <row r="5198" spans="24:25">
      <c r="X5198" s="19"/>
      <c r="Y5198" s="20"/>
    </row>
    <row r="5199" spans="24:25">
      <c r="X5199" s="19"/>
      <c r="Y5199" s="20"/>
    </row>
    <row r="5200" spans="24:25">
      <c r="X5200" s="19"/>
      <c r="Y5200" s="20"/>
    </row>
    <row r="5201" spans="24:25">
      <c r="X5201" s="19"/>
      <c r="Y5201" s="20"/>
    </row>
    <row r="5202" spans="24:25">
      <c r="X5202" s="19"/>
      <c r="Y5202" s="20"/>
    </row>
    <row r="5203" spans="24:25">
      <c r="X5203" s="19"/>
      <c r="Y5203" s="20"/>
    </row>
    <row r="5204" spans="24:25">
      <c r="X5204" s="19"/>
      <c r="Y5204" s="20"/>
    </row>
    <row r="5205" spans="24:25">
      <c r="X5205" s="19"/>
      <c r="Y5205" s="20"/>
    </row>
    <row r="5206" spans="24:25">
      <c r="X5206" s="19"/>
      <c r="Y5206" s="20"/>
    </row>
    <row r="5207" spans="24:25">
      <c r="X5207" s="19"/>
      <c r="Y5207" s="20"/>
    </row>
    <row r="5208" spans="24:25">
      <c r="X5208" s="19"/>
      <c r="Y5208" s="20"/>
    </row>
    <row r="5209" spans="24:25">
      <c r="X5209" s="19"/>
      <c r="Y5209" s="20"/>
    </row>
    <row r="5210" spans="24:25">
      <c r="X5210" s="19"/>
      <c r="Y5210" s="20"/>
    </row>
    <row r="5211" spans="24:25">
      <c r="X5211" s="19"/>
      <c r="Y5211" s="20"/>
    </row>
    <row r="5212" spans="24:25">
      <c r="X5212" s="19"/>
      <c r="Y5212" s="20"/>
    </row>
    <row r="5213" spans="24:25">
      <c r="X5213" s="19"/>
      <c r="Y5213" s="20"/>
    </row>
    <row r="5214" spans="24:25">
      <c r="X5214" s="19"/>
      <c r="Y5214" s="20"/>
    </row>
    <row r="5215" spans="24:25">
      <c r="X5215" s="19"/>
      <c r="Y5215" s="20"/>
    </row>
    <row r="5216" spans="24:25">
      <c r="X5216" s="19"/>
      <c r="Y5216" s="20"/>
    </row>
    <row r="5217" spans="24:25">
      <c r="X5217" s="19"/>
      <c r="Y5217" s="20"/>
    </row>
    <row r="5218" spans="24:25">
      <c r="X5218" s="19"/>
      <c r="Y5218" s="20"/>
    </row>
    <row r="5219" spans="24:25">
      <c r="X5219" s="19"/>
      <c r="Y5219" s="20"/>
    </row>
    <row r="5220" spans="24:25">
      <c r="X5220" s="19"/>
      <c r="Y5220" s="20"/>
    </row>
    <row r="5221" spans="24:25">
      <c r="X5221" s="19"/>
      <c r="Y5221" s="20"/>
    </row>
    <row r="5222" spans="24:25">
      <c r="X5222" s="19"/>
      <c r="Y5222" s="20"/>
    </row>
    <row r="5223" spans="24:25">
      <c r="X5223" s="19"/>
      <c r="Y5223" s="20"/>
    </row>
    <row r="5224" spans="24:25">
      <c r="X5224" s="19"/>
      <c r="Y5224" s="20"/>
    </row>
    <row r="5225" spans="24:25">
      <c r="X5225" s="19"/>
      <c r="Y5225" s="20"/>
    </row>
    <row r="5226" spans="24:25">
      <c r="X5226" s="19"/>
      <c r="Y5226" s="20"/>
    </row>
    <row r="5227" spans="24:25">
      <c r="X5227" s="19"/>
      <c r="Y5227" s="20"/>
    </row>
    <row r="5228" spans="24:25">
      <c r="X5228" s="19"/>
      <c r="Y5228" s="20"/>
    </row>
    <row r="5229" spans="24:25">
      <c r="X5229" s="19"/>
      <c r="Y5229" s="20"/>
    </row>
    <row r="5230" spans="24:25">
      <c r="X5230" s="19"/>
      <c r="Y5230" s="20"/>
    </row>
    <row r="5231" spans="24:25">
      <c r="X5231" s="19"/>
      <c r="Y5231" s="20"/>
    </row>
    <row r="5232" spans="24:25">
      <c r="X5232" s="19"/>
      <c r="Y5232" s="20"/>
    </row>
    <row r="5233" spans="24:25">
      <c r="X5233" s="19"/>
      <c r="Y5233" s="20"/>
    </row>
    <row r="5234" spans="24:25">
      <c r="X5234" s="19"/>
      <c r="Y5234" s="20"/>
    </row>
    <row r="5235" spans="24:25">
      <c r="X5235" s="19"/>
      <c r="Y5235" s="20"/>
    </row>
    <row r="5236" spans="24:25">
      <c r="X5236" s="19"/>
      <c r="Y5236" s="20"/>
    </row>
    <row r="5237" spans="24:25">
      <c r="X5237" s="19"/>
      <c r="Y5237" s="20"/>
    </row>
    <row r="5238" spans="24:25">
      <c r="X5238" s="19"/>
      <c r="Y5238" s="20"/>
    </row>
    <row r="5239" spans="24:25">
      <c r="X5239" s="19"/>
      <c r="Y5239" s="20"/>
    </row>
    <row r="5240" spans="24:25">
      <c r="X5240" s="19"/>
      <c r="Y5240" s="20"/>
    </row>
    <row r="5241" spans="24:25">
      <c r="X5241" s="19"/>
      <c r="Y5241" s="20"/>
    </row>
    <row r="5242" spans="24:25">
      <c r="X5242" s="19"/>
      <c r="Y5242" s="20"/>
    </row>
    <row r="5243" spans="24:25">
      <c r="X5243" s="19"/>
      <c r="Y5243" s="20"/>
    </row>
    <row r="5244" spans="24:25">
      <c r="X5244" s="19"/>
      <c r="Y5244" s="20"/>
    </row>
    <row r="5245" spans="24:25">
      <c r="X5245" s="19"/>
      <c r="Y5245" s="20"/>
    </row>
    <row r="5246" spans="24:25">
      <c r="X5246" s="19"/>
      <c r="Y5246" s="20"/>
    </row>
    <row r="5247" spans="24:25">
      <c r="X5247" s="19"/>
      <c r="Y5247" s="20"/>
    </row>
    <row r="5248" spans="24:25">
      <c r="X5248" s="19"/>
      <c r="Y5248" s="20"/>
    </row>
    <row r="5249" spans="24:25">
      <c r="X5249" s="19"/>
      <c r="Y5249" s="20"/>
    </row>
    <row r="5250" spans="24:25">
      <c r="X5250" s="19"/>
      <c r="Y5250" s="20"/>
    </row>
    <row r="5251" spans="24:25">
      <c r="X5251" s="19"/>
      <c r="Y5251" s="20"/>
    </row>
    <row r="5252" spans="24:25">
      <c r="X5252" s="19"/>
      <c r="Y5252" s="20"/>
    </row>
    <row r="5253" spans="24:25">
      <c r="X5253" s="19"/>
      <c r="Y5253" s="20"/>
    </row>
    <row r="5254" spans="24:25">
      <c r="X5254" s="19"/>
      <c r="Y5254" s="20"/>
    </row>
    <row r="5255" spans="24:25">
      <c r="X5255" s="19"/>
      <c r="Y5255" s="20"/>
    </row>
    <row r="5256" spans="24:25">
      <c r="X5256" s="19"/>
      <c r="Y5256" s="20"/>
    </row>
    <row r="5257" spans="24:25">
      <c r="X5257" s="19"/>
      <c r="Y5257" s="20"/>
    </row>
    <row r="5258" spans="24:25">
      <c r="X5258" s="19"/>
      <c r="Y5258" s="20"/>
    </row>
    <row r="5259" spans="24:25">
      <c r="X5259" s="19"/>
      <c r="Y5259" s="20"/>
    </row>
    <row r="5260" spans="24:25">
      <c r="X5260" s="19"/>
      <c r="Y5260" s="20"/>
    </row>
    <row r="5261" spans="24:25">
      <c r="X5261" s="19"/>
      <c r="Y5261" s="20"/>
    </row>
    <row r="5262" spans="24:25">
      <c r="X5262" s="19"/>
      <c r="Y5262" s="20"/>
    </row>
    <row r="5263" spans="24:25">
      <c r="X5263" s="19"/>
      <c r="Y5263" s="20"/>
    </row>
    <row r="5264" spans="24:25">
      <c r="X5264" s="19"/>
      <c r="Y5264" s="20"/>
    </row>
    <row r="5265" spans="24:25">
      <c r="X5265" s="19"/>
      <c r="Y5265" s="20"/>
    </row>
    <row r="5266" spans="24:25">
      <c r="X5266" s="19"/>
      <c r="Y5266" s="20"/>
    </row>
    <row r="5267" spans="24:25">
      <c r="X5267" s="19"/>
      <c r="Y5267" s="20"/>
    </row>
    <row r="5268" spans="24:25">
      <c r="X5268" s="19"/>
      <c r="Y5268" s="20"/>
    </row>
    <row r="5269" spans="24:25">
      <c r="X5269" s="19"/>
      <c r="Y5269" s="20"/>
    </row>
    <row r="5270" spans="24:25">
      <c r="X5270" s="19"/>
      <c r="Y5270" s="20"/>
    </row>
    <row r="5271" spans="24:25">
      <c r="X5271" s="19"/>
      <c r="Y5271" s="20"/>
    </row>
    <row r="5272" spans="24:25">
      <c r="X5272" s="19"/>
      <c r="Y5272" s="20"/>
    </row>
    <row r="5273" spans="24:25">
      <c r="X5273" s="19"/>
      <c r="Y5273" s="20"/>
    </row>
    <row r="5274" spans="24:25">
      <c r="X5274" s="19"/>
      <c r="Y5274" s="20"/>
    </row>
    <row r="5275" spans="24:25">
      <c r="X5275" s="19"/>
      <c r="Y5275" s="20"/>
    </row>
    <row r="5276" spans="24:25">
      <c r="X5276" s="19"/>
      <c r="Y5276" s="20"/>
    </row>
    <row r="5277" spans="24:25">
      <c r="X5277" s="19"/>
      <c r="Y5277" s="20"/>
    </row>
    <row r="5278" spans="24:25">
      <c r="X5278" s="19"/>
      <c r="Y5278" s="20"/>
    </row>
    <row r="5279" spans="24:25">
      <c r="X5279" s="19"/>
      <c r="Y5279" s="20"/>
    </row>
    <row r="5280" spans="24:25">
      <c r="X5280" s="19"/>
      <c r="Y5280" s="20"/>
    </row>
    <row r="5281" spans="24:25">
      <c r="X5281" s="19"/>
      <c r="Y5281" s="20"/>
    </row>
    <row r="5282" spans="24:25">
      <c r="X5282" s="19"/>
      <c r="Y5282" s="20"/>
    </row>
    <row r="5283" spans="24:25">
      <c r="X5283" s="19"/>
      <c r="Y5283" s="20"/>
    </row>
    <row r="5284" spans="24:25">
      <c r="X5284" s="19"/>
      <c r="Y5284" s="20"/>
    </row>
    <row r="5285" spans="24:25">
      <c r="X5285" s="19"/>
      <c r="Y5285" s="20"/>
    </row>
    <row r="5286" spans="24:25">
      <c r="X5286" s="19"/>
      <c r="Y5286" s="20"/>
    </row>
    <row r="5287" spans="24:25">
      <c r="X5287" s="19"/>
      <c r="Y5287" s="20"/>
    </row>
    <row r="5288" spans="24:25">
      <c r="X5288" s="19"/>
      <c r="Y5288" s="20"/>
    </row>
    <row r="5289" spans="24:25">
      <c r="X5289" s="19"/>
      <c r="Y5289" s="20"/>
    </row>
    <row r="5290" spans="24:25">
      <c r="X5290" s="19"/>
      <c r="Y5290" s="20"/>
    </row>
    <row r="5291" spans="24:25">
      <c r="X5291" s="19"/>
      <c r="Y5291" s="20"/>
    </row>
    <row r="5292" spans="24:25">
      <c r="X5292" s="19"/>
      <c r="Y5292" s="20"/>
    </row>
    <row r="5293" spans="24:25">
      <c r="X5293" s="19"/>
      <c r="Y5293" s="20"/>
    </row>
    <row r="5294" spans="24:25">
      <c r="X5294" s="19"/>
      <c r="Y5294" s="20"/>
    </row>
    <row r="5295" spans="24:25">
      <c r="X5295" s="19"/>
      <c r="Y5295" s="20"/>
    </row>
    <row r="5296" spans="24:25">
      <c r="X5296" s="19"/>
      <c r="Y5296" s="20"/>
    </row>
    <row r="5297" spans="24:25">
      <c r="X5297" s="19"/>
      <c r="Y5297" s="20"/>
    </row>
    <row r="5298" spans="24:25">
      <c r="X5298" s="19"/>
      <c r="Y5298" s="20"/>
    </row>
    <row r="5299" spans="24:25">
      <c r="X5299" s="19"/>
      <c r="Y5299" s="20"/>
    </row>
    <row r="5300" spans="24:25">
      <c r="X5300" s="19"/>
      <c r="Y5300" s="20"/>
    </row>
    <row r="5301" spans="24:25">
      <c r="X5301" s="19"/>
      <c r="Y5301" s="20"/>
    </row>
    <row r="5302" spans="24:25">
      <c r="X5302" s="19"/>
      <c r="Y5302" s="20"/>
    </row>
    <row r="5303" spans="24:25">
      <c r="X5303" s="19"/>
      <c r="Y5303" s="20"/>
    </row>
    <row r="5304" spans="24:25">
      <c r="X5304" s="19"/>
      <c r="Y5304" s="20"/>
    </row>
    <row r="5305" spans="24:25">
      <c r="X5305" s="19"/>
      <c r="Y5305" s="20"/>
    </row>
    <row r="5306" spans="24:25">
      <c r="X5306" s="19"/>
      <c r="Y5306" s="20"/>
    </row>
    <row r="5307" spans="24:25">
      <c r="X5307" s="19"/>
      <c r="Y5307" s="20"/>
    </row>
    <row r="5308" spans="24:25">
      <c r="X5308" s="19"/>
      <c r="Y5308" s="20"/>
    </row>
    <row r="5309" spans="24:25">
      <c r="X5309" s="19"/>
      <c r="Y5309" s="20"/>
    </row>
    <row r="5310" spans="24:25">
      <c r="X5310" s="19"/>
      <c r="Y5310" s="20"/>
    </row>
    <row r="5311" spans="24:25">
      <c r="X5311" s="19"/>
      <c r="Y5311" s="20"/>
    </row>
    <row r="5312" spans="24:25">
      <c r="X5312" s="19"/>
      <c r="Y5312" s="20"/>
    </row>
    <row r="5313" spans="24:25">
      <c r="X5313" s="19"/>
      <c r="Y5313" s="20"/>
    </row>
    <row r="5314" spans="24:25">
      <c r="X5314" s="19"/>
      <c r="Y5314" s="20"/>
    </row>
    <row r="5315" spans="24:25">
      <c r="X5315" s="19"/>
      <c r="Y5315" s="20"/>
    </row>
    <row r="5316" spans="24:25">
      <c r="X5316" s="19"/>
      <c r="Y5316" s="20"/>
    </row>
    <row r="5317" spans="24:25">
      <c r="X5317" s="19"/>
      <c r="Y5317" s="20"/>
    </row>
    <row r="5318" spans="24:25">
      <c r="X5318" s="19"/>
      <c r="Y5318" s="20"/>
    </row>
    <row r="5319" spans="24:25">
      <c r="X5319" s="19"/>
      <c r="Y5319" s="20"/>
    </row>
    <row r="5320" spans="24:25">
      <c r="X5320" s="19"/>
      <c r="Y5320" s="20"/>
    </row>
    <row r="5321" spans="24:25">
      <c r="X5321" s="19"/>
      <c r="Y5321" s="20"/>
    </row>
    <row r="5322" spans="24:25">
      <c r="X5322" s="19"/>
      <c r="Y5322" s="20"/>
    </row>
    <row r="5323" spans="24:25">
      <c r="X5323" s="19"/>
      <c r="Y5323" s="20"/>
    </row>
    <row r="5324" spans="24:25">
      <c r="X5324" s="19"/>
      <c r="Y5324" s="20"/>
    </row>
    <row r="5325" spans="24:25">
      <c r="X5325" s="19"/>
      <c r="Y5325" s="20"/>
    </row>
    <row r="5326" spans="24:25">
      <c r="X5326" s="19"/>
      <c r="Y5326" s="20"/>
    </row>
    <row r="5327" spans="24:25">
      <c r="X5327" s="19"/>
      <c r="Y5327" s="20"/>
    </row>
    <row r="5328" spans="24:25">
      <c r="X5328" s="19"/>
      <c r="Y5328" s="20"/>
    </row>
    <row r="5329" spans="24:25">
      <c r="X5329" s="19"/>
      <c r="Y5329" s="20"/>
    </row>
    <row r="5330" spans="24:25">
      <c r="X5330" s="19"/>
      <c r="Y5330" s="20"/>
    </row>
    <row r="5331" spans="24:25">
      <c r="X5331" s="19"/>
      <c r="Y5331" s="20"/>
    </row>
    <row r="5332" spans="24:25">
      <c r="X5332" s="19"/>
      <c r="Y5332" s="20"/>
    </row>
    <row r="5333" spans="24:25">
      <c r="X5333" s="19"/>
      <c r="Y5333" s="20"/>
    </row>
    <row r="5334" spans="24:25">
      <c r="X5334" s="19"/>
      <c r="Y5334" s="20"/>
    </row>
    <row r="5335" spans="24:25">
      <c r="X5335" s="19"/>
      <c r="Y5335" s="20"/>
    </row>
    <row r="5336" spans="24:25">
      <c r="X5336" s="19"/>
      <c r="Y5336" s="20"/>
    </row>
    <row r="5337" spans="24:25">
      <c r="X5337" s="19"/>
      <c r="Y5337" s="20"/>
    </row>
    <row r="5338" spans="24:25">
      <c r="X5338" s="19"/>
      <c r="Y5338" s="20"/>
    </row>
    <row r="5339" spans="24:25">
      <c r="X5339" s="19"/>
      <c r="Y5339" s="20"/>
    </row>
    <row r="5340" spans="24:25">
      <c r="X5340" s="19"/>
      <c r="Y5340" s="20"/>
    </row>
    <row r="5341" spans="24:25">
      <c r="X5341" s="19"/>
      <c r="Y5341" s="20"/>
    </row>
    <row r="5342" spans="24:25">
      <c r="X5342" s="19"/>
      <c r="Y5342" s="20"/>
    </row>
    <row r="5343" spans="24:25">
      <c r="X5343" s="19"/>
      <c r="Y5343" s="20"/>
    </row>
    <row r="5344" spans="24:25">
      <c r="X5344" s="19"/>
      <c r="Y5344" s="20"/>
    </row>
    <row r="5345" spans="24:25">
      <c r="X5345" s="19"/>
      <c r="Y5345" s="20"/>
    </row>
    <row r="5346" spans="24:25">
      <c r="X5346" s="19"/>
      <c r="Y5346" s="20"/>
    </row>
    <row r="5347" spans="24:25">
      <c r="X5347" s="19"/>
      <c r="Y5347" s="20"/>
    </row>
    <row r="5348" spans="24:25">
      <c r="X5348" s="19"/>
      <c r="Y5348" s="20"/>
    </row>
    <row r="5349" spans="24:25">
      <c r="X5349" s="19"/>
      <c r="Y5349" s="20"/>
    </row>
    <row r="5350" spans="24:25">
      <c r="X5350" s="19"/>
      <c r="Y5350" s="20"/>
    </row>
    <row r="5351" spans="24:25">
      <c r="X5351" s="19"/>
      <c r="Y5351" s="20"/>
    </row>
    <row r="5352" spans="24:25">
      <c r="X5352" s="19"/>
      <c r="Y5352" s="20"/>
    </row>
    <row r="5353" spans="24:25">
      <c r="X5353" s="19"/>
      <c r="Y5353" s="20"/>
    </row>
    <row r="5354" spans="24:25">
      <c r="X5354" s="19"/>
      <c r="Y5354" s="20"/>
    </row>
    <row r="5355" spans="24:25">
      <c r="X5355" s="19"/>
      <c r="Y5355" s="20"/>
    </row>
    <row r="5356" spans="24:25">
      <c r="X5356" s="19"/>
      <c r="Y5356" s="20"/>
    </row>
    <row r="5357" spans="24:25">
      <c r="X5357" s="19"/>
      <c r="Y5357" s="20"/>
    </row>
    <row r="5358" spans="24:25">
      <c r="X5358" s="19"/>
      <c r="Y5358" s="20"/>
    </row>
    <row r="5359" spans="24:25">
      <c r="X5359" s="19"/>
      <c r="Y5359" s="20"/>
    </row>
    <row r="5360" spans="24:25">
      <c r="X5360" s="19"/>
      <c r="Y5360" s="20"/>
    </row>
    <row r="5361" spans="24:25">
      <c r="X5361" s="19"/>
      <c r="Y5361" s="20"/>
    </row>
    <row r="5362" spans="24:25">
      <c r="X5362" s="19"/>
      <c r="Y5362" s="20"/>
    </row>
    <row r="5363" spans="24:25">
      <c r="X5363" s="19"/>
      <c r="Y5363" s="20"/>
    </row>
    <row r="5364" spans="24:25">
      <c r="X5364" s="19"/>
      <c r="Y5364" s="20"/>
    </row>
    <row r="5365" spans="24:25">
      <c r="X5365" s="19"/>
      <c r="Y5365" s="20"/>
    </row>
    <row r="5366" spans="24:25">
      <c r="X5366" s="19"/>
      <c r="Y5366" s="20"/>
    </row>
    <row r="5367" spans="24:25">
      <c r="X5367" s="19"/>
      <c r="Y5367" s="20"/>
    </row>
    <row r="5368" spans="24:25">
      <c r="X5368" s="19"/>
      <c r="Y5368" s="20"/>
    </row>
    <row r="5369" spans="24:25">
      <c r="X5369" s="19"/>
      <c r="Y5369" s="20"/>
    </row>
    <row r="5370" spans="24:25">
      <c r="X5370" s="19"/>
      <c r="Y5370" s="20"/>
    </row>
    <row r="5371" spans="24:25">
      <c r="X5371" s="19"/>
      <c r="Y5371" s="20"/>
    </row>
    <row r="5372" spans="24:25">
      <c r="X5372" s="19"/>
      <c r="Y5372" s="20"/>
    </row>
    <row r="5373" spans="24:25">
      <c r="X5373" s="19"/>
      <c r="Y5373" s="20"/>
    </row>
    <row r="5374" spans="24:25">
      <c r="X5374" s="19"/>
      <c r="Y5374" s="20"/>
    </row>
    <row r="5375" spans="24:25">
      <c r="X5375" s="19"/>
      <c r="Y5375" s="20"/>
    </row>
    <row r="5376" spans="24:25">
      <c r="X5376" s="19"/>
      <c r="Y5376" s="20"/>
    </row>
    <row r="5377" spans="24:25">
      <c r="X5377" s="19"/>
      <c r="Y5377" s="20"/>
    </row>
    <row r="5378" spans="24:25">
      <c r="X5378" s="19"/>
      <c r="Y5378" s="20"/>
    </row>
    <row r="5379" spans="24:25">
      <c r="X5379" s="19"/>
      <c r="Y5379" s="20"/>
    </row>
    <row r="5380" spans="24:25">
      <c r="X5380" s="19"/>
      <c r="Y5380" s="20"/>
    </row>
    <row r="5381" spans="24:25">
      <c r="X5381" s="19"/>
      <c r="Y5381" s="20"/>
    </row>
    <row r="5382" spans="24:25">
      <c r="X5382" s="19"/>
      <c r="Y5382" s="20"/>
    </row>
    <row r="5383" spans="24:25">
      <c r="X5383" s="19"/>
      <c r="Y5383" s="20"/>
    </row>
    <row r="5384" spans="24:25">
      <c r="X5384" s="19"/>
      <c r="Y5384" s="20"/>
    </row>
    <row r="5385" spans="24:25">
      <c r="X5385" s="19"/>
      <c r="Y5385" s="20"/>
    </row>
    <row r="5386" spans="24:25">
      <c r="X5386" s="19"/>
      <c r="Y5386" s="20"/>
    </row>
    <row r="5387" spans="24:25">
      <c r="X5387" s="19"/>
      <c r="Y5387" s="20"/>
    </row>
    <row r="5388" spans="24:25">
      <c r="X5388" s="19"/>
      <c r="Y5388" s="20"/>
    </row>
    <row r="5389" spans="24:25">
      <c r="X5389" s="19"/>
      <c r="Y5389" s="20"/>
    </row>
    <row r="5390" spans="24:25">
      <c r="X5390" s="19"/>
      <c r="Y5390" s="20"/>
    </row>
    <row r="5391" spans="24:25">
      <c r="X5391" s="19"/>
      <c r="Y5391" s="20"/>
    </row>
    <row r="5392" spans="24:25">
      <c r="X5392" s="19"/>
      <c r="Y5392" s="20"/>
    </row>
    <row r="5393" spans="24:25">
      <c r="X5393" s="19"/>
      <c r="Y5393" s="20"/>
    </row>
    <row r="5394" spans="24:25">
      <c r="X5394" s="19"/>
      <c r="Y5394" s="20"/>
    </row>
    <row r="5395" spans="24:25">
      <c r="X5395" s="19"/>
      <c r="Y5395" s="20"/>
    </row>
    <row r="5396" spans="24:25">
      <c r="X5396" s="19"/>
      <c r="Y5396" s="20"/>
    </row>
    <row r="5397" spans="24:25">
      <c r="X5397" s="19"/>
      <c r="Y5397" s="20"/>
    </row>
    <row r="5398" spans="24:25">
      <c r="X5398" s="19"/>
      <c r="Y5398" s="20"/>
    </row>
    <row r="5399" spans="24:25">
      <c r="X5399" s="19"/>
      <c r="Y5399" s="20"/>
    </row>
    <row r="5400" spans="24:25">
      <c r="X5400" s="19"/>
      <c r="Y5400" s="20"/>
    </row>
    <row r="5401" spans="24:25">
      <c r="X5401" s="19"/>
      <c r="Y5401" s="20"/>
    </row>
    <row r="5402" spans="24:25">
      <c r="X5402" s="19"/>
      <c r="Y5402" s="20"/>
    </row>
    <row r="5403" spans="24:25">
      <c r="X5403" s="19"/>
      <c r="Y5403" s="20"/>
    </row>
    <row r="5404" spans="24:25">
      <c r="X5404" s="19"/>
      <c r="Y5404" s="20"/>
    </row>
    <row r="5405" spans="24:25">
      <c r="X5405" s="19"/>
      <c r="Y5405" s="20"/>
    </row>
    <row r="5406" spans="24:25">
      <c r="X5406" s="19"/>
      <c r="Y5406" s="20"/>
    </row>
    <row r="5407" spans="24:25">
      <c r="X5407" s="19"/>
      <c r="Y5407" s="20"/>
    </row>
    <row r="5408" spans="24:25">
      <c r="X5408" s="19"/>
      <c r="Y5408" s="20"/>
    </row>
    <row r="5409" spans="24:25">
      <c r="X5409" s="19"/>
      <c r="Y5409" s="20"/>
    </row>
    <row r="5410" spans="24:25">
      <c r="X5410" s="19"/>
      <c r="Y5410" s="20"/>
    </row>
    <row r="5411" spans="24:25">
      <c r="X5411" s="19"/>
      <c r="Y5411" s="20"/>
    </row>
    <row r="5412" spans="24:25">
      <c r="X5412" s="19"/>
      <c r="Y5412" s="20"/>
    </row>
    <row r="5413" spans="24:25">
      <c r="X5413" s="19"/>
      <c r="Y5413" s="20"/>
    </row>
    <row r="5414" spans="24:25">
      <c r="X5414" s="19"/>
      <c r="Y5414" s="20"/>
    </row>
    <row r="5415" spans="24:25">
      <c r="X5415" s="19"/>
      <c r="Y5415" s="20"/>
    </row>
    <row r="5416" spans="24:25">
      <c r="X5416" s="19"/>
      <c r="Y5416" s="20"/>
    </row>
    <row r="5417" spans="24:25">
      <c r="X5417" s="19"/>
      <c r="Y5417" s="20"/>
    </row>
    <row r="5418" spans="24:25">
      <c r="X5418" s="19"/>
      <c r="Y5418" s="20"/>
    </row>
    <row r="5419" spans="24:25">
      <c r="X5419" s="19"/>
      <c r="Y5419" s="20"/>
    </row>
    <row r="5420" spans="24:25">
      <c r="X5420" s="19"/>
      <c r="Y5420" s="20"/>
    </row>
    <row r="5421" spans="24:25">
      <c r="X5421" s="19"/>
      <c r="Y5421" s="20"/>
    </row>
    <row r="5422" spans="24:25">
      <c r="X5422" s="19"/>
      <c r="Y5422" s="20"/>
    </row>
    <row r="5423" spans="24:25">
      <c r="X5423" s="19"/>
      <c r="Y5423" s="20"/>
    </row>
    <row r="5424" spans="24:25">
      <c r="X5424" s="19"/>
      <c r="Y5424" s="20"/>
    </row>
    <row r="5425" spans="24:25">
      <c r="X5425" s="19"/>
      <c r="Y5425" s="20"/>
    </row>
    <row r="5426" spans="24:25">
      <c r="X5426" s="19"/>
      <c r="Y5426" s="20"/>
    </row>
    <row r="5427" spans="24:25">
      <c r="X5427" s="19"/>
      <c r="Y5427" s="20"/>
    </row>
    <row r="5428" spans="24:25">
      <c r="X5428" s="19"/>
      <c r="Y5428" s="20"/>
    </row>
    <row r="5429" spans="24:25">
      <c r="X5429" s="19"/>
      <c r="Y5429" s="20"/>
    </row>
    <row r="5430" spans="24:25">
      <c r="X5430" s="19"/>
      <c r="Y5430" s="20"/>
    </row>
    <row r="5431" spans="24:25">
      <c r="X5431" s="19"/>
      <c r="Y5431" s="20"/>
    </row>
    <row r="5432" spans="24:25">
      <c r="X5432" s="19"/>
      <c r="Y5432" s="20"/>
    </row>
    <row r="5433" spans="24:25">
      <c r="X5433" s="19"/>
      <c r="Y5433" s="20"/>
    </row>
    <row r="5434" spans="24:25">
      <c r="X5434" s="19"/>
      <c r="Y5434" s="20"/>
    </row>
    <row r="5435" spans="24:25">
      <c r="X5435" s="19"/>
      <c r="Y5435" s="20"/>
    </row>
    <row r="5436" spans="24:25">
      <c r="X5436" s="19"/>
      <c r="Y5436" s="20"/>
    </row>
    <row r="5437" spans="24:25">
      <c r="X5437" s="19"/>
      <c r="Y5437" s="20"/>
    </row>
    <row r="5438" spans="24:25">
      <c r="X5438" s="19"/>
      <c r="Y5438" s="20"/>
    </row>
    <row r="5439" spans="24:25">
      <c r="X5439" s="19"/>
      <c r="Y5439" s="20"/>
    </row>
    <row r="5440" spans="24:25">
      <c r="X5440" s="19"/>
      <c r="Y5440" s="20"/>
    </row>
    <row r="5441" spans="24:25">
      <c r="X5441" s="19"/>
      <c r="Y5441" s="20"/>
    </row>
    <row r="5442" spans="24:25">
      <c r="X5442" s="19"/>
      <c r="Y5442" s="20"/>
    </row>
    <row r="5443" spans="24:25">
      <c r="X5443" s="19"/>
      <c r="Y5443" s="20"/>
    </row>
    <row r="5444" spans="24:25">
      <c r="X5444" s="19"/>
      <c r="Y5444" s="20"/>
    </row>
    <row r="5445" spans="24:25">
      <c r="X5445" s="19"/>
      <c r="Y5445" s="20"/>
    </row>
    <row r="5446" spans="24:25">
      <c r="X5446" s="19"/>
      <c r="Y5446" s="20"/>
    </row>
    <row r="5447" spans="24:25">
      <c r="X5447" s="19"/>
      <c r="Y5447" s="20"/>
    </row>
    <row r="5448" spans="24:25">
      <c r="X5448" s="19"/>
      <c r="Y5448" s="20"/>
    </row>
    <row r="5449" spans="24:25">
      <c r="X5449" s="19"/>
      <c r="Y5449" s="20"/>
    </row>
    <row r="5450" spans="24:25">
      <c r="X5450" s="19"/>
      <c r="Y5450" s="20"/>
    </row>
    <row r="5451" spans="24:25">
      <c r="X5451" s="19"/>
      <c r="Y5451" s="20"/>
    </row>
    <row r="5452" spans="24:25">
      <c r="X5452" s="19"/>
      <c r="Y5452" s="20"/>
    </row>
    <row r="5453" spans="24:25">
      <c r="X5453" s="19"/>
      <c r="Y5453" s="20"/>
    </row>
    <row r="5454" spans="24:25">
      <c r="X5454" s="19"/>
      <c r="Y5454" s="20"/>
    </row>
    <row r="5455" spans="24:25">
      <c r="X5455" s="19"/>
      <c r="Y5455" s="20"/>
    </row>
    <row r="5456" spans="24:25">
      <c r="X5456" s="19"/>
      <c r="Y5456" s="20"/>
    </row>
    <row r="5457" spans="24:25">
      <c r="X5457" s="19"/>
      <c r="Y5457" s="20"/>
    </row>
    <row r="5458" spans="24:25">
      <c r="X5458" s="19"/>
      <c r="Y5458" s="20"/>
    </row>
    <row r="5459" spans="24:25">
      <c r="X5459" s="19"/>
      <c r="Y5459" s="20"/>
    </row>
    <row r="5460" spans="24:25">
      <c r="X5460" s="19"/>
      <c r="Y5460" s="20"/>
    </row>
    <row r="5461" spans="24:25">
      <c r="X5461" s="19"/>
      <c r="Y5461" s="20"/>
    </row>
    <row r="5462" spans="24:25">
      <c r="X5462" s="19"/>
      <c r="Y5462" s="20"/>
    </row>
    <row r="5463" spans="24:25">
      <c r="X5463" s="19"/>
      <c r="Y5463" s="20"/>
    </row>
    <row r="5464" spans="24:25">
      <c r="X5464" s="19"/>
      <c r="Y5464" s="20"/>
    </row>
    <row r="5465" spans="24:25">
      <c r="X5465" s="19"/>
      <c r="Y5465" s="20"/>
    </row>
    <row r="5466" spans="24:25">
      <c r="X5466" s="19"/>
      <c r="Y5466" s="20"/>
    </row>
    <row r="5467" spans="24:25">
      <c r="X5467" s="19"/>
      <c r="Y5467" s="20"/>
    </row>
    <row r="5468" spans="24:25">
      <c r="X5468" s="19"/>
      <c r="Y5468" s="20"/>
    </row>
    <row r="5469" spans="24:25">
      <c r="X5469" s="19"/>
      <c r="Y5469" s="20"/>
    </row>
    <row r="5470" spans="24:25">
      <c r="X5470" s="19"/>
      <c r="Y5470" s="20"/>
    </row>
    <row r="5471" spans="24:25">
      <c r="X5471" s="19"/>
      <c r="Y5471" s="20"/>
    </row>
    <row r="5472" spans="24:25">
      <c r="X5472" s="19"/>
      <c r="Y5472" s="20"/>
    </row>
    <row r="5473" spans="24:25">
      <c r="X5473" s="19"/>
      <c r="Y5473" s="20"/>
    </row>
    <row r="5474" spans="24:25">
      <c r="X5474" s="19"/>
      <c r="Y5474" s="20"/>
    </row>
    <row r="5475" spans="24:25">
      <c r="X5475" s="19"/>
      <c r="Y5475" s="20"/>
    </row>
    <row r="5476" spans="24:25">
      <c r="X5476" s="19"/>
      <c r="Y5476" s="20"/>
    </row>
    <row r="5477" spans="24:25">
      <c r="X5477" s="19"/>
      <c r="Y5477" s="20"/>
    </row>
    <row r="5478" spans="24:25">
      <c r="X5478" s="19"/>
      <c r="Y5478" s="20"/>
    </row>
    <row r="5479" spans="24:25">
      <c r="X5479" s="19"/>
      <c r="Y5479" s="20"/>
    </row>
    <row r="5480" spans="24:25">
      <c r="X5480" s="19"/>
      <c r="Y5480" s="20"/>
    </row>
    <row r="5481" spans="24:25">
      <c r="X5481" s="19"/>
      <c r="Y5481" s="20"/>
    </row>
    <row r="5482" spans="24:25">
      <c r="X5482" s="19"/>
      <c r="Y5482" s="20"/>
    </row>
    <row r="5483" spans="24:25">
      <c r="X5483" s="19"/>
      <c r="Y5483" s="20"/>
    </row>
    <row r="5484" spans="24:25">
      <c r="X5484" s="19"/>
      <c r="Y5484" s="20"/>
    </row>
    <row r="5485" spans="24:25">
      <c r="X5485" s="19"/>
      <c r="Y5485" s="20"/>
    </row>
    <row r="5486" spans="24:25">
      <c r="X5486" s="19"/>
      <c r="Y5486" s="20"/>
    </row>
    <row r="5487" spans="24:25">
      <c r="X5487" s="19"/>
      <c r="Y5487" s="20"/>
    </row>
    <row r="5488" spans="24:25">
      <c r="X5488" s="19"/>
      <c r="Y5488" s="20"/>
    </row>
    <row r="5489" spans="24:25">
      <c r="X5489" s="19"/>
      <c r="Y5489" s="20"/>
    </row>
    <row r="5490" spans="24:25">
      <c r="X5490" s="19"/>
      <c r="Y5490" s="20"/>
    </row>
    <row r="5491" spans="24:25">
      <c r="X5491" s="19"/>
      <c r="Y5491" s="20"/>
    </row>
    <row r="5492" spans="24:25">
      <c r="X5492" s="19"/>
      <c r="Y5492" s="20"/>
    </row>
    <row r="5493" spans="24:25">
      <c r="X5493" s="19"/>
      <c r="Y5493" s="20"/>
    </row>
    <row r="5494" spans="24:25">
      <c r="X5494" s="19"/>
      <c r="Y5494" s="20"/>
    </row>
    <row r="5495" spans="24:25">
      <c r="X5495" s="19"/>
      <c r="Y5495" s="20"/>
    </row>
    <row r="5496" spans="24:25">
      <c r="X5496" s="19"/>
      <c r="Y5496" s="20"/>
    </row>
    <row r="5497" spans="24:25">
      <c r="X5497" s="19"/>
      <c r="Y5497" s="20"/>
    </row>
    <row r="5498" spans="24:25">
      <c r="X5498" s="19"/>
      <c r="Y5498" s="20"/>
    </row>
    <row r="5499" spans="24:25">
      <c r="X5499" s="19"/>
      <c r="Y5499" s="20"/>
    </row>
    <row r="5500" spans="24:25">
      <c r="X5500" s="19"/>
      <c r="Y5500" s="20"/>
    </row>
    <row r="5501" spans="24:25">
      <c r="X5501" s="19"/>
      <c r="Y5501" s="20"/>
    </row>
    <row r="5502" spans="24:25">
      <c r="X5502" s="19"/>
      <c r="Y5502" s="20"/>
    </row>
    <row r="5503" spans="24:25">
      <c r="X5503" s="19"/>
      <c r="Y5503" s="20"/>
    </row>
    <row r="5504" spans="24:25">
      <c r="X5504" s="19"/>
      <c r="Y5504" s="20"/>
    </row>
    <row r="5505" spans="24:25">
      <c r="X5505" s="19"/>
      <c r="Y5505" s="20"/>
    </row>
    <row r="5506" spans="24:25">
      <c r="X5506" s="19"/>
      <c r="Y5506" s="20"/>
    </row>
    <row r="5507" spans="24:25">
      <c r="X5507" s="19"/>
      <c r="Y5507" s="20"/>
    </row>
    <row r="5508" spans="24:25">
      <c r="X5508" s="19"/>
      <c r="Y5508" s="20"/>
    </row>
    <row r="5509" spans="24:25">
      <c r="X5509" s="19"/>
      <c r="Y5509" s="20"/>
    </row>
    <row r="5510" spans="24:25">
      <c r="X5510" s="19"/>
      <c r="Y5510" s="20"/>
    </row>
    <row r="5511" spans="24:25">
      <c r="X5511" s="19"/>
      <c r="Y5511" s="20"/>
    </row>
    <row r="5512" spans="24:25">
      <c r="X5512" s="19"/>
      <c r="Y5512" s="20"/>
    </row>
    <row r="5513" spans="24:25">
      <c r="X5513" s="19"/>
      <c r="Y5513" s="20"/>
    </row>
    <row r="5514" spans="24:25">
      <c r="X5514" s="19"/>
      <c r="Y5514" s="20"/>
    </row>
    <row r="5515" spans="24:25">
      <c r="X5515" s="19"/>
      <c r="Y5515" s="20"/>
    </row>
    <row r="5516" spans="24:25">
      <c r="X5516" s="19"/>
      <c r="Y5516" s="20"/>
    </row>
    <row r="5517" spans="24:25">
      <c r="X5517" s="19"/>
      <c r="Y5517" s="20"/>
    </row>
    <row r="5518" spans="24:25">
      <c r="X5518" s="19"/>
      <c r="Y5518" s="20"/>
    </row>
    <row r="5519" spans="24:25">
      <c r="X5519" s="19"/>
      <c r="Y5519" s="20"/>
    </row>
    <row r="5520" spans="24:25">
      <c r="X5520" s="19"/>
      <c r="Y5520" s="20"/>
    </row>
    <row r="5521" spans="24:25">
      <c r="X5521" s="19"/>
      <c r="Y5521" s="20"/>
    </row>
    <row r="5522" spans="24:25">
      <c r="X5522" s="19"/>
      <c r="Y5522" s="20"/>
    </row>
    <row r="5523" spans="24:25">
      <c r="X5523" s="19"/>
      <c r="Y5523" s="20"/>
    </row>
    <row r="5524" spans="24:25">
      <c r="X5524" s="19"/>
      <c r="Y5524" s="20"/>
    </row>
    <row r="5525" spans="24:25">
      <c r="X5525" s="19"/>
      <c r="Y5525" s="20"/>
    </row>
    <row r="5526" spans="24:25">
      <c r="X5526" s="19"/>
      <c r="Y5526" s="20"/>
    </row>
    <row r="5527" spans="24:25">
      <c r="X5527" s="19"/>
      <c r="Y5527" s="20"/>
    </row>
    <row r="5528" spans="24:25">
      <c r="X5528" s="19"/>
      <c r="Y5528" s="20"/>
    </row>
    <row r="5529" spans="24:25">
      <c r="X5529" s="19"/>
      <c r="Y5529" s="20"/>
    </row>
    <row r="5530" spans="24:25">
      <c r="X5530" s="19"/>
      <c r="Y5530" s="20"/>
    </row>
    <row r="5531" spans="24:25">
      <c r="X5531" s="19"/>
      <c r="Y5531" s="20"/>
    </row>
    <row r="5532" spans="24:25">
      <c r="X5532" s="19"/>
      <c r="Y5532" s="20"/>
    </row>
    <row r="5533" spans="24:25">
      <c r="X5533" s="19"/>
      <c r="Y5533" s="20"/>
    </row>
    <row r="5534" spans="24:25">
      <c r="X5534" s="19"/>
      <c r="Y5534" s="20"/>
    </row>
    <row r="5535" spans="24:25">
      <c r="X5535" s="19"/>
      <c r="Y5535" s="20"/>
    </row>
    <row r="5536" spans="24:25">
      <c r="X5536" s="19"/>
      <c r="Y5536" s="20"/>
    </row>
    <row r="5537" spans="24:25">
      <c r="X5537" s="19"/>
      <c r="Y5537" s="20"/>
    </row>
    <row r="5538" spans="24:25">
      <c r="X5538" s="19"/>
      <c r="Y5538" s="20"/>
    </row>
    <row r="5539" spans="24:25">
      <c r="X5539" s="19"/>
      <c r="Y5539" s="20"/>
    </row>
    <row r="5540" spans="24:25">
      <c r="X5540" s="19"/>
      <c r="Y5540" s="20"/>
    </row>
    <row r="5541" spans="24:25">
      <c r="X5541" s="19"/>
      <c r="Y5541" s="20"/>
    </row>
    <row r="5542" spans="24:25">
      <c r="X5542" s="19"/>
      <c r="Y5542" s="20"/>
    </row>
    <row r="5543" spans="24:25">
      <c r="X5543" s="19"/>
      <c r="Y5543" s="20"/>
    </row>
    <row r="5544" spans="24:25">
      <c r="X5544" s="19"/>
      <c r="Y5544" s="20"/>
    </row>
    <row r="5545" spans="24:25">
      <c r="X5545" s="19"/>
      <c r="Y5545" s="20"/>
    </row>
    <row r="5546" spans="24:25">
      <c r="X5546" s="19"/>
      <c r="Y5546" s="20"/>
    </row>
    <row r="5547" spans="24:25">
      <c r="X5547" s="19"/>
      <c r="Y5547" s="20"/>
    </row>
    <row r="5548" spans="24:25">
      <c r="X5548" s="19"/>
      <c r="Y5548" s="20"/>
    </row>
    <row r="5549" spans="24:25">
      <c r="X5549" s="19"/>
      <c r="Y5549" s="20"/>
    </row>
    <row r="5550" spans="24:25">
      <c r="X5550" s="19"/>
      <c r="Y5550" s="20"/>
    </row>
    <row r="5551" spans="24:25">
      <c r="X5551" s="19"/>
      <c r="Y5551" s="20"/>
    </row>
    <row r="5552" spans="24:25">
      <c r="X5552" s="19"/>
      <c r="Y5552" s="20"/>
    </row>
    <row r="5553" spans="24:25">
      <c r="X5553" s="19"/>
      <c r="Y5553" s="20"/>
    </row>
    <row r="5554" spans="24:25">
      <c r="X5554" s="19"/>
      <c r="Y5554" s="20"/>
    </row>
    <row r="5555" spans="24:25">
      <c r="X5555" s="19"/>
      <c r="Y5555" s="20"/>
    </row>
    <row r="5556" spans="24:25">
      <c r="X5556" s="19"/>
      <c r="Y5556" s="20"/>
    </row>
    <row r="5557" spans="24:25">
      <c r="X5557" s="19"/>
      <c r="Y5557" s="20"/>
    </row>
    <row r="5558" spans="24:25">
      <c r="X5558" s="19"/>
      <c r="Y5558" s="20"/>
    </row>
    <row r="5559" spans="24:25">
      <c r="X5559" s="19"/>
      <c r="Y5559" s="20"/>
    </row>
    <row r="5560" spans="24:25">
      <c r="X5560" s="19"/>
      <c r="Y5560" s="20"/>
    </row>
    <row r="5561" spans="24:25">
      <c r="X5561" s="19"/>
      <c r="Y5561" s="20"/>
    </row>
    <row r="5562" spans="24:25">
      <c r="X5562" s="19"/>
      <c r="Y5562" s="20"/>
    </row>
    <row r="5563" spans="24:25">
      <c r="X5563" s="19"/>
      <c r="Y5563" s="20"/>
    </row>
    <row r="5564" spans="24:25">
      <c r="X5564" s="19"/>
      <c r="Y5564" s="20"/>
    </row>
    <row r="5565" spans="24:25">
      <c r="X5565" s="19"/>
      <c r="Y5565" s="20"/>
    </row>
    <row r="5566" spans="24:25">
      <c r="X5566" s="19"/>
      <c r="Y5566" s="20"/>
    </row>
    <row r="5567" spans="24:25">
      <c r="X5567" s="19"/>
      <c r="Y5567" s="20"/>
    </row>
    <row r="5568" spans="24:25">
      <c r="X5568" s="19"/>
      <c r="Y5568" s="20"/>
    </row>
    <row r="5569" spans="24:25">
      <c r="X5569" s="19"/>
      <c r="Y5569" s="20"/>
    </row>
    <row r="5570" spans="24:25">
      <c r="X5570" s="19"/>
      <c r="Y5570" s="20"/>
    </row>
    <row r="5571" spans="24:25">
      <c r="X5571" s="19"/>
      <c r="Y5571" s="20"/>
    </row>
    <row r="5572" spans="24:25">
      <c r="X5572" s="19"/>
      <c r="Y5572" s="20"/>
    </row>
    <row r="5573" spans="24:25">
      <c r="X5573" s="19"/>
      <c r="Y5573" s="20"/>
    </row>
    <row r="5574" spans="24:25">
      <c r="X5574" s="19"/>
      <c r="Y5574" s="20"/>
    </row>
    <row r="5575" spans="24:25">
      <c r="X5575" s="19"/>
      <c r="Y5575" s="20"/>
    </row>
    <row r="5576" spans="24:25">
      <c r="X5576" s="19"/>
      <c r="Y5576" s="20"/>
    </row>
    <row r="5577" spans="24:25">
      <c r="X5577" s="19"/>
      <c r="Y5577" s="20"/>
    </row>
    <row r="5578" spans="24:25">
      <c r="X5578" s="19"/>
      <c r="Y5578" s="20"/>
    </row>
    <row r="5579" spans="24:25">
      <c r="X5579" s="19"/>
      <c r="Y5579" s="20"/>
    </row>
    <row r="5580" spans="24:25">
      <c r="X5580" s="19"/>
      <c r="Y5580" s="20"/>
    </row>
    <row r="5581" spans="24:25">
      <c r="X5581" s="19"/>
      <c r="Y5581" s="20"/>
    </row>
    <row r="5582" spans="24:25">
      <c r="X5582" s="19"/>
      <c r="Y5582" s="20"/>
    </row>
    <row r="5583" spans="24:25">
      <c r="X5583" s="19"/>
      <c r="Y5583" s="20"/>
    </row>
    <row r="5584" spans="24:25">
      <c r="X5584" s="19"/>
      <c r="Y5584" s="20"/>
    </row>
    <row r="5585" spans="24:25">
      <c r="X5585" s="19"/>
      <c r="Y5585" s="20"/>
    </row>
    <row r="5586" spans="24:25">
      <c r="X5586" s="19"/>
      <c r="Y5586" s="20"/>
    </row>
    <row r="5587" spans="24:25">
      <c r="X5587" s="19"/>
      <c r="Y5587" s="20"/>
    </row>
    <row r="5588" spans="24:25">
      <c r="X5588" s="19"/>
      <c r="Y5588" s="20"/>
    </row>
    <row r="5589" spans="24:25">
      <c r="X5589" s="19"/>
      <c r="Y5589" s="20"/>
    </row>
    <row r="5590" spans="24:25">
      <c r="X5590" s="19"/>
      <c r="Y5590" s="20"/>
    </row>
    <row r="5591" spans="24:25">
      <c r="X5591" s="19"/>
      <c r="Y5591" s="20"/>
    </row>
    <row r="5592" spans="24:25">
      <c r="X5592" s="19"/>
      <c r="Y5592" s="20"/>
    </row>
    <row r="5593" spans="24:25">
      <c r="X5593" s="19"/>
      <c r="Y5593" s="20"/>
    </row>
    <row r="5594" spans="24:25">
      <c r="X5594" s="19"/>
      <c r="Y5594" s="20"/>
    </row>
    <row r="5595" spans="24:25">
      <c r="X5595" s="19"/>
      <c r="Y5595" s="20"/>
    </row>
    <row r="5596" spans="24:25">
      <c r="X5596" s="19"/>
      <c r="Y5596" s="20"/>
    </row>
    <row r="5597" spans="24:25">
      <c r="X5597" s="19"/>
      <c r="Y5597" s="20"/>
    </row>
    <row r="5598" spans="24:25">
      <c r="X5598" s="19"/>
      <c r="Y5598" s="20"/>
    </row>
    <row r="5599" spans="24:25">
      <c r="X5599" s="19"/>
      <c r="Y5599" s="20"/>
    </row>
    <row r="5600" spans="24:25">
      <c r="X5600" s="19"/>
      <c r="Y5600" s="20"/>
    </row>
    <row r="5601" spans="24:25">
      <c r="X5601" s="19"/>
      <c r="Y5601" s="20"/>
    </row>
    <row r="5602" spans="24:25">
      <c r="X5602" s="19"/>
      <c r="Y5602" s="20"/>
    </row>
    <row r="5603" spans="24:25">
      <c r="X5603" s="19"/>
      <c r="Y5603" s="20"/>
    </row>
    <row r="5604" spans="24:25">
      <c r="X5604" s="19"/>
      <c r="Y5604" s="20"/>
    </row>
    <row r="5605" spans="24:25">
      <c r="X5605" s="19"/>
      <c r="Y5605" s="20"/>
    </row>
    <row r="5606" spans="24:25">
      <c r="X5606" s="19"/>
      <c r="Y5606" s="20"/>
    </row>
    <row r="5607" spans="24:25">
      <c r="X5607" s="19"/>
      <c r="Y5607" s="20"/>
    </row>
    <row r="5608" spans="24:25">
      <c r="X5608" s="19"/>
      <c r="Y5608" s="20"/>
    </row>
    <row r="5609" spans="24:25">
      <c r="X5609" s="19"/>
      <c r="Y5609" s="20"/>
    </row>
    <row r="5610" spans="24:25">
      <c r="X5610" s="19"/>
      <c r="Y5610" s="20"/>
    </row>
    <row r="5611" spans="24:25">
      <c r="X5611" s="19"/>
      <c r="Y5611" s="20"/>
    </row>
    <row r="5612" spans="24:25">
      <c r="X5612" s="19"/>
      <c r="Y5612" s="20"/>
    </row>
    <row r="5613" spans="24:25">
      <c r="X5613" s="19"/>
      <c r="Y5613" s="20"/>
    </row>
    <row r="5614" spans="24:25">
      <c r="X5614" s="19"/>
      <c r="Y5614" s="20"/>
    </row>
    <row r="5615" spans="24:25">
      <c r="X5615" s="19"/>
      <c r="Y5615" s="20"/>
    </row>
    <row r="5616" spans="24:25">
      <c r="X5616" s="19"/>
      <c r="Y5616" s="20"/>
    </row>
    <row r="5617" spans="24:25">
      <c r="X5617" s="19"/>
      <c r="Y5617" s="20"/>
    </row>
    <row r="5618" spans="24:25">
      <c r="X5618" s="19"/>
      <c r="Y5618" s="20"/>
    </row>
    <row r="5619" spans="24:25">
      <c r="X5619" s="19"/>
      <c r="Y5619" s="20"/>
    </row>
    <row r="5620" spans="24:25">
      <c r="X5620" s="19"/>
      <c r="Y5620" s="20"/>
    </row>
    <row r="5621" spans="24:25">
      <c r="X5621" s="19"/>
      <c r="Y5621" s="20"/>
    </row>
    <row r="5622" spans="24:25">
      <c r="X5622" s="19"/>
      <c r="Y5622" s="20"/>
    </row>
    <row r="5623" spans="24:25">
      <c r="X5623" s="19"/>
      <c r="Y5623" s="20"/>
    </row>
    <row r="5624" spans="24:25">
      <c r="X5624" s="19"/>
      <c r="Y5624" s="20"/>
    </row>
    <row r="5625" spans="24:25">
      <c r="X5625" s="19"/>
      <c r="Y5625" s="20"/>
    </row>
    <row r="5626" spans="24:25">
      <c r="X5626" s="19"/>
      <c r="Y5626" s="20"/>
    </row>
    <row r="5627" spans="24:25">
      <c r="X5627" s="19"/>
      <c r="Y5627" s="20"/>
    </row>
    <row r="5628" spans="24:25">
      <c r="X5628" s="19"/>
      <c r="Y5628" s="20"/>
    </row>
    <row r="5629" spans="24:25">
      <c r="X5629" s="19"/>
      <c r="Y5629" s="20"/>
    </row>
    <row r="5630" spans="24:25">
      <c r="X5630" s="19"/>
      <c r="Y5630" s="20"/>
    </row>
    <row r="5631" spans="24:25">
      <c r="X5631" s="19"/>
      <c r="Y5631" s="20"/>
    </row>
    <row r="5632" spans="24:25">
      <c r="X5632" s="19"/>
      <c r="Y5632" s="20"/>
    </row>
    <row r="5633" spans="24:25">
      <c r="X5633" s="19"/>
      <c r="Y5633" s="20"/>
    </row>
    <row r="5634" spans="24:25">
      <c r="X5634" s="19"/>
      <c r="Y5634" s="20"/>
    </row>
    <row r="5635" spans="24:25">
      <c r="X5635" s="19"/>
      <c r="Y5635" s="20"/>
    </row>
    <row r="5636" spans="24:25">
      <c r="X5636" s="19"/>
      <c r="Y5636" s="20"/>
    </row>
    <row r="5637" spans="24:25">
      <c r="X5637" s="19"/>
      <c r="Y5637" s="20"/>
    </row>
    <row r="5638" spans="24:25">
      <c r="X5638" s="19"/>
      <c r="Y5638" s="20"/>
    </row>
    <row r="5639" spans="24:25">
      <c r="X5639" s="19"/>
      <c r="Y5639" s="20"/>
    </row>
    <row r="5640" spans="24:25">
      <c r="X5640" s="19"/>
      <c r="Y5640" s="20"/>
    </row>
    <row r="5641" spans="24:25">
      <c r="X5641" s="19"/>
      <c r="Y5641" s="20"/>
    </row>
    <row r="5642" spans="24:25">
      <c r="X5642" s="19"/>
      <c r="Y5642" s="20"/>
    </row>
    <row r="5643" spans="24:25">
      <c r="X5643" s="19"/>
      <c r="Y5643" s="20"/>
    </row>
    <row r="5644" spans="24:25">
      <c r="X5644" s="19"/>
      <c r="Y5644" s="20"/>
    </row>
    <row r="5645" spans="24:25">
      <c r="X5645" s="19"/>
      <c r="Y5645" s="20"/>
    </row>
    <row r="5646" spans="24:25">
      <c r="X5646" s="19"/>
      <c r="Y5646" s="20"/>
    </row>
    <row r="5647" spans="24:25">
      <c r="X5647" s="19"/>
      <c r="Y5647" s="20"/>
    </row>
    <row r="5648" spans="24:25">
      <c r="X5648" s="19"/>
      <c r="Y5648" s="20"/>
    </row>
    <row r="5649" spans="24:25">
      <c r="X5649" s="19"/>
      <c r="Y5649" s="20"/>
    </row>
    <row r="5650" spans="24:25">
      <c r="X5650" s="19"/>
      <c r="Y5650" s="20"/>
    </row>
    <row r="5651" spans="24:25">
      <c r="X5651" s="19"/>
      <c r="Y5651" s="20"/>
    </row>
    <row r="5652" spans="24:25">
      <c r="X5652" s="19"/>
      <c r="Y5652" s="20"/>
    </row>
    <row r="5653" spans="24:25">
      <c r="X5653" s="19"/>
      <c r="Y5653" s="20"/>
    </row>
    <row r="5654" spans="24:25">
      <c r="X5654" s="19"/>
      <c r="Y5654" s="20"/>
    </row>
    <row r="5655" spans="24:25">
      <c r="X5655" s="19"/>
      <c r="Y5655" s="20"/>
    </row>
    <row r="5656" spans="24:25">
      <c r="X5656" s="19"/>
      <c r="Y5656" s="20"/>
    </row>
    <row r="5657" spans="24:25">
      <c r="X5657" s="19"/>
      <c r="Y5657" s="20"/>
    </row>
    <row r="5658" spans="24:25">
      <c r="X5658" s="19"/>
      <c r="Y5658" s="20"/>
    </row>
    <row r="5659" spans="24:25">
      <c r="X5659" s="19"/>
      <c r="Y5659" s="20"/>
    </row>
    <row r="5660" spans="24:25">
      <c r="X5660" s="19"/>
      <c r="Y5660" s="20"/>
    </row>
    <row r="5661" spans="24:25">
      <c r="X5661" s="19"/>
      <c r="Y5661" s="20"/>
    </row>
    <row r="5662" spans="24:25">
      <c r="X5662" s="19"/>
      <c r="Y5662" s="20"/>
    </row>
    <row r="5663" spans="24:25">
      <c r="X5663" s="19"/>
      <c r="Y5663" s="20"/>
    </row>
    <row r="5664" spans="24:25">
      <c r="X5664" s="19"/>
      <c r="Y5664" s="20"/>
    </row>
    <row r="5665" spans="24:25">
      <c r="X5665" s="19"/>
      <c r="Y5665" s="20"/>
    </row>
    <row r="5666" spans="24:25">
      <c r="X5666" s="19"/>
      <c r="Y5666" s="20"/>
    </row>
    <row r="5667" spans="24:25">
      <c r="X5667" s="19"/>
      <c r="Y5667" s="20"/>
    </row>
    <row r="5668" spans="24:25">
      <c r="X5668" s="19"/>
      <c r="Y5668" s="20"/>
    </row>
    <row r="5669" spans="24:25">
      <c r="X5669" s="19"/>
      <c r="Y5669" s="20"/>
    </row>
    <row r="5670" spans="24:25">
      <c r="X5670" s="19"/>
      <c r="Y5670" s="20"/>
    </row>
    <row r="5671" spans="24:25">
      <c r="X5671" s="19"/>
      <c r="Y5671" s="20"/>
    </row>
    <row r="5672" spans="24:25">
      <c r="X5672" s="19"/>
      <c r="Y5672" s="20"/>
    </row>
    <row r="5673" spans="24:25">
      <c r="X5673" s="19"/>
      <c r="Y5673" s="20"/>
    </row>
    <row r="5674" spans="24:25">
      <c r="X5674" s="19"/>
      <c r="Y5674" s="20"/>
    </row>
    <row r="5675" spans="24:25">
      <c r="X5675" s="19"/>
      <c r="Y5675" s="20"/>
    </row>
    <row r="5676" spans="24:25">
      <c r="X5676" s="19"/>
      <c r="Y5676" s="20"/>
    </row>
    <row r="5677" spans="24:25">
      <c r="X5677" s="19"/>
      <c r="Y5677" s="20"/>
    </row>
    <row r="5678" spans="24:25">
      <c r="X5678" s="19"/>
      <c r="Y5678" s="20"/>
    </row>
    <row r="5679" spans="24:25">
      <c r="X5679" s="19"/>
      <c r="Y5679" s="20"/>
    </row>
    <row r="5680" spans="24:25">
      <c r="X5680" s="19"/>
      <c r="Y5680" s="20"/>
    </row>
    <row r="5681" spans="24:25">
      <c r="X5681" s="19"/>
      <c r="Y5681" s="20"/>
    </row>
    <row r="5682" spans="24:25">
      <c r="X5682" s="19"/>
      <c r="Y5682" s="20"/>
    </row>
    <row r="5683" spans="24:25">
      <c r="X5683" s="19"/>
      <c r="Y5683" s="20"/>
    </row>
    <row r="5684" spans="24:25">
      <c r="X5684" s="19"/>
      <c r="Y5684" s="20"/>
    </row>
    <row r="5685" spans="24:25">
      <c r="X5685" s="19"/>
      <c r="Y5685" s="20"/>
    </row>
    <row r="5686" spans="24:25">
      <c r="X5686" s="19"/>
      <c r="Y5686" s="20"/>
    </row>
    <row r="5687" spans="24:25">
      <c r="X5687" s="19"/>
      <c r="Y5687" s="20"/>
    </row>
    <row r="5688" spans="24:25">
      <c r="X5688" s="19"/>
      <c r="Y5688" s="20"/>
    </row>
    <row r="5689" spans="24:25">
      <c r="X5689" s="19"/>
      <c r="Y5689" s="20"/>
    </row>
    <row r="5690" spans="24:25">
      <c r="X5690" s="19"/>
      <c r="Y5690" s="20"/>
    </row>
    <row r="5691" spans="24:25">
      <c r="X5691" s="19"/>
      <c r="Y5691" s="20"/>
    </row>
    <row r="5692" spans="24:25">
      <c r="X5692" s="19"/>
      <c r="Y5692" s="20"/>
    </row>
    <row r="5693" spans="24:25">
      <c r="X5693" s="19"/>
      <c r="Y5693" s="20"/>
    </row>
    <row r="5694" spans="24:25">
      <c r="X5694" s="19"/>
      <c r="Y5694" s="20"/>
    </row>
    <row r="5695" spans="24:25">
      <c r="X5695" s="19"/>
      <c r="Y5695" s="20"/>
    </row>
    <row r="5696" spans="24:25">
      <c r="X5696" s="19"/>
      <c r="Y5696" s="20"/>
    </row>
    <row r="5697" spans="24:25">
      <c r="X5697" s="19"/>
      <c r="Y5697" s="20"/>
    </row>
    <row r="5698" spans="24:25">
      <c r="X5698" s="19"/>
      <c r="Y5698" s="20"/>
    </row>
    <row r="5699" spans="24:25">
      <c r="X5699" s="19"/>
      <c r="Y5699" s="20"/>
    </row>
    <row r="5700" spans="24:25">
      <c r="X5700" s="19"/>
      <c r="Y5700" s="20"/>
    </row>
    <row r="5701" spans="24:25">
      <c r="X5701" s="19"/>
      <c r="Y5701" s="20"/>
    </row>
    <row r="5702" spans="24:25">
      <c r="X5702" s="19"/>
      <c r="Y5702" s="20"/>
    </row>
    <row r="5703" spans="24:25">
      <c r="X5703" s="19"/>
      <c r="Y5703" s="20"/>
    </row>
    <row r="5704" spans="24:25">
      <c r="X5704" s="19"/>
      <c r="Y5704" s="20"/>
    </row>
    <row r="5705" spans="24:25">
      <c r="X5705" s="19"/>
      <c r="Y5705" s="20"/>
    </row>
    <row r="5706" spans="24:25">
      <c r="X5706" s="19"/>
      <c r="Y5706" s="20"/>
    </row>
    <row r="5707" spans="24:25">
      <c r="X5707" s="19"/>
      <c r="Y5707" s="20"/>
    </row>
    <row r="5708" spans="24:25">
      <c r="X5708" s="19"/>
      <c r="Y5708" s="20"/>
    </row>
    <row r="5709" spans="24:25">
      <c r="X5709" s="19"/>
      <c r="Y5709" s="20"/>
    </row>
    <row r="5710" spans="24:25">
      <c r="X5710" s="19"/>
      <c r="Y5710" s="20"/>
    </row>
    <row r="5711" spans="24:25">
      <c r="X5711" s="19"/>
      <c r="Y5711" s="20"/>
    </row>
    <row r="5712" spans="24:25">
      <c r="X5712" s="19"/>
      <c r="Y5712" s="20"/>
    </row>
    <row r="5713" spans="24:25">
      <c r="X5713" s="19"/>
      <c r="Y5713" s="20"/>
    </row>
    <row r="5714" spans="24:25">
      <c r="X5714" s="19"/>
      <c r="Y5714" s="20"/>
    </row>
    <row r="5715" spans="24:25">
      <c r="X5715" s="19"/>
      <c r="Y5715" s="20"/>
    </row>
    <row r="5716" spans="24:25">
      <c r="X5716" s="19"/>
      <c r="Y5716" s="20"/>
    </row>
    <row r="5717" spans="24:25">
      <c r="X5717" s="19"/>
      <c r="Y5717" s="20"/>
    </row>
    <row r="5718" spans="24:25">
      <c r="X5718" s="19"/>
      <c r="Y5718" s="20"/>
    </row>
    <row r="5719" spans="24:25">
      <c r="X5719" s="19"/>
      <c r="Y5719" s="20"/>
    </row>
    <row r="5720" spans="24:25">
      <c r="X5720" s="19"/>
      <c r="Y5720" s="20"/>
    </row>
    <row r="5721" spans="24:25">
      <c r="X5721" s="19"/>
      <c r="Y5721" s="20"/>
    </row>
    <row r="5722" spans="24:25">
      <c r="X5722" s="19"/>
      <c r="Y5722" s="20"/>
    </row>
    <row r="5723" spans="24:25">
      <c r="X5723" s="19"/>
      <c r="Y5723" s="20"/>
    </row>
    <row r="5724" spans="24:25">
      <c r="X5724" s="19"/>
      <c r="Y5724" s="20"/>
    </row>
    <row r="5725" spans="24:25">
      <c r="X5725" s="19"/>
      <c r="Y5725" s="20"/>
    </row>
    <row r="5726" spans="24:25">
      <c r="X5726" s="19"/>
      <c r="Y5726" s="20"/>
    </row>
    <row r="5727" spans="24:25">
      <c r="X5727" s="19"/>
      <c r="Y5727" s="20"/>
    </row>
    <row r="5728" spans="24:25">
      <c r="X5728" s="19"/>
      <c r="Y5728" s="20"/>
    </row>
    <row r="5729" spans="24:25">
      <c r="X5729" s="19"/>
      <c r="Y5729" s="20"/>
    </row>
    <row r="5730" spans="24:25">
      <c r="X5730" s="19"/>
      <c r="Y5730" s="20"/>
    </row>
    <row r="5731" spans="24:25">
      <c r="X5731" s="19"/>
      <c r="Y5731" s="20"/>
    </row>
    <row r="5732" spans="24:25">
      <c r="X5732" s="19"/>
      <c r="Y5732" s="20"/>
    </row>
    <row r="5733" spans="24:25">
      <c r="X5733" s="19"/>
      <c r="Y5733" s="20"/>
    </row>
    <row r="5734" spans="24:25">
      <c r="X5734" s="19"/>
      <c r="Y5734" s="20"/>
    </row>
    <row r="5735" spans="24:25">
      <c r="X5735" s="19"/>
      <c r="Y5735" s="20"/>
    </row>
    <row r="5736" spans="24:25">
      <c r="X5736" s="19"/>
      <c r="Y5736" s="20"/>
    </row>
    <row r="5737" spans="24:25">
      <c r="X5737" s="19"/>
      <c r="Y5737" s="20"/>
    </row>
    <row r="5738" spans="24:25">
      <c r="X5738" s="19"/>
      <c r="Y5738" s="20"/>
    </row>
    <row r="5739" spans="24:25">
      <c r="X5739" s="19"/>
      <c r="Y5739" s="20"/>
    </row>
    <row r="5740" spans="24:25">
      <c r="X5740" s="19"/>
      <c r="Y5740" s="20"/>
    </row>
    <row r="5741" spans="24:25">
      <c r="X5741" s="19"/>
      <c r="Y5741" s="20"/>
    </row>
    <row r="5742" spans="24:25">
      <c r="X5742" s="19"/>
      <c r="Y5742" s="20"/>
    </row>
    <row r="5743" spans="24:25">
      <c r="X5743" s="19"/>
      <c r="Y5743" s="20"/>
    </row>
    <row r="5744" spans="24:25">
      <c r="X5744" s="19"/>
      <c r="Y5744" s="20"/>
    </row>
    <row r="5745" spans="24:25">
      <c r="X5745" s="19"/>
      <c r="Y5745" s="20"/>
    </row>
    <row r="5746" spans="24:25">
      <c r="X5746" s="19"/>
      <c r="Y5746" s="20"/>
    </row>
    <row r="5747" spans="24:25">
      <c r="X5747" s="19"/>
      <c r="Y5747" s="20"/>
    </row>
    <row r="5748" spans="24:25">
      <c r="X5748" s="19"/>
      <c r="Y5748" s="20"/>
    </row>
    <row r="5749" spans="24:25">
      <c r="X5749" s="19"/>
      <c r="Y5749" s="20"/>
    </row>
    <row r="5750" spans="24:25">
      <c r="X5750" s="19"/>
      <c r="Y5750" s="20"/>
    </row>
    <row r="5751" spans="24:25">
      <c r="X5751" s="19"/>
      <c r="Y5751" s="20"/>
    </row>
    <row r="5752" spans="24:25">
      <c r="X5752" s="19"/>
      <c r="Y5752" s="20"/>
    </row>
    <row r="5753" spans="24:25">
      <c r="X5753" s="19"/>
      <c r="Y5753" s="20"/>
    </row>
    <row r="5754" spans="24:25">
      <c r="X5754" s="19"/>
      <c r="Y5754" s="20"/>
    </row>
    <row r="5755" spans="24:25">
      <c r="X5755" s="19"/>
      <c r="Y5755" s="20"/>
    </row>
    <row r="5756" spans="24:25">
      <c r="X5756" s="19"/>
      <c r="Y5756" s="20"/>
    </row>
    <row r="5757" spans="24:25">
      <c r="X5757" s="19"/>
      <c r="Y5757" s="20"/>
    </row>
    <row r="5758" spans="24:25">
      <c r="X5758" s="19"/>
      <c r="Y5758" s="20"/>
    </row>
    <row r="5759" spans="24:25">
      <c r="X5759" s="19"/>
      <c r="Y5759" s="20"/>
    </row>
    <row r="5760" spans="24:25">
      <c r="X5760" s="19"/>
      <c r="Y5760" s="20"/>
    </row>
    <row r="5761" spans="24:25">
      <c r="X5761" s="19"/>
      <c r="Y5761" s="20"/>
    </row>
    <row r="5762" spans="24:25">
      <c r="X5762" s="19"/>
      <c r="Y5762" s="20"/>
    </row>
    <row r="5763" spans="24:25">
      <c r="X5763" s="19"/>
      <c r="Y5763" s="20"/>
    </row>
    <row r="5764" spans="24:25">
      <c r="X5764" s="19"/>
      <c r="Y5764" s="20"/>
    </row>
    <row r="5765" spans="24:25">
      <c r="X5765" s="19"/>
      <c r="Y5765" s="20"/>
    </row>
    <row r="5766" spans="24:25">
      <c r="X5766" s="19"/>
      <c r="Y5766" s="20"/>
    </row>
    <row r="5767" spans="24:25">
      <c r="X5767" s="19"/>
      <c r="Y5767" s="20"/>
    </row>
    <row r="5768" spans="24:25">
      <c r="X5768" s="19"/>
      <c r="Y5768" s="20"/>
    </row>
    <row r="5769" spans="24:25">
      <c r="X5769" s="19"/>
      <c r="Y5769" s="20"/>
    </row>
    <row r="5770" spans="24:25">
      <c r="X5770" s="19"/>
      <c r="Y5770" s="20"/>
    </row>
    <row r="5771" spans="24:25">
      <c r="X5771" s="19"/>
      <c r="Y5771" s="20"/>
    </row>
    <row r="5772" spans="24:25">
      <c r="X5772" s="19"/>
      <c r="Y5772" s="20"/>
    </row>
    <row r="5773" spans="24:25">
      <c r="X5773" s="19"/>
      <c r="Y5773" s="20"/>
    </row>
    <row r="5774" spans="24:25">
      <c r="X5774" s="19"/>
      <c r="Y5774" s="20"/>
    </row>
    <row r="5775" spans="24:25">
      <c r="X5775" s="19"/>
      <c r="Y5775" s="20"/>
    </row>
    <row r="5776" spans="24:25">
      <c r="X5776" s="19"/>
      <c r="Y5776" s="20"/>
    </row>
    <row r="5777" spans="24:25">
      <c r="X5777" s="19"/>
      <c r="Y5777" s="20"/>
    </row>
    <row r="5778" spans="24:25">
      <c r="X5778" s="19"/>
      <c r="Y5778" s="20"/>
    </row>
    <row r="5779" spans="24:25">
      <c r="X5779" s="19"/>
      <c r="Y5779" s="20"/>
    </row>
    <row r="5780" spans="24:25">
      <c r="X5780" s="19"/>
      <c r="Y5780" s="20"/>
    </row>
    <row r="5781" spans="24:25">
      <c r="X5781" s="19"/>
      <c r="Y5781" s="20"/>
    </row>
    <row r="5782" spans="24:25">
      <c r="X5782" s="19"/>
      <c r="Y5782" s="20"/>
    </row>
    <row r="5783" spans="24:25">
      <c r="X5783" s="19"/>
      <c r="Y5783" s="20"/>
    </row>
    <row r="5784" spans="24:25">
      <c r="X5784" s="19"/>
      <c r="Y5784" s="20"/>
    </row>
    <row r="5785" spans="24:25">
      <c r="X5785" s="19"/>
      <c r="Y5785" s="20"/>
    </row>
    <row r="5786" spans="24:25">
      <c r="X5786" s="19"/>
      <c r="Y5786" s="20"/>
    </row>
    <row r="5787" spans="24:25">
      <c r="X5787" s="19"/>
      <c r="Y5787" s="20"/>
    </row>
    <row r="5788" spans="24:25">
      <c r="X5788" s="19"/>
      <c r="Y5788" s="20"/>
    </row>
    <row r="5789" spans="24:25">
      <c r="X5789" s="19"/>
      <c r="Y5789" s="20"/>
    </row>
    <row r="5790" spans="24:25">
      <c r="X5790" s="19"/>
      <c r="Y5790" s="20"/>
    </row>
    <row r="5791" spans="24:25">
      <c r="X5791" s="19"/>
      <c r="Y5791" s="20"/>
    </row>
    <row r="5792" spans="24:25">
      <c r="X5792" s="19"/>
      <c r="Y5792" s="20"/>
    </row>
    <row r="5793" spans="24:25">
      <c r="X5793" s="19"/>
      <c r="Y5793" s="20"/>
    </row>
    <row r="5794" spans="24:25">
      <c r="X5794" s="19"/>
      <c r="Y5794" s="20"/>
    </row>
    <row r="5795" spans="24:25">
      <c r="X5795" s="19"/>
      <c r="Y5795" s="20"/>
    </row>
    <row r="5796" spans="24:25">
      <c r="X5796" s="19"/>
      <c r="Y5796" s="20"/>
    </row>
    <row r="5797" spans="24:25">
      <c r="X5797" s="19"/>
      <c r="Y5797" s="20"/>
    </row>
    <row r="5798" spans="24:25">
      <c r="X5798" s="19"/>
      <c r="Y5798" s="20"/>
    </row>
    <row r="5799" spans="24:25">
      <c r="X5799" s="19"/>
      <c r="Y5799" s="20"/>
    </row>
    <row r="5800" spans="24:25">
      <c r="X5800" s="19"/>
      <c r="Y5800" s="20"/>
    </row>
    <row r="5801" spans="24:25">
      <c r="X5801" s="19"/>
      <c r="Y5801" s="20"/>
    </row>
    <row r="5802" spans="24:25">
      <c r="X5802" s="19"/>
      <c r="Y5802" s="20"/>
    </row>
    <row r="5803" spans="24:25">
      <c r="X5803" s="19"/>
      <c r="Y5803" s="20"/>
    </row>
    <row r="5804" spans="24:25">
      <c r="X5804" s="19"/>
      <c r="Y5804" s="20"/>
    </row>
    <row r="5805" spans="24:25">
      <c r="X5805" s="19"/>
      <c r="Y5805" s="20"/>
    </row>
    <row r="5806" spans="24:25">
      <c r="X5806" s="19"/>
      <c r="Y5806" s="20"/>
    </row>
    <row r="5807" spans="24:25">
      <c r="X5807" s="19"/>
      <c r="Y5807" s="20"/>
    </row>
    <row r="5808" spans="24:25">
      <c r="X5808" s="19"/>
      <c r="Y5808" s="20"/>
    </row>
    <row r="5809" spans="24:25">
      <c r="X5809" s="19"/>
      <c r="Y5809" s="20"/>
    </row>
    <row r="5810" spans="24:25">
      <c r="X5810" s="19"/>
      <c r="Y5810" s="20"/>
    </row>
    <row r="5811" spans="24:25">
      <c r="X5811" s="19"/>
      <c r="Y5811" s="20"/>
    </row>
    <row r="5812" spans="24:25">
      <c r="X5812" s="19"/>
      <c r="Y5812" s="20"/>
    </row>
    <row r="5813" spans="24:25">
      <c r="X5813" s="19"/>
      <c r="Y5813" s="20"/>
    </row>
    <row r="5814" spans="24:25">
      <c r="X5814" s="19"/>
      <c r="Y5814" s="20"/>
    </row>
    <row r="5815" spans="24:25">
      <c r="X5815" s="19"/>
      <c r="Y5815" s="20"/>
    </row>
    <row r="5816" spans="24:25">
      <c r="X5816" s="19"/>
      <c r="Y5816" s="20"/>
    </row>
    <row r="5817" spans="24:25">
      <c r="X5817" s="19"/>
      <c r="Y5817" s="20"/>
    </row>
    <row r="5818" spans="24:25">
      <c r="X5818" s="19"/>
      <c r="Y5818" s="20"/>
    </row>
    <row r="5819" spans="24:25">
      <c r="X5819" s="19"/>
      <c r="Y5819" s="20"/>
    </row>
    <row r="5820" spans="24:25">
      <c r="X5820" s="19"/>
      <c r="Y5820" s="20"/>
    </row>
    <row r="5821" spans="24:25">
      <c r="X5821" s="19"/>
      <c r="Y5821" s="20"/>
    </row>
    <row r="5822" spans="24:25">
      <c r="X5822" s="19"/>
      <c r="Y5822" s="20"/>
    </row>
    <row r="5823" spans="24:25">
      <c r="X5823" s="19"/>
      <c r="Y5823" s="20"/>
    </row>
    <row r="5824" spans="24:25">
      <c r="X5824" s="19"/>
      <c r="Y5824" s="20"/>
    </row>
    <row r="5825" spans="24:25">
      <c r="X5825" s="19"/>
      <c r="Y5825" s="20"/>
    </row>
    <row r="5826" spans="24:25">
      <c r="X5826" s="19"/>
      <c r="Y5826" s="20"/>
    </row>
    <row r="5827" spans="24:25">
      <c r="X5827" s="19"/>
      <c r="Y5827" s="20"/>
    </row>
    <row r="5828" spans="24:25">
      <c r="X5828" s="19"/>
      <c r="Y5828" s="20"/>
    </row>
    <row r="5829" spans="24:25">
      <c r="X5829" s="19"/>
      <c r="Y5829" s="20"/>
    </row>
    <row r="5830" spans="24:25">
      <c r="X5830" s="19"/>
      <c r="Y5830" s="20"/>
    </row>
    <row r="5831" spans="24:25">
      <c r="X5831" s="19"/>
      <c r="Y5831" s="20"/>
    </row>
    <row r="5832" spans="24:25">
      <c r="X5832" s="19"/>
      <c r="Y5832" s="20"/>
    </row>
    <row r="5833" spans="24:25">
      <c r="X5833" s="19"/>
      <c r="Y5833" s="20"/>
    </row>
    <row r="5834" spans="24:25">
      <c r="X5834" s="19"/>
      <c r="Y5834" s="20"/>
    </row>
    <row r="5835" spans="24:25">
      <c r="X5835" s="19"/>
      <c r="Y5835" s="20"/>
    </row>
    <row r="5836" spans="24:25">
      <c r="X5836" s="19"/>
      <c r="Y5836" s="20"/>
    </row>
    <row r="5837" spans="24:25">
      <c r="X5837" s="19"/>
      <c r="Y5837" s="20"/>
    </row>
    <row r="5838" spans="24:25">
      <c r="X5838" s="19"/>
      <c r="Y5838" s="20"/>
    </row>
    <row r="5839" spans="24:25">
      <c r="X5839" s="19"/>
      <c r="Y5839" s="20"/>
    </row>
    <row r="5840" spans="24:25">
      <c r="X5840" s="19"/>
      <c r="Y5840" s="20"/>
    </row>
    <row r="5841" spans="24:25">
      <c r="X5841" s="19"/>
      <c r="Y5841" s="20"/>
    </row>
    <row r="5842" spans="24:25">
      <c r="X5842" s="19"/>
      <c r="Y5842" s="20"/>
    </row>
    <row r="5843" spans="24:25">
      <c r="X5843" s="19"/>
      <c r="Y5843" s="20"/>
    </row>
    <row r="5844" spans="24:25">
      <c r="X5844" s="19"/>
      <c r="Y5844" s="20"/>
    </row>
    <row r="5845" spans="24:25">
      <c r="X5845" s="19"/>
      <c r="Y5845" s="20"/>
    </row>
    <row r="5846" spans="24:25">
      <c r="X5846" s="19"/>
      <c r="Y5846" s="20"/>
    </row>
    <row r="5847" spans="24:25">
      <c r="X5847" s="19"/>
      <c r="Y5847" s="20"/>
    </row>
    <row r="5848" spans="24:25">
      <c r="X5848" s="19"/>
      <c r="Y5848" s="20"/>
    </row>
    <row r="5849" spans="24:25">
      <c r="X5849" s="19"/>
      <c r="Y5849" s="20"/>
    </row>
    <row r="5850" spans="24:25">
      <c r="X5850" s="19"/>
      <c r="Y5850" s="20"/>
    </row>
    <row r="5851" spans="24:25">
      <c r="X5851" s="19"/>
      <c r="Y5851" s="20"/>
    </row>
    <row r="5852" spans="24:25">
      <c r="X5852" s="19"/>
      <c r="Y5852" s="20"/>
    </row>
    <row r="5853" spans="24:25">
      <c r="X5853" s="19"/>
      <c r="Y5853" s="20"/>
    </row>
    <row r="5854" spans="24:25">
      <c r="X5854" s="19"/>
      <c r="Y5854" s="20"/>
    </row>
    <row r="5855" spans="24:25">
      <c r="X5855" s="19"/>
      <c r="Y5855" s="20"/>
    </row>
    <row r="5856" spans="24:25">
      <c r="X5856" s="19"/>
      <c r="Y5856" s="20"/>
    </row>
    <row r="5857" spans="24:25">
      <c r="X5857" s="19"/>
      <c r="Y5857" s="20"/>
    </row>
    <row r="5858" spans="24:25">
      <c r="X5858" s="19"/>
      <c r="Y5858" s="20"/>
    </row>
    <row r="5859" spans="24:25">
      <c r="X5859" s="19"/>
      <c r="Y5859" s="20"/>
    </row>
    <row r="5860" spans="24:25">
      <c r="X5860" s="19"/>
      <c r="Y5860" s="20"/>
    </row>
    <row r="5861" spans="24:25">
      <c r="X5861" s="19"/>
      <c r="Y5861" s="20"/>
    </row>
    <row r="5862" spans="24:25">
      <c r="X5862" s="19"/>
      <c r="Y5862" s="20"/>
    </row>
    <row r="5863" spans="24:25">
      <c r="X5863" s="19"/>
      <c r="Y5863" s="20"/>
    </row>
    <row r="5864" spans="24:25">
      <c r="X5864" s="19"/>
      <c r="Y5864" s="20"/>
    </row>
    <row r="5865" spans="24:25">
      <c r="X5865" s="19"/>
      <c r="Y5865" s="20"/>
    </row>
    <row r="5866" spans="24:25">
      <c r="X5866" s="19"/>
      <c r="Y5866" s="20"/>
    </row>
    <row r="5867" spans="24:25">
      <c r="X5867" s="19"/>
      <c r="Y5867" s="20"/>
    </row>
    <row r="5868" spans="24:25">
      <c r="X5868" s="19"/>
      <c r="Y5868" s="20"/>
    </row>
    <row r="5869" spans="24:25">
      <c r="X5869" s="19"/>
      <c r="Y5869" s="20"/>
    </row>
    <row r="5870" spans="24:25">
      <c r="X5870" s="19"/>
      <c r="Y5870" s="20"/>
    </row>
    <row r="5871" spans="24:25">
      <c r="X5871" s="19"/>
      <c r="Y5871" s="20"/>
    </row>
    <row r="5872" spans="24:25">
      <c r="X5872" s="19"/>
      <c r="Y5872" s="20"/>
    </row>
    <row r="5873" spans="24:25">
      <c r="X5873" s="19"/>
      <c r="Y5873" s="20"/>
    </row>
    <row r="5874" spans="24:25">
      <c r="X5874" s="19"/>
      <c r="Y5874" s="20"/>
    </row>
    <row r="5875" spans="24:25">
      <c r="X5875" s="19"/>
      <c r="Y5875" s="20"/>
    </row>
    <row r="5876" spans="24:25">
      <c r="X5876" s="19"/>
      <c r="Y5876" s="20"/>
    </row>
    <row r="5877" spans="24:25">
      <c r="X5877" s="19"/>
      <c r="Y5877" s="20"/>
    </row>
    <row r="5878" spans="24:25">
      <c r="X5878" s="19"/>
      <c r="Y5878" s="20"/>
    </row>
    <row r="5879" spans="24:25">
      <c r="X5879" s="19"/>
      <c r="Y5879" s="20"/>
    </row>
    <row r="5880" spans="24:25">
      <c r="X5880" s="19"/>
      <c r="Y5880" s="20"/>
    </row>
    <row r="5881" spans="24:25">
      <c r="X5881" s="19"/>
      <c r="Y5881" s="20"/>
    </row>
    <row r="5882" spans="24:25">
      <c r="X5882" s="19"/>
      <c r="Y5882" s="20"/>
    </row>
    <row r="5883" spans="24:25">
      <c r="X5883" s="19"/>
      <c r="Y5883" s="20"/>
    </row>
    <row r="5884" spans="24:25">
      <c r="X5884" s="19"/>
      <c r="Y5884" s="20"/>
    </row>
    <row r="5885" spans="24:25">
      <c r="X5885" s="19"/>
      <c r="Y5885" s="20"/>
    </row>
    <row r="5886" spans="24:25">
      <c r="X5886" s="19"/>
      <c r="Y5886" s="20"/>
    </row>
    <row r="5887" spans="24:25">
      <c r="X5887" s="19"/>
      <c r="Y5887" s="20"/>
    </row>
    <row r="5888" spans="24:25">
      <c r="X5888" s="19"/>
      <c r="Y5888" s="20"/>
    </row>
    <row r="5889" spans="24:25">
      <c r="X5889" s="19"/>
      <c r="Y5889" s="20"/>
    </row>
    <row r="5890" spans="24:25">
      <c r="X5890" s="19"/>
      <c r="Y5890" s="20"/>
    </row>
    <row r="5891" spans="24:25">
      <c r="X5891" s="19"/>
      <c r="Y5891" s="20"/>
    </row>
    <row r="5892" spans="24:25">
      <c r="X5892" s="19"/>
      <c r="Y5892" s="20"/>
    </row>
    <row r="5893" spans="24:25">
      <c r="X5893" s="19"/>
      <c r="Y5893" s="20"/>
    </row>
    <row r="5894" spans="24:25">
      <c r="X5894" s="19"/>
      <c r="Y5894" s="20"/>
    </row>
    <row r="5895" spans="24:25">
      <c r="X5895" s="19"/>
      <c r="Y5895" s="20"/>
    </row>
    <row r="5896" spans="24:25">
      <c r="X5896" s="19"/>
      <c r="Y5896" s="20"/>
    </row>
    <row r="5897" spans="24:25">
      <c r="X5897" s="19"/>
      <c r="Y5897" s="20"/>
    </row>
    <row r="5898" spans="24:25">
      <c r="X5898" s="19"/>
      <c r="Y5898" s="20"/>
    </row>
    <row r="5899" spans="24:25">
      <c r="X5899" s="19"/>
      <c r="Y5899" s="20"/>
    </row>
    <row r="5900" spans="24:25">
      <c r="X5900" s="19"/>
      <c r="Y5900" s="20"/>
    </row>
    <row r="5901" spans="24:25">
      <c r="X5901" s="19"/>
      <c r="Y5901" s="20"/>
    </row>
    <row r="5902" spans="24:25">
      <c r="X5902" s="19"/>
      <c r="Y5902" s="20"/>
    </row>
    <row r="5903" spans="24:25">
      <c r="X5903" s="19"/>
      <c r="Y5903" s="20"/>
    </row>
    <row r="5904" spans="24:25">
      <c r="X5904" s="19"/>
      <c r="Y5904" s="20"/>
    </row>
    <row r="5905" spans="24:25">
      <c r="X5905" s="19"/>
      <c r="Y5905" s="20"/>
    </row>
    <row r="5906" spans="24:25">
      <c r="X5906" s="19"/>
      <c r="Y5906" s="20"/>
    </row>
    <row r="5907" spans="24:25">
      <c r="X5907" s="19"/>
      <c r="Y5907" s="20"/>
    </row>
    <row r="5908" spans="24:25">
      <c r="X5908" s="19"/>
      <c r="Y5908" s="20"/>
    </row>
    <row r="5909" spans="24:25">
      <c r="X5909" s="19"/>
      <c r="Y5909" s="20"/>
    </row>
    <row r="5910" spans="24:25">
      <c r="X5910" s="19"/>
      <c r="Y5910" s="20"/>
    </row>
    <row r="5911" spans="24:25">
      <c r="X5911" s="19"/>
      <c r="Y5911" s="20"/>
    </row>
    <row r="5912" spans="24:25">
      <c r="X5912" s="19"/>
      <c r="Y5912" s="20"/>
    </row>
    <row r="5913" spans="24:25">
      <c r="X5913" s="19"/>
      <c r="Y5913" s="20"/>
    </row>
    <row r="5914" spans="24:25">
      <c r="X5914" s="19"/>
      <c r="Y5914" s="20"/>
    </row>
    <row r="5915" spans="24:25">
      <c r="X5915" s="19"/>
      <c r="Y5915" s="20"/>
    </row>
    <row r="5916" spans="24:25">
      <c r="X5916" s="19"/>
      <c r="Y5916" s="20"/>
    </row>
    <row r="5917" spans="24:25">
      <c r="X5917" s="19"/>
      <c r="Y5917" s="20"/>
    </row>
    <row r="5918" spans="24:25">
      <c r="X5918" s="19"/>
      <c r="Y5918" s="20"/>
    </row>
    <row r="5919" spans="24:25">
      <c r="X5919" s="19"/>
      <c r="Y5919" s="20"/>
    </row>
    <row r="5920" spans="24:25">
      <c r="X5920" s="19"/>
      <c r="Y5920" s="20"/>
    </row>
    <row r="5921" spans="24:25">
      <c r="X5921" s="19"/>
      <c r="Y5921" s="20"/>
    </row>
    <row r="5922" spans="24:25">
      <c r="X5922" s="19"/>
      <c r="Y5922" s="20"/>
    </row>
    <row r="5923" spans="24:25">
      <c r="X5923" s="19"/>
      <c r="Y5923" s="20"/>
    </row>
    <row r="5924" spans="24:25">
      <c r="X5924" s="19"/>
      <c r="Y5924" s="20"/>
    </row>
    <row r="5925" spans="24:25">
      <c r="X5925" s="19"/>
      <c r="Y5925" s="20"/>
    </row>
    <row r="5926" spans="24:25">
      <c r="X5926" s="19"/>
      <c r="Y5926" s="20"/>
    </row>
    <row r="5927" spans="24:25">
      <c r="X5927" s="19"/>
      <c r="Y5927" s="20"/>
    </row>
    <row r="5928" spans="24:25">
      <c r="X5928" s="19"/>
      <c r="Y5928" s="20"/>
    </row>
    <row r="5929" spans="24:25">
      <c r="X5929" s="19"/>
      <c r="Y5929" s="20"/>
    </row>
    <row r="5930" spans="24:25">
      <c r="X5930" s="19"/>
      <c r="Y5930" s="20"/>
    </row>
    <row r="5931" spans="24:25">
      <c r="X5931" s="19"/>
      <c r="Y5931" s="20"/>
    </row>
    <row r="5932" spans="24:25">
      <c r="X5932" s="19"/>
      <c r="Y5932" s="20"/>
    </row>
    <row r="5933" spans="24:25">
      <c r="X5933" s="19"/>
      <c r="Y5933" s="20"/>
    </row>
    <row r="5934" spans="24:25">
      <c r="X5934" s="19"/>
      <c r="Y5934" s="20"/>
    </row>
    <row r="5935" spans="24:25">
      <c r="X5935" s="19"/>
      <c r="Y5935" s="20"/>
    </row>
    <row r="5936" spans="24:25">
      <c r="X5936" s="19"/>
      <c r="Y5936" s="20"/>
    </row>
    <row r="5937" spans="24:25">
      <c r="X5937" s="19"/>
      <c r="Y5937" s="20"/>
    </row>
    <row r="5938" spans="24:25">
      <c r="X5938" s="19"/>
      <c r="Y5938" s="20"/>
    </row>
    <row r="5939" spans="24:25">
      <c r="X5939" s="19"/>
      <c r="Y5939" s="20"/>
    </row>
    <row r="5940" spans="24:25">
      <c r="X5940" s="19"/>
      <c r="Y5940" s="20"/>
    </row>
    <row r="5941" spans="24:25">
      <c r="X5941" s="19"/>
      <c r="Y5941" s="20"/>
    </row>
    <row r="5942" spans="24:25">
      <c r="X5942" s="19"/>
      <c r="Y5942" s="20"/>
    </row>
    <row r="5943" spans="24:25">
      <c r="X5943" s="19"/>
      <c r="Y5943" s="20"/>
    </row>
    <row r="5944" spans="24:25">
      <c r="X5944" s="19"/>
      <c r="Y5944" s="20"/>
    </row>
    <row r="5945" spans="24:25">
      <c r="X5945" s="19"/>
      <c r="Y5945" s="20"/>
    </row>
    <row r="5946" spans="24:25">
      <c r="X5946" s="19"/>
      <c r="Y5946" s="20"/>
    </row>
    <row r="5947" spans="24:25">
      <c r="X5947" s="19"/>
      <c r="Y5947" s="20"/>
    </row>
    <row r="5948" spans="24:25">
      <c r="X5948" s="19"/>
      <c r="Y5948" s="20"/>
    </row>
    <row r="5949" spans="24:25">
      <c r="X5949" s="19"/>
      <c r="Y5949" s="20"/>
    </row>
    <row r="5950" spans="24:25">
      <c r="X5950" s="19"/>
      <c r="Y5950" s="20"/>
    </row>
    <row r="5951" spans="24:25">
      <c r="X5951" s="19"/>
      <c r="Y5951" s="20"/>
    </row>
    <row r="5952" spans="24:25">
      <c r="X5952" s="19"/>
      <c r="Y5952" s="20"/>
    </row>
    <row r="5953" spans="24:25">
      <c r="X5953" s="19"/>
      <c r="Y5953" s="20"/>
    </row>
    <row r="5954" spans="24:25">
      <c r="X5954" s="19"/>
      <c r="Y5954" s="20"/>
    </row>
    <row r="5955" spans="24:25">
      <c r="X5955" s="19"/>
      <c r="Y5955" s="20"/>
    </row>
    <row r="5956" spans="24:25">
      <c r="X5956" s="19"/>
      <c r="Y5956" s="20"/>
    </row>
    <row r="5957" spans="24:25">
      <c r="X5957" s="19"/>
      <c r="Y5957" s="20"/>
    </row>
    <row r="5958" spans="24:25">
      <c r="X5958" s="19"/>
      <c r="Y5958" s="20"/>
    </row>
    <row r="5959" spans="24:25">
      <c r="X5959" s="19"/>
      <c r="Y5959" s="20"/>
    </row>
    <row r="5960" spans="24:25">
      <c r="X5960" s="19"/>
      <c r="Y5960" s="20"/>
    </row>
    <row r="5961" spans="24:25">
      <c r="X5961" s="19"/>
      <c r="Y5961" s="20"/>
    </row>
    <row r="5962" spans="24:25">
      <c r="X5962" s="19"/>
      <c r="Y5962" s="20"/>
    </row>
    <row r="5963" spans="24:25">
      <c r="X5963" s="19"/>
      <c r="Y5963" s="20"/>
    </row>
    <row r="5964" spans="24:25">
      <c r="X5964" s="19"/>
      <c r="Y5964" s="20"/>
    </row>
    <row r="5965" spans="24:25">
      <c r="X5965" s="19"/>
      <c r="Y5965" s="20"/>
    </row>
    <row r="5966" spans="24:25">
      <c r="X5966" s="19"/>
      <c r="Y5966" s="20"/>
    </row>
    <row r="5967" spans="24:25">
      <c r="X5967" s="19"/>
      <c r="Y5967" s="20"/>
    </row>
    <row r="5968" spans="24:25">
      <c r="X5968" s="19"/>
      <c r="Y5968" s="20"/>
    </row>
    <row r="5969" spans="24:25">
      <c r="X5969" s="19"/>
      <c r="Y5969" s="20"/>
    </row>
    <row r="5970" spans="24:25">
      <c r="X5970" s="19"/>
      <c r="Y5970" s="20"/>
    </row>
    <row r="5971" spans="24:25">
      <c r="X5971" s="19"/>
      <c r="Y5971" s="20"/>
    </row>
    <row r="5972" spans="24:25">
      <c r="X5972" s="19"/>
      <c r="Y5972" s="20"/>
    </row>
    <row r="5973" spans="24:25">
      <c r="X5973" s="19"/>
      <c r="Y5973" s="20"/>
    </row>
    <row r="5974" spans="24:25">
      <c r="X5974" s="19"/>
      <c r="Y5974" s="20"/>
    </row>
    <row r="5975" spans="24:25">
      <c r="X5975" s="19"/>
      <c r="Y5975" s="20"/>
    </row>
    <row r="5976" spans="24:25">
      <c r="X5976" s="19"/>
      <c r="Y5976" s="20"/>
    </row>
    <row r="5977" spans="24:25">
      <c r="X5977" s="19"/>
      <c r="Y5977" s="20"/>
    </row>
    <row r="5978" spans="24:25">
      <c r="X5978" s="19"/>
      <c r="Y5978" s="20"/>
    </row>
    <row r="5979" spans="24:25">
      <c r="X5979" s="19"/>
      <c r="Y5979" s="20"/>
    </row>
    <row r="5980" spans="24:25">
      <c r="X5980" s="19"/>
      <c r="Y5980" s="20"/>
    </row>
    <row r="5981" spans="24:25">
      <c r="X5981" s="19"/>
      <c r="Y5981" s="20"/>
    </row>
    <row r="5982" spans="24:25">
      <c r="X5982" s="19"/>
      <c r="Y5982" s="20"/>
    </row>
    <row r="5983" spans="24:25">
      <c r="X5983" s="19"/>
      <c r="Y5983" s="20"/>
    </row>
    <row r="5984" spans="24:25">
      <c r="X5984" s="19"/>
      <c r="Y5984" s="20"/>
    </row>
    <row r="5985" spans="24:25">
      <c r="X5985" s="19"/>
      <c r="Y5985" s="20"/>
    </row>
    <row r="5986" spans="24:25">
      <c r="X5986" s="19"/>
      <c r="Y5986" s="20"/>
    </row>
    <row r="5987" spans="24:25">
      <c r="X5987" s="19"/>
      <c r="Y5987" s="20"/>
    </row>
    <row r="5988" spans="24:25">
      <c r="X5988" s="19"/>
      <c r="Y5988" s="20"/>
    </row>
    <row r="5989" spans="24:25">
      <c r="X5989" s="19"/>
      <c r="Y5989" s="20"/>
    </row>
    <row r="5990" spans="24:25">
      <c r="X5990" s="19"/>
      <c r="Y5990" s="20"/>
    </row>
    <row r="5991" spans="24:25">
      <c r="X5991" s="19"/>
      <c r="Y5991" s="20"/>
    </row>
    <row r="5992" spans="24:25">
      <c r="X5992" s="19"/>
      <c r="Y5992" s="20"/>
    </row>
    <row r="5993" spans="24:25">
      <c r="X5993" s="19"/>
      <c r="Y5993" s="20"/>
    </row>
    <row r="5994" spans="24:25">
      <c r="X5994" s="19"/>
      <c r="Y5994" s="20"/>
    </row>
    <row r="5995" spans="24:25">
      <c r="X5995" s="19"/>
      <c r="Y5995" s="20"/>
    </row>
    <row r="5996" spans="24:25">
      <c r="X5996" s="19"/>
      <c r="Y5996" s="20"/>
    </row>
    <row r="5997" spans="24:25">
      <c r="X5997" s="19"/>
      <c r="Y5997" s="20"/>
    </row>
    <row r="5998" spans="24:25">
      <c r="X5998" s="19"/>
      <c r="Y5998" s="20"/>
    </row>
    <row r="5999" spans="24:25">
      <c r="X5999" s="19"/>
      <c r="Y5999" s="20"/>
    </row>
    <row r="6000" spans="24:25">
      <c r="X6000" s="19"/>
      <c r="Y6000" s="20"/>
    </row>
    <row r="6001" spans="24:25">
      <c r="X6001" s="19"/>
      <c r="Y6001" s="20"/>
    </row>
    <row r="6002" spans="24:25">
      <c r="X6002" s="19"/>
      <c r="Y6002" s="20"/>
    </row>
    <row r="6003" spans="24:25">
      <c r="X6003" s="19"/>
      <c r="Y6003" s="20"/>
    </row>
    <row r="6004" spans="24:25">
      <c r="X6004" s="19"/>
      <c r="Y6004" s="20"/>
    </row>
    <row r="6005" spans="24:25">
      <c r="X6005" s="19"/>
      <c r="Y6005" s="20"/>
    </row>
    <row r="6006" spans="24:25">
      <c r="X6006" s="19"/>
      <c r="Y6006" s="20"/>
    </row>
    <row r="6007" spans="24:25">
      <c r="X6007" s="19"/>
      <c r="Y6007" s="20"/>
    </row>
    <row r="6008" spans="24:25">
      <c r="X6008" s="19"/>
      <c r="Y6008" s="20"/>
    </row>
    <row r="6009" spans="24:25">
      <c r="X6009" s="19"/>
      <c r="Y6009" s="20"/>
    </row>
    <row r="6010" spans="24:25">
      <c r="X6010" s="19"/>
      <c r="Y6010" s="20"/>
    </row>
    <row r="6011" spans="24:25">
      <c r="X6011" s="19"/>
      <c r="Y6011" s="20"/>
    </row>
    <row r="6012" spans="24:25">
      <c r="X6012" s="19"/>
      <c r="Y6012" s="20"/>
    </row>
    <row r="6013" spans="24:25">
      <c r="X6013" s="19"/>
      <c r="Y6013" s="20"/>
    </row>
    <row r="6014" spans="24:25">
      <c r="X6014" s="19"/>
      <c r="Y6014" s="20"/>
    </row>
    <row r="6015" spans="24:25">
      <c r="X6015" s="19"/>
      <c r="Y6015" s="20"/>
    </row>
    <row r="6016" spans="24:25">
      <c r="X6016" s="19"/>
      <c r="Y6016" s="20"/>
    </row>
    <row r="6017" spans="24:25">
      <c r="X6017" s="19"/>
      <c r="Y6017" s="20"/>
    </row>
    <row r="6018" spans="24:25">
      <c r="X6018" s="19"/>
      <c r="Y6018" s="20"/>
    </row>
    <row r="6019" spans="24:25">
      <c r="X6019" s="19"/>
      <c r="Y6019" s="20"/>
    </row>
    <row r="6020" spans="24:25">
      <c r="X6020" s="19"/>
      <c r="Y6020" s="20"/>
    </row>
    <row r="6021" spans="24:25">
      <c r="X6021" s="19"/>
      <c r="Y6021" s="20"/>
    </row>
    <row r="6022" spans="24:25">
      <c r="X6022" s="19"/>
      <c r="Y6022" s="20"/>
    </row>
    <row r="6023" spans="24:25">
      <c r="X6023" s="19"/>
      <c r="Y6023" s="20"/>
    </row>
    <row r="6024" spans="24:25">
      <c r="X6024" s="19"/>
      <c r="Y6024" s="20"/>
    </row>
    <row r="6025" spans="24:25">
      <c r="X6025" s="19"/>
      <c r="Y6025" s="20"/>
    </row>
    <row r="6026" spans="24:25">
      <c r="X6026" s="19"/>
      <c r="Y6026" s="20"/>
    </row>
    <row r="6027" spans="24:25">
      <c r="X6027" s="19"/>
      <c r="Y6027" s="20"/>
    </row>
    <row r="6028" spans="24:25">
      <c r="X6028" s="19"/>
      <c r="Y6028" s="20"/>
    </row>
    <row r="6029" spans="24:25">
      <c r="X6029" s="19"/>
      <c r="Y6029" s="20"/>
    </row>
    <row r="6030" spans="24:25">
      <c r="X6030" s="19"/>
      <c r="Y6030" s="20"/>
    </row>
    <row r="6031" spans="24:25">
      <c r="X6031" s="19"/>
      <c r="Y6031" s="20"/>
    </row>
    <row r="6032" spans="24:25">
      <c r="X6032" s="19"/>
      <c r="Y6032" s="20"/>
    </row>
    <row r="6033" spans="24:25">
      <c r="X6033" s="19"/>
      <c r="Y6033" s="20"/>
    </row>
    <row r="6034" spans="24:25">
      <c r="X6034" s="19"/>
      <c r="Y6034" s="20"/>
    </row>
    <row r="6035" spans="24:25">
      <c r="X6035" s="19"/>
      <c r="Y6035" s="20"/>
    </row>
    <row r="6036" spans="24:25">
      <c r="X6036" s="19"/>
      <c r="Y6036" s="20"/>
    </row>
    <row r="6037" spans="24:25">
      <c r="X6037" s="19"/>
      <c r="Y6037" s="20"/>
    </row>
    <row r="6038" spans="24:25">
      <c r="X6038" s="19"/>
      <c r="Y6038" s="20"/>
    </row>
    <row r="6039" spans="24:25">
      <c r="X6039" s="19"/>
      <c r="Y6039" s="20"/>
    </row>
    <row r="6040" spans="24:25">
      <c r="X6040" s="19"/>
      <c r="Y6040" s="20"/>
    </row>
    <row r="6041" spans="24:25">
      <c r="X6041" s="19"/>
      <c r="Y6041" s="20"/>
    </row>
    <row r="6042" spans="24:25">
      <c r="X6042" s="19"/>
      <c r="Y6042" s="20"/>
    </row>
    <row r="6043" spans="24:25">
      <c r="X6043" s="19"/>
      <c r="Y6043" s="20"/>
    </row>
    <row r="6044" spans="24:25">
      <c r="X6044" s="19"/>
      <c r="Y6044" s="20"/>
    </row>
    <row r="6045" spans="24:25">
      <c r="X6045" s="19"/>
      <c r="Y6045" s="20"/>
    </row>
    <row r="6046" spans="24:25">
      <c r="X6046" s="19"/>
      <c r="Y6046" s="20"/>
    </row>
    <row r="6047" spans="24:25">
      <c r="X6047" s="19"/>
      <c r="Y6047" s="20"/>
    </row>
    <row r="6048" spans="24:25">
      <c r="X6048" s="19"/>
      <c r="Y6048" s="20"/>
    </row>
    <row r="6049" spans="24:25">
      <c r="X6049" s="19"/>
      <c r="Y6049" s="20"/>
    </row>
    <row r="6050" spans="24:25">
      <c r="X6050" s="19"/>
      <c r="Y6050" s="20"/>
    </row>
    <row r="6051" spans="24:25">
      <c r="X6051" s="19"/>
      <c r="Y6051" s="20"/>
    </row>
    <row r="6052" spans="24:25">
      <c r="X6052" s="19"/>
      <c r="Y6052" s="20"/>
    </row>
    <row r="6053" spans="24:25">
      <c r="X6053" s="19"/>
      <c r="Y6053" s="20"/>
    </row>
    <row r="6054" spans="24:25">
      <c r="X6054" s="19"/>
      <c r="Y6054" s="20"/>
    </row>
    <row r="6055" spans="24:25">
      <c r="X6055" s="19"/>
      <c r="Y6055" s="20"/>
    </row>
    <row r="6056" spans="24:25">
      <c r="X6056" s="19"/>
      <c r="Y6056" s="20"/>
    </row>
    <row r="6057" spans="24:25">
      <c r="X6057" s="19"/>
      <c r="Y6057" s="20"/>
    </row>
    <row r="6058" spans="24:25">
      <c r="X6058" s="19"/>
      <c r="Y6058" s="20"/>
    </row>
    <row r="6059" spans="24:25">
      <c r="X6059" s="19"/>
      <c r="Y6059" s="20"/>
    </row>
    <row r="6060" spans="24:25">
      <c r="X6060" s="19"/>
      <c r="Y6060" s="20"/>
    </row>
    <row r="6061" spans="24:25">
      <c r="X6061" s="19"/>
      <c r="Y6061" s="20"/>
    </row>
    <row r="6062" spans="24:25">
      <c r="X6062" s="19"/>
      <c r="Y6062" s="20"/>
    </row>
    <row r="6063" spans="24:25">
      <c r="X6063" s="19"/>
      <c r="Y6063" s="20"/>
    </row>
    <row r="6064" spans="24:25">
      <c r="X6064" s="19"/>
      <c r="Y6064" s="20"/>
    </row>
    <row r="6065" spans="24:25">
      <c r="X6065" s="19"/>
      <c r="Y6065" s="20"/>
    </row>
    <row r="6066" spans="24:25">
      <c r="X6066" s="19"/>
      <c r="Y6066" s="20"/>
    </row>
    <row r="6067" spans="24:25">
      <c r="X6067" s="19"/>
      <c r="Y6067" s="20"/>
    </row>
    <row r="6068" spans="24:25">
      <c r="X6068" s="19"/>
      <c r="Y6068" s="20"/>
    </row>
    <row r="6069" spans="24:25">
      <c r="X6069" s="19"/>
      <c r="Y6069" s="20"/>
    </row>
    <row r="6070" spans="24:25">
      <c r="X6070" s="19"/>
      <c r="Y6070" s="20"/>
    </row>
    <row r="6071" spans="24:25">
      <c r="X6071" s="19"/>
      <c r="Y6071" s="20"/>
    </row>
    <row r="6072" spans="24:25">
      <c r="X6072" s="19"/>
      <c r="Y6072" s="20"/>
    </row>
    <row r="6073" spans="24:25">
      <c r="X6073" s="19"/>
      <c r="Y6073" s="20"/>
    </row>
    <row r="6074" spans="24:25">
      <c r="X6074" s="19"/>
      <c r="Y6074" s="20"/>
    </row>
    <row r="6075" spans="24:25">
      <c r="X6075" s="19"/>
      <c r="Y6075" s="20"/>
    </row>
    <row r="6076" spans="24:25">
      <c r="X6076" s="19"/>
      <c r="Y6076" s="20"/>
    </row>
    <row r="6077" spans="24:25">
      <c r="X6077" s="19"/>
      <c r="Y6077" s="20"/>
    </row>
    <row r="6078" spans="24:25">
      <c r="X6078" s="19"/>
      <c r="Y6078" s="20"/>
    </row>
    <row r="6079" spans="24:25">
      <c r="X6079" s="19"/>
      <c r="Y6079" s="20"/>
    </row>
    <row r="6080" spans="24:25">
      <c r="X6080" s="19"/>
      <c r="Y6080" s="20"/>
    </row>
    <row r="6081" spans="24:25">
      <c r="X6081" s="19"/>
      <c r="Y6081" s="20"/>
    </row>
    <row r="6082" spans="24:25">
      <c r="X6082" s="19"/>
      <c r="Y6082" s="20"/>
    </row>
    <row r="6083" spans="24:25">
      <c r="X6083" s="19"/>
      <c r="Y6083" s="20"/>
    </row>
    <row r="6084" spans="24:25">
      <c r="X6084" s="19"/>
      <c r="Y6084" s="20"/>
    </row>
    <row r="6085" spans="24:25">
      <c r="X6085" s="19"/>
      <c r="Y6085" s="20"/>
    </row>
    <row r="6086" spans="24:25">
      <c r="X6086" s="19"/>
      <c r="Y6086" s="20"/>
    </row>
    <row r="6087" spans="24:25">
      <c r="X6087" s="19"/>
      <c r="Y6087" s="20"/>
    </row>
    <row r="6088" spans="24:25">
      <c r="X6088" s="19"/>
      <c r="Y6088" s="20"/>
    </row>
    <row r="6089" spans="24:25">
      <c r="X6089" s="19"/>
      <c r="Y6089" s="20"/>
    </row>
    <row r="6090" spans="24:25">
      <c r="X6090" s="19"/>
      <c r="Y6090" s="20"/>
    </row>
    <row r="6091" spans="24:25">
      <c r="X6091" s="19"/>
      <c r="Y6091" s="20"/>
    </row>
    <row r="6092" spans="24:25">
      <c r="X6092" s="19"/>
      <c r="Y6092" s="20"/>
    </row>
    <row r="6093" spans="24:25">
      <c r="X6093" s="19"/>
      <c r="Y6093" s="20"/>
    </row>
    <row r="6094" spans="24:25">
      <c r="X6094" s="19"/>
      <c r="Y6094" s="20"/>
    </row>
    <row r="6095" spans="24:25">
      <c r="X6095" s="19"/>
      <c r="Y6095" s="20"/>
    </row>
    <row r="6096" spans="24:25">
      <c r="X6096" s="19"/>
      <c r="Y6096" s="20"/>
    </row>
    <row r="6097" spans="24:25">
      <c r="X6097" s="19"/>
      <c r="Y6097" s="20"/>
    </row>
    <row r="6098" spans="24:25">
      <c r="X6098" s="19"/>
      <c r="Y6098" s="20"/>
    </row>
    <row r="6099" spans="24:25">
      <c r="X6099" s="19"/>
      <c r="Y6099" s="20"/>
    </row>
    <row r="6100" spans="24:25">
      <c r="X6100" s="19"/>
      <c r="Y6100" s="20"/>
    </row>
    <row r="6101" spans="24:25">
      <c r="X6101" s="19"/>
      <c r="Y6101" s="20"/>
    </row>
    <row r="6102" spans="24:25">
      <c r="X6102" s="19"/>
      <c r="Y6102" s="20"/>
    </row>
    <row r="6103" spans="24:25">
      <c r="X6103" s="19"/>
      <c r="Y6103" s="20"/>
    </row>
    <row r="6104" spans="24:25">
      <c r="X6104" s="19"/>
      <c r="Y6104" s="20"/>
    </row>
    <row r="6105" spans="24:25">
      <c r="X6105" s="19"/>
      <c r="Y6105" s="20"/>
    </row>
    <row r="6106" spans="24:25">
      <c r="X6106" s="19"/>
      <c r="Y6106" s="20"/>
    </row>
    <row r="6107" spans="24:25">
      <c r="X6107" s="19"/>
      <c r="Y6107" s="20"/>
    </row>
    <row r="6108" spans="24:25">
      <c r="X6108" s="19"/>
      <c r="Y6108" s="20"/>
    </row>
    <row r="6109" spans="24:25">
      <c r="X6109" s="19"/>
      <c r="Y6109" s="20"/>
    </row>
    <row r="6110" spans="24:25">
      <c r="X6110" s="19"/>
      <c r="Y6110" s="20"/>
    </row>
    <row r="6111" spans="24:25">
      <c r="X6111" s="19"/>
      <c r="Y6111" s="20"/>
    </row>
    <row r="6112" spans="24:25">
      <c r="X6112" s="19"/>
      <c r="Y6112" s="20"/>
    </row>
    <row r="6113" spans="24:25">
      <c r="X6113" s="19"/>
      <c r="Y6113" s="20"/>
    </row>
    <row r="6114" spans="24:25">
      <c r="X6114" s="19"/>
      <c r="Y6114" s="20"/>
    </row>
    <row r="6115" spans="24:25">
      <c r="X6115" s="19"/>
      <c r="Y6115" s="20"/>
    </row>
    <row r="6116" spans="24:25">
      <c r="X6116" s="19"/>
      <c r="Y6116" s="20"/>
    </row>
    <row r="6117" spans="24:25">
      <c r="X6117" s="19"/>
      <c r="Y6117" s="20"/>
    </row>
    <row r="6118" spans="24:25">
      <c r="X6118" s="19"/>
      <c r="Y6118" s="20"/>
    </row>
    <row r="6119" spans="24:25">
      <c r="X6119" s="19"/>
      <c r="Y6119" s="20"/>
    </row>
    <row r="6120" spans="24:25">
      <c r="X6120" s="19"/>
      <c r="Y6120" s="20"/>
    </row>
    <row r="6121" spans="24:25">
      <c r="X6121" s="19"/>
      <c r="Y6121" s="20"/>
    </row>
    <row r="6122" spans="24:25">
      <c r="X6122" s="19"/>
      <c r="Y6122" s="20"/>
    </row>
    <row r="6123" spans="24:25">
      <c r="X6123" s="19"/>
      <c r="Y6123" s="20"/>
    </row>
    <row r="6124" spans="24:25">
      <c r="X6124" s="19"/>
      <c r="Y6124" s="20"/>
    </row>
    <row r="6125" spans="24:25">
      <c r="X6125" s="19"/>
      <c r="Y6125" s="20"/>
    </row>
    <row r="6126" spans="24:25">
      <c r="X6126" s="19"/>
      <c r="Y6126" s="20"/>
    </row>
    <row r="6127" spans="24:25">
      <c r="X6127" s="19"/>
      <c r="Y6127" s="20"/>
    </row>
    <row r="6128" spans="24:25">
      <c r="X6128" s="19"/>
      <c r="Y6128" s="20"/>
    </row>
    <row r="6129" spans="24:25">
      <c r="X6129" s="19"/>
      <c r="Y6129" s="20"/>
    </row>
    <row r="6130" spans="24:25">
      <c r="X6130" s="19"/>
      <c r="Y6130" s="20"/>
    </row>
    <row r="6131" spans="24:25">
      <c r="X6131" s="19"/>
      <c r="Y6131" s="20"/>
    </row>
    <row r="6132" spans="24:25">
      <c r="X6132" s="19"/>
      <c r="Y6132" s="20"/>
    </row>
    <row r="6133" spans="24:25">
      <c r="X6133" s="19"/>
      <c r="Y6133" s="20"/>
    </row>
    <row r="6134" spans="24:25">
      <c r="X6134" s="19"/>
      <c r="Y6134" s="20"/>
    </row>
    <row r="6135" spans="24:25">
      <c r="X6135" s="19"/>
      <c r="Y6135" s="20"/>
    </row>
    <row r="6136" spans="24:25">
      <c r="X6136" s="19"/>
      <c r="Y6136" s="20"/>
    </row>
    <row r="6137" spans="24:25">
      <c r="X6137" s="19"/>
      <c r="Y6137" s="20"/>
    </row>
    <row r="6138" spans="24:25">
      <c r="X6138" s="19"/>
      <c r="Y6138" s="20"/>
    </row>
    <row r="6139" spans="24:25">
      <c r="X6139" s="19"/>
      <c r="Y6139" s="20"/>
    </row>
    <row r="6140" spans="24:25">
      <c r="X6140" s="19"/>
      <c r="Y6140" s="20"/>
    </row>
    <row r="6141" spans="24:25">
      <c r="X6141" s="19"/>
      <c r="Y6141" s="20"/>
    </row>
    <row r="6142" spans="24:25">
      <c r="X6142" s="19"/>
      <c r="Y6142" s="20"/>
    </row>
    <row r="6143" spans="24:25">
      <c r="X6143" s="19"/>
      <c r="Y6143" s="20"/>
    </row>
    <row r="6144" spans="24:25">
      <c r="X6144" s="19"/>
      <c r="Y6144" s="20"/>
    </row>
    <row r="6145" spans="24:25">
      <c r="X6145" s="19"/>
      <c r="Y6145" s="20"/>
    </row>
    <row r="6146" spans="24:25">
      <c r="X6146" s="19"/>
      <c r="Y6146" s="20"/>
    </row>
    <row r="6147" spans="24:25">
      <c r="X6147" s="19"/>
      <c r="Y6147" s="20"/>
    </row>
    <row r="6148" spans="24:25">
      <c r="X6148" s="19"/>
      <c r="Y6148" s="20"/>
    </row>
    <row r="6149" spans="24:25">
      <c r="X6149" s="19"/>
      <c r="Y6149" s="20"/>
    </row>
    <row r="6150" spans="24:25">
      <c r="X6150" s="19"/>
      <c r="Y6150" s="20"/>
    </row>
    <row r="6151" spans="24:25">
      <c r="X6151" s="19"/>
      <c r="Y6151" s="20"/>
    </row>
    <row r="6152" spans="24:25">
      <c r="X6152" s="19"/>
      <c r="Y6152" s="20"/>
    </row>
    <row r="6153" spans="24:25">
      <c r="X6153" s="19"/>
      <c r="Y6153" s="20"/>
    </row>
    <row r="6154" spans="24:25">
      <c r="X6154" s="19"/>
      <c r="Y6154" s="20"/>
    </row>
    <row r="6155" spans="24:25">
      <c r="X6155" s="19"/>
      <c r="Y6155" s="20"/>
    </row>
    <row r="6156" spans="24:25">
      <c r="X6156" s="19"/>
      <c r="Y6156" s="20"/>
    </row>
    <row r="6157" spans="24:25">
      <c r="X6157" s="19"/>
      <c r="Y6157" s="20"/>
    </row>
    <row r="6158" spans="24:25">
      <c r="X6158" s="19"/>
      <c r="Y6158" s="20"/>
    </row>
    <row r="6159" spans="24:25">
      <c r="X6159" s="19"/>
      <c r="Y6159" s="20"/>
    </row>
    <row r="6160" spans="24:25">
      <c r="X6160" s="19"/>
      <c r="Y6160" s="20"/>
    </row>
    <row r="6161" spans="24:25">
      <c r="X6161" s="19"/>
      <c r="Y6161" s="20"/>
    </row>
    <row r="6162" spans="24:25">
      <c r="X6162" s="19"/>
      <c r="Y6162" s="20"/>
    </row>
    <row r="6163" spans="24:25">
      <c r="X6163" s="19"/>
      <c r="Y6163" s="20"/>
    </row>
    <row r="6164" spans="24:25">
      <c r="X6164" s="19"/>
      <c r="Y6164" s="20"/>
    </row>
    <row r="6165" spans="24:25">
      <c r="X6165" s="19"/>
      <c r="Y6165" s="20"/>
    </row>
    <row r="6166" spans="24:25">
      <c r="X6166" s="19"/>
      <c r="Y6166" s="20"/>
    </row>
    <row r="6167" spans="24:25">
      <c r="X6167" s="19"/>
      <c r="Y6167" s="20"/>
    </row>
    <row r="6168" spans="24:25">
      <c r="X6168" s="19"/>
      <c r="Y6168" s="20"/>
    </row>
    <row r="6169" spans="24:25">
      <c r="X6169" s="19"/>
      <c r="Y6169" s="20"/>
    </row>
    <row r="6170" spans="24:25">
      <c r="X6170" s="19"/>
      <c r="Y6170" s="20"/>
    </row>
    <row r="6171" spans="24:25">
      <c r="X6171" s="19"/>
      <c r="Y6171" s="20"/>
    </row>
    <row r="6172" spans="24:25">
      <c r="X6172" s="19"/>
      <c r="Y6172" s="20"/>
    </row>
    <row r="6173" spans="24:25">
      <c r="X6173" s="19"/>
      <c r="Y6173" s="20"/>
    </row>
    <row r="6174" spans="24:25">
      <c r="X6174" s="19"/>
      <c r="Y6174" s="20"/>
    </row>
    <row r="6175" spans="24:25">
      <c r="X6175" s="19"/>
      <c r="Y6175" s="20"/>
    </row>
    <row r="6176" spans="24:25">
      <c r="X6176" s="19"/>
      <c r="Y6176" s="20"/>
    </row>
    <row r="6177" spans="24:25">
      <c r="X6177" s="19"/>
      <c r="Y6177" s="20"/>
    </row>
    <row r="6178" spans="24:25">
      <c r="X6178" s="19"/>
      <c r="Y6178" s="20"/>
    </row>
    <row r="6179" spans="24:25">
      <c r="X6179" s="19"/>
      <c r="Y6179" s="20"/>
    </row>
    <row r="6180" spans="24:25">
      <c r="X6180" s="19"/>
      <c r="Y6180" s="20"/>
    </row>
    <row r="6181" spans="24:25">
      <c r="X6181" s="19"/>
      <c r="Y6181" s="20"/>
    </row>
    <row r="6182" spans="24:25">
      <c r="X6182" s="19"/>
      <c r="Y6182" s="20"/>
    </row>
    <row r="6183" spans="24:25">
      <c r="X6183" s="19"/>
      <c r="Y6183" s="20"/>
    </row>
    <row r="6184" spans="24:25">
      <c r="X6184" s="19"/>
      <c r="Y6184" s="20"/>
    </row>
    <row r="6185" spans="24:25">
      <c r="X6185" s="19"/>
      <c r="Y6185" s="20"/>
    </row>
    <row r="6186" spans="24:25">
      <c r="X6186" s="19"/>
      <c r="Y6186" s="20"/>
    </row>
    <row r="6187" spans="24:25">
      <c r="X6187" s="19"/>
      <c r="Y6187" s="20"/>
    </row>
    <row r="6188" spans="24:25">
      <c r="X6188" s="19"/>
      <c r="Y6188" s="20"/>
    </row>
    <row r="6189" spans="24:25">
      <c r="X6189" s="19"/>
      <c r="Y6189" s="20"/>
    </row>
    <row r="6190" spans="24:25">
      <c r="X6190" s="19"/>
      <c r="Y6190" s="20"/>
    </row>
    <row r="6191" spans="24:25">
      <c r="X6191" s="19"/>
      <c r="Y6191" s="20"/>
    </row>
    <row r="6192" spans="24:25">
      <c r="X6192" s="19"/>
      <c r="Y6192" s="20"/>
    </row>
    <row r="6193" spans="24:25">
      <c r="X6193" s="19"/>
      <c r="Y6193" s="20"/>
    </row>
    <row r="6194" spans="24:25">
      <c r="X6194" s="19"/>
      <c r="Y6194" s="20"/>
    </row>
    <row r="6195" spans="24:25">
      <c r="X6195" s="19"/>
      <c r="Y6195" s="20"/>
    </row>
    <row r="6196" spans="24:25">
      <c r="X6196" s="19"/>
      <c r="Y6196" s="20"/>
    </row>
    <row r="6197" spans="24:25">
      <c r="X6197" s="19"/>
      <c r="Y6197" s="20"/>
    </row>
    <row r="6198" spans="24:25">
      <c r="X6198" s="19"/>
      <c r="Y6198" s="20"/>
    </row>
    <row r="6199" spans="24:25">
      <c r="X6199" s="19"/>
      <c r="Y6199" s="20"/>
    </row>
    <row r="6200" spans="24:25">
      <c r="X6200" s="19"/>
      <c r="Y6200" s="20"/>
    </row>
    <row r="6201" spans="24:25">
      <c r="X6201" s="19"/>
      <c r="Y6201" s="20"/>
    </row>
    <row r="6202" spans="24:25">
      <c r="X6202" s="19"/>
      <c r="Y6202" s="20"/>
    </row>
    <row r="6203" spans="24:25">
      <c r="X6203" s="19"/>
      <c r="Y6203" s="20"/>
    </row>
    <row r="6204" spans="24:25">
      <c r="X6204" s="19"/>
      <c r="Y6204" s="20"/>
    </row>
    <row r="6205" spans="24:25">
      <c r="X6205" s="19"/>
      <c r="Y6205" s="20"/>
    </row>
    <row r="6206" spans="24:25">
      <c r="X6206" s="19"/>
      <c r="Y6206" s="20"/>
    </row>
    <row r="6207" spans="24:25">
      <c r="X6207" s="19"/>
      <c r="Y6207" s="20"/>
    </row>
    <row r="6208" spans="24:25">
      <c r="X6208" s="19"/>
      <c r="Y6208" s="20"/>
    </row>
    <row r="6209" spans="24:25">
      <c r="X6209" s="19"/>
      <c r="Y6209" s="20"/>
    </row>
    <row r="6210" spans="24:25">
      <c r="X6210" s="19"/>
      <c r="Y6210" s="20"/>
    </row>
    <row r="6211" spans="24:25">
      <c r="X6211" s="19"/>
      <c r="Y6211" s="20"/>
    </row>
    <row r="6212" spans="24:25">
      <c r="X6212" s="19"/>
      <c r="Y6212" s="20"/>
    </row>
    <row r="6213" spans="24:25">
      <c r="X6213" s="19"/>
      <c r="Y6213" s="20"/>
    </row>
    <row r="6214" spans="24:25">
      <c r="X6214" s="19"/>
      <c r="Y6214" s="20"/>
    </row>
    <row r="6215" spans="24:25">
      <c r="X6215" s="19"/>
      <c r="Y6215" s="20"/>
    </row>
    <row r="6216" spans="24:25">
      <c r="X6216" s="19"/>
      <c r="Y6216" s="20"/>
    </row>
    <row r="6217" spans="24:25">
      <c r="X6217" s="19"/>
      <c r="Y6217" s="20"/>
    </row>
    <row r="6218" spans="24:25">
      <c r="X6218" s="19"/>
      <c r="Y6218" s="20"/>
    </row>
    <row r="6219" spans="24:25">
      <c r="X6219" s="19"/>
      <c r="Y6219" s="20"/>
    </row>
    <row r="6220" spans="24:25">
      <c r="X6220" s="19"/>
      <c r="Y6220" s="20"/>
    </row>
    <row r="6221" spans="24:25">
      <c r="X6221" s="19"/>
      <c r="Y6221" s="20"/>
    </row>
    <row r="6222" spans="24:25">
      <c r="X6222" s="19"/>
      <c r="Y6222" s="20"/>
    </row>
    <row r="6223" spans="24:25">
      <c r="X6223" s="19"/>
      <c r="Y6223" s="20"/>
    </row>
    <row r="6224" spans="24:25">
      <c r="X6224" s="19"/>
      <c r="Y6224" s="20"/>
    </row>
    <row r="6225" spans="24:25">
      <c r="X6225" s="19"/>
      <c r="Y6225" s="20"/>
    </row>
    <row r="6226" spans="24:25">
      <c r="X6226" s="19"/>
      <c r="Y6226" s="20"/>
    </row>
    <row r="6227" spans="24:25">
      <c r="X6227" s="19"/>
      <c r="Y6227" s="20"/>
    </row>
    <row r="6228" spans="24:25">
      <c r="X6228" s="19"/>
      <c r="Y6228" s="20"/>
    </row>
    <row r="6229" spans="24:25">
      <c r="X6229" s="19"/>
      <c r="Y6229" s="20"/>
    </row>
    <row r="6230" spans="24:25">
      <c r="X6230" s="19"/>
      <c r="Y6230" s="20"/>
    </row>
    <row r="6231" spans="24:25">
      <c r="X6231" s="19"/>
      <c r="Y6231" s="20"/>
    </row>
    <row r="6232" spans="24:25">
      <c r="X6232" s="19"/>
      <c r="Y6232" s="20"/>
    </row>
    <row r="6233" spans="24:25">
      <c r="X6233" s="19"/>
      <c r="Y6233" s="20"/>
    </row>
    <row r="6234" spans="24:25">
      <c r="X6234" s="19"/>
      <c r="Y6234" s="20"/>
    </row>
    <row r="6235" spans="24:25">
      <c r="X6235" s="19"/>
      <c r="Y6235" s="20"/>
    </row>
    <row r="6236" spans="24:25">
      <c r="X6236" s="19"/>
      <c r="Y6236" s="20"/>
    </row>
    <row r="6237" spans="24:25">
      <c r="X6237" s="19"/>
      <c r="Y6237" s="20"/>
    </row>
    <row r="6238" spans="24:25">
      <c r="X6238" s="19"/>
      <c r="Y6238" s="20"/>
    </row>
    <row r="6239" spans="24:25">
      <c r="X6239" s="19"/>
      <c r="Y6239" s="20"/>
    </row>
    <row r="6240" spans="24:25">
      <c r="X6240" s="19"/>
      <c r="Y6240" s="20"/>
    </row>
    <row r="6241" spans="24:25">
      <c r="X6241" s="19"/>
      <c r="Y6241" s="20"/>
    </row>
    <row r="6242" spans="24:25">
      <c r="X6242" s="19"/>
      <c r="Y6242" s="20"/>
    </row>
    <row r="6243" spans="24:25">
      <c r="X6243" s="19"/>
      <c r="Y6243" s="20"/>
    </row>
    <row r="6244" spans="24:25">
      <c r="X6244" s="19"/>
      <c r="Y6244" s="20"/>
    </row>
    <row r="6245" spans="24:25">
      <c r="X6245" s="19"/>
      <c r="Y6245" s="20"/>
    </row>
    <row r="6246" spans="24:25">
      <c r="X6246" s="19"/>
      <c r="Y6246" s="20"/>
    </row>
    <row r="6247" spans="24:25">
      <c r="X6247" s="19"/>
      <c r="Y6247" s="20"/>
    </row>
    <row r="6248" spans="24:25">
      <c r="X6248" s="19"/>
      <c r="Y6248" s="20"/>
    </row>
    <row r="6249" spans="24:25">
      <c r="X6249" s="19"/>
      <c r="Y6249" s="20"/>
    </row>
    <row r="6250" spans="24:25">
      <c r="X6250" s="19"/>
      <c r="Y6250" s="20"/>
    </row>
    <row r="6251" spans="24:25">
      <c r="X6251" s="19"/>
      <c r="Y6251" s="20"/>
    </row>
    <row r="6252" spans="24:25">
      <c r="X6252" s="19"/>
      <c r="Y6252" s="20"/>
    </row>
    <row r="6253" spans="24:25">
      <c r="X6253" s="19"/>
      <c r="Y6253" s="20"/>
    </row>
    <row r="6254" spans="24:25">
      <c r="X6254" s="19"/>
      <c r="Y6254" s="20"/>
    </row>
    <row r="6255" spans="24:25">
      <c r="X6255" s="19"/>
      <c r="Y6255" s="20"/>
    </row>
    <row r="6256" spans="24:25">
      <c r="X6256" s="19"/>
      <c r="Y6256" s="20"/>
    </row>
    <row r="6257" spans="24:25">
      <c r="X6257" s="19"/>
      <c r="Y6257" s="20"/>
    </row>
    <row r="6258" spans="24:25">
      <c r="X6258" s="19"/>
      <c r="Y6258" s="20"/>
    </row>
    <row r="6259" spans="24:25">
      <c r="X6259" s="19"/>
      <c r="Y6259" s="20"/>
    </row>
    <row r="6260" spans="24:25">
      <c r="X6260" s="19"/>
      <c r="Y6260" s="20"/>
    </row>
    <row r="6261" spans="24:25">
      <c r="X6261" s="19"/>
      <c r="Y6261" s="20"/>
    </row>
    <row r="6262" spans="24:25">
      <c r="X6262" s="19"/>
      <c r="Y6262" s="20"/>
    </row>
    <row r="6263" spans="24:25">
      <c r="X6263" s="19"/>
      <c r="Y6263" s="20"/>
    </row>
    <row r="6264" spans="24:25">
      <c r="X6264" s="19"/>
      <c r="Y6264" s="20"/>
    </row>
    <row r="6265" spans="24:25">
      <c r="X6265" s="19"/>
      <c r="Y6265" s="20"/>
    </row>
    <row r="6266" spans="24:25">
      <c r="X6266" s="19"/>
      <c r="Y6266" s="20"/>
    </row>
    <row r="6267" spans="24:25">
      <c r="X6267" s="19"/>
      <c r="Y6267" s="20"/>
    </row>
    <row r="6268" spans="24:25">
      <c r="X6268" s="19"/>
      <c r="Y6268" s="20"/>
    </row>
    <row r="6269" spans="24:25">
      <c r="X6269" s="19"/>
      <c r="Y6269" s="20"/>
    </row>
    <row r="6270" spans="24:25">
      <c r="X6270" s="19"/>
      <c r="Y6270" s="20"/>
    </row>
    <row r="6271" spans="24:25">
      <c r="X6271" s="19"/>
      <c r="Y6271" s="20"/>
    </row>
    <row r="6272" spans="24:25">
      <c r="X6272" s="19"/>
      <c r="Y6272" s="20"/>
    </row>
    <row r="6273" spans="24:25">
      <c r="X6273" s="19"/>
      <c r="Y6273" s="20"/>
    </row>
    <row r="6274" spans="24:25">
      <c r="X6274" s="19"/>
      <c r="Y6274" s="20"/>
    </row>
    <row r="6275" spans="24:25">
      <c r="X6275" s="19"/>
      <c r="Y6275" s="20"/>
    </row>
    <row r="6276" spans="24:25">
      <c r="X6276" s="19"/>
      <c r="Y6276" s="20"/>
    </row>
    <row r="6277" spans="24:25">
      <c r="X6277" s="19"/>
      <c r="Y6277" s="20"/>
    </row>
    <row r="6278" spans="24:25">
      <c r="X6278" s="19"/>
      <c r="Y6278" s="20"/>
    </row>
    <row r="6279" spans="24:25">
      <c r="X6279" s="19"/>
      <c r="Y6279" s="20"/>
    </row>
    <row r="6280" spans="24:25">
      <c r="X6280" s="19"/>
      <c r="Y6280" s="20"/>
    </row>
    <row r="6281" spans="24:25">
      <c r="X6281" s="19"/>
      <c r="Y6281" s="20"/>
    </row>
    <row r="6282" spans="24:25">
      <c r="X6282" s="19"/>
      <c r="Y6282" s="20"/>
    </row>
    <row r="6283" spans="24:25">
      <c r="X6283" s="19"/>
      <c r="Y6283" s="20"/>
    </row>
    <row r="6284" spans="24:25">
      <c r="X6284" s="19"/>
      <c r="Y6284" s="20"/>
    </row>
    <row r="6285" spans="24:25">
      <c r="X6285" s="19"/>
      <c r="Y6285" s="20"/>
    </row>
    <row r="6286" spans="24:25">
      <c r="X6286" s="19"/>
      <c r="Y6286" s="20"/>
    </row>
    <row r="6287" spans="24:25">
      <c r="X6287" s="19"/>
      <c r="Y6287" s="20"/>
    </row>
    <row r="6288" spans="24:25">
      <c r="X6288" s="19"/>
      <c r="Y6288" s="20"/>
    </row>
    <row r="6289" spans="24:25">
      <c r="X6289" s="19"/>
      <c r="Y6289" s="20"/>
    </row>
    <row r="6290" spans="24:25">
      <c r="X6290" s="19"/>
      <c r="Y6290" s="20"/>
    </row>
    <row r="6291" spans="24:25">
      <c r="X6291" s="19"/>
      <c r="Y6291" s="20"/>
    </row>
    <row r="6292" spans="24:25">
      <c r="X6292" s="19"/>
      <c r="Y6292" s="20"/>
    </row>
    <row r="6293" spans="24:25">
      <c r="X6293" s="19"/>
      <c r="Y6293" s="20"/>
    </row>
    <row r="6294" spans="24:25">
      <c r="X6294" s="19"/>
      <c r="Y6294" s="20"/>
    </row>
    <row r="6295" spans="24:25">
      <c r="X6295" s="19"/>
      <c r="Y6295" s="20"/>
    </row>
    <row r="6296" spans="24:25">
      <c r="X6296" s="19"/>
      <c r="Y6296" s="20"/>
    </row>
    <row r="6297" spans="24:25">
      <c r="X6297" s="19"/>
      <c r="Y6297" s="20"/>
    </row>
    <row r="6298" spans="24:25">
      <c r="X6298" s="19"/>
      <c r="Y6298" s="20"/>
    </row>
    <row r="6299" spans="24:25">
      <c r="X6299" s="19"/>
      <c r="Y6299" s="20"/>
    </row>
    <row r="6300" spans="24:25">
      <c r="X6300" s="19"/>
      <c r="Y6300" s="20"/>
    </row>
    <row r="6301" spans="24:25">
      <c r="X6301" s="19"/>
      <c r="Y6301" s="20"/>
    </row>
    <row r="6302" spans="24:25">
      <c r="X6302" s="19"/>
      <c r="Y6302" s="20"/>
    </row>
    <row r="6303" spans="24:25">
      <c r="X6303" s="19"/>
      <c r="Y6303" s="20"/>
    </row>
    <row r="6304" spans="24:25">
      <c r="X6304" s="19"/>
      <c r="Y6304" s="20"/>
    </row>
    <row r="6305" spans="24:25">
      <c r="X6305" s="19"/>
      <c r="Y6305" s="20"/>
    </row>
    <row r="6306" spans="24:25">
      <c r="X6306" s="19"/>
      <c r="Y6306" s="20"/>
    </row>
    <row r="6307" spans="24:25">
      <c r="X6307" s="19"/>
      <c r="Y6307" s="20"/>
    </row>
    <row r="6308" spans="24:25">
      <c r="X6308" s="19"/>
      <c r="Y6308" s="20"/>
    </row>
    <row r="6309" spans="24:25">
      <c r="X6309" s="19"/>
      <c r="Y6309" s="20"/>
    </row>
    <row r="6310" spans="24:25">
      <c r="X6310" s="19"/>
      <c r="Y6310" s="20"/>
    </row>
    <row r="6311" spans="24:25">
      <c r="X6311" s="19"/>
      <c r="Y6311" s="20"/>
    </row>
    <row r="6312" spans="24:25">
      <c r="X6312" s="19"/>
      <c r="Y6312" s="20"/>
    </row>
    <row r="6313" spans="24:25">
      <c r="X6313" s="19"/>
      <c r="Y6313" s="20"/>
    </row>
    <row r="6314" spans="24:25">
      <c r="X6314" s="19"/>
      <c r="Y6314" s="20"/>
    </row>
    <row r="6315" spans="24:25">
      <c r="X6315" s="19"/>
      <c r="Y6315" s="20"/>
    </row>
    <row r="6316" spans="24:25">
      <c r="X6316" s="19"/>
      <c r="Y6316" s="20"/>
    </row>
    <row r="6317" spans="24:25">
      <c r="X6317" s="19"/>
      <c r="Y6317" s="20"/>
    </row>
    <row r="6318" spans="24:25">
      <c r="X6318" s="19"/>
      <c r="Y6318" s="20"/>
    </row>
    <row r="6319" spans="24:25">
      <c r="X6319" s="19"/>
      <c r="Y6319" s="20"/>
    </row>
    <row r="6320" spans="24:25">
      <c r="X6320" s="19"/>
      <c r="Y6320" s="20"/>
    </row>
    <row r="6321" spans="24:25">
      <c r="X6321" s="19"/>
      <c r="Y6321" s="20"/>
    </row>
    <row r="6322" spans="24:25">
      <c r="X6322" s="19"/>
      <c r="Y6322" s="20"/>
    </row>
    <row r="6323" spans="24:25">
      <c r="X6323" s="19"/>
      <c r="Y6323" s="20"/>
    </row>
    <row r="6324" spans="24:25">
      <c r="X6324" s="19"/>
      <c r="Y6324" s="20"/>
    </row>
    <row r="6325" spans="24:25">
      <c r="X6325" s="19"/>
      <c r="Y6325" s="20"/>
    </row>
    <row r="6326" spans="24:25">
      <c r="X6326" s="19"/>
      <c r="Y6326" s="20"/>
    </row>
    <row r="6327" spans="24:25">
      <c r="X6327" s="19"/>
      <c r="Y6327" s="20"/>
    </row>
    <row r="6328" spans="24:25">
      <c r="X6328" s="19"/>
      <c r="Y6328" s="20"/>
    </row>
    <row r="6329" spans="24:25">
      <c r="X6329" s="19"/>
      <c r="Y6329" s="20"/>
    </row>
    <row r="6330" spans="24:25">
      <c r="X6330" s="19"/>
      <c r="Y6330" s="20"/>
    </row>
    <row r="6331" spans="24:25">
      <c r="X6331" s="19"/>
      <c r="Y6331" s="20"/>
    </row>
    <row r="6332" spans="24:25">
      <c r="X6332" s="19"/>
      <c r="Y6332" s="20"/>
    </row>
    <row r="6333" spans="24:25">
      <c r="X6333" s="19"/>
      <c r="Y6333" s="20"/>
    </row>
    <row r="6334" spans="24:25">
      <c r="X6334" s="19"/>
      <c r="Y6334" s="20"/>
    </row>
    <row r="6335" spans="24:25">
      <c r="X6335" s="19"/>
      <c r="Y6335" s="20"/>
    </row>
    <row r="6336" spans="24:25">
      <c r="X6336" s="19"/>
      <c r="Y6336" s="20"/>
    </row>
    <row r="6337" spans="24:25">
      <c r="X6337" s="19"/>
      <c r="Y6337" s="20"/>
    </row>
    <row r="6338" spans="24:25">
      <c r="X6338" s="19"/>
      <c r="Y6338" s="20"/>
    </row>
    <row r="6339" spans="24:25">
      <c r="X6339" s="19"/>
      <c r="Y6339" s="20"/>
    </row>
    <row r="6340" spans="24:25">
      <c r="X6340" s="19"/>
      <c r="Y6340" s="20"/>
    </row>
    <row r="6341" spans="24:25">
      <c r="X6341" s="19"/>
      <c r="Y6341" s="20"/>
    </row>
    <row r="6342" spans="24:25">
      <c r="X6342" s="19"/>
      <c r="Y6342" s="20"/>
    </row>
    <row r="6343" spans="24:25">
      <c r="X6343" s="19"/>
      <c r="Y6343" s="20"/>
    </row>
    <row r="6344" spans="24:25">
      <c r="X6344" s="19"/>
      <c r="Y6344" s="20"/>
    </row>
    <row r="6345" spans="24:25">
      <c r="X6345" s="19"/>
      <c r="Y6345" s="20"/>
    </row>
    <row r="6346" spans="24:25">
      <c r="X6346" s="19"/>
      <c r="Y6346" s="20"/>
    </row>
    <row r="6347" spans="24:25">
      <c r="X6347" s="19"/>
      <c r="Y6347" s="20"/>
    </row>
    <row r="6348" spans="24:25">
      <c r="X6348" s="19"/>
      <c r="Y6348" s="20"/>
    </row>
    <row r="6349" spans="24:25">
      <c r="X6349" s="19"/>
      <c r="Y6349" s="20"/>
    </row>
    <row r="6350" spans="24:25">
      <c r="X6350" s="19"/>
      <c r="Y6350" s="20"/>
    </row>
    <row r="6351" spans="24:25">
      <c r="X6351" s="19"/>
      <c r="Y6351" s="20"/>
    </row>
    <row r="6352" spans="24:25">
      <c r="X6352" s="19"/>
      <c r="Y6352" s="20"/>
    </row>
    <row r="6353" spans="24:25">
      <c r="X6353" s="19"/>
      <c r="Y6353" s="20"/>
    </row>
    <row r="6354" spans="24:25">
      <c r="X6354" s="19"/>
      <c r="Y6354" s="20"/>
    </row>
    <row r="6355" spans="24:25">
      <c r="X6355" s="19"/>
      <c r="Y6355" s="20"/>
    </row>
    <row r="6356" spans="24:25">
      <c r="X6356" s="19"/>
      <c r="Y6356" s="20"/>
    </row>
    <row r="6357" spans="24:25">
      <c r="X6357" s="19"/>
      <c r="Y6357" s="20"/>
    </row>
    <row r="6358" spans="24:25">
      <c r="X6358" s="19"/>
      <c r="Y6358" s="20"/>
    </row>
    <row r="6359" spans="24:25">
      <c r="X6359" s="19"/>
      <c r="Y6359" s="20"/>
    </row>
    <row r="6360" spans="24:25">
      <c r="X6360" s="19"/>
      <c r="Y6360" s="20"/>
    </row>
    <row r="6361" spans="24:25">
      <c r="X6361" s="19"/>
      <c r="Y6361" s="20"/>
    </row>
    <row r="6362" spans="24:25">
      <c r="X6362" s="19"/>
      <c r="Y6362" s="20"/>
    </row>
    <row r="6363" spans="24:25">
      <c r="X6363" s="19"/>
      <c r="Y6363" s="20"/>
    </row>
    <row r="6364" spans="24:25">
      <c r="X6364" s="19"/>
      <c r="Y6364" s="20"/>
    </row>
    <row r="6365" spans="24:25">
      <c r="X6365" s="19"/>
      <c r="Y6365" s="20"/>
    </row>
    <row r="6366" spans="24:25">
      <c r="X6366" s="19"/>
      <c r="Y6366" s="20"/>
    </row>
    <row r="6367" spans="24:25">
      <c r="X6367" s="19"/>
      <c r="Y6367" s="20"/>
    </row>
    <row r="6368" spans="24:25">
      <c r="X6368" s="19"/>
      <c r="Y6368" s="20"/>
    </row>
    <row r="6369" spans="24:25">
      <c r="X6369" s="19"/>
      <c r="Y6369" s="20"/>
    </row>
    <row r="6370" spans="24:25">
      <c r="X6370" s="19"/>
      <c r="Y6370" s="20"/>
    </row>
    <row r="6371" spans="24:25">
      <c r="X6371" s="19"/>
      <c r="Y6371" s="20"/>
    </row>
    <row r="6372" spans="24:25">
      <c r="X6372" s="19"/>
      <c r="Y6372" s="20"/>
    </row>
    <row r="6373" spans="24:25">
      <c r="X6373" s="19"/>
      <c r="Y6373" s="20"/>
    </row>
    <row r="6374" spans="24:25">
      <c r="X6374" s="19"/>
      <c r="Y6374" s="20"/>
    </row>
    <row r="6375" spans="24:25">
      <c r="X6375" s="19"/>
      <c r="Y6375" s="20"/>
    </row>
    <row r="6376" spans="24:25">
      <c r="X6376" s="19"/>
      <c r="Y6376" s="20"/>
    </row>
    <row r="6377" spans="24:25">
      <c r="X6377" s="19"/>
      <c r="Y6377" s="20"/>
    </row>
    <row r="6378" spans="24:25">
      <c r="X6378" s="19"/>
      <c r="Y6378" s="20"/>
    </row>
    <row r="6379" spans="24:25">
      <c r="X6379" s="19"/>
      <c r="Y6379" s="20"/>
    </row>
    <row r="6380" spans="24:25">
      <c r="X6380" s="19"/>
      <c r="Y6380" s="20"/>
    </row>
    <row r="6381" spans="24:25">
      <c r="X6381" s="19"/>
      <c r="Y6381" s="20"/>
    </row>
    <row r="6382" spans="24:25">
      <c r="X6382" s="19"/>
      <c r="Y6382" s="20"/>
    </row>
    <row r="6383" spans="24:25">
      <c r="X6383" s="19"/>
      <c r="Y6383" s="20"/>
    </row>
    <row r="6384" spans="24:25">
      <c r="X6384" s="19"/>
      <c r="Y6384" s="20"/>
    </row>
    <row r="6385" spans="24:25">
      <c r="X6385" s="19"/>
      <c r="Y6385" s="20"/>
    </row>
    <row r="6386" spans="24:25">
      <c r="X6386" s="19"/>
      <c r="Y6386" s="20"/>
    </row>
    <row r="6387" spans="24:25">
      <c r="X6387" s="19"/>
      <c r="Y6387" s="20"/>
    </row>
    <row r="6388" spans="24:25">
      <c r="X6388" s="19"/>
      <c r="Y6388" s="20"/>
    </row>
    <row r="6389" spans="24:25">
      <c r="X6389" s="19"/>
      <c r="Y6389" s="20"/>
    </row>
    <row r="6390" spans="24:25">
      <c r="X6390" s="19"/>
      <c r="Y6390" s="20"/>
    </row>
    <row r="6391" spans="24:25">
      <c r="X6391" s="19"/>
      <c r="Y6391" s="20"/>
    </row>
    <row r="6392" spans="24:25">
      <c r="X6392" s="19"/>
      <c r="Y6392" s="20"/>
    </row>
    <row r="6393" spans="24:25">
      <c r="X6393" s="19"/>
      <c r="Y6393" s="20"/>
    </row>
    <row r="6394" spans="24:25">
      <c r="X6394" s="19"/>
      <c r="Y6394" s="20"/>
    </row>
    <row r="6395" spans="24:25">
      <c r="X6395" s="19"/>
      <c r="Y6395" s="20"/>
    </row>
    <row r="6396" spans="24:25">
      <c r="X6396" s="19"/>
      <c r="Y6396" s="20"/>
    </row>
    <row r="6397" spans="24:25">
      <c r="X6397" s="19"/>
      <c r="Y6397" s="20"/>
    </row>
    <row r="6398" spans="24:25">
      <c r="X6398" s="19"/>
      <c r="Y6398" s="20"/>
    </row>
    <row r="6399" spans="24:25">
      <c r="X6399" s="19"/>
      <c r="Y6399" s="20"/>
    </row>
    <row r="6400" spans="24:25">
      <c r="X6400" s="19"/>
      <c r="Y6400" s="20"/>
    </row>
    <row r="6401" spans="24:25">
      <c r="X6401" s="19"/>
      <c r="Y6401" s="20"/>
    </row>
    <row r="6402" spans="24:25">
      <c r="X6402" s="19"/>
      <c r="Y6402" s="20"/>
    </row>
    <row r="6403" spans="24:25">
      <c r="X6403" s="19"/>
      <c r="Y6403" s="20"/>
    </row>
    <row r="6404" spans="24:25">
      <c r="X6404" s="19"/>
      <c r="Y6404" s="20"/>
    </row>
    <row r="6405" spans="24:25">
      <c r="X6405" s="19"/>
      <c r="Y6405" s="20"/>
    </row>
    <row r="6406" spans="24:25">
      <c r="X6406" s="19"/>
      <c r="Y6406" s="20"/>
    </row>
    <row r="6407" spans="24:25">
      <c r="X6407" s="19"/>
      <c r="Y6407" s="20"/>
    </row>
    <row r="6408" spans="24:25">
      <c r="X6408" s="19"/>
      <c r="Y6408" s="20"/>
    </row>
    <row r="6409" spans="24:25">
      <c r="X6409" s="19"/>
      <c r="Y6409" s="20"/>
    </row>
    <row r="6410" spans="24:25">
      <c r="X6410" s="19"/>
      <c r="Y6410" s="20"/>
    </row>
    <row r="6411" spans="24:25">
      <c r="X6411" s="19"/>
      <c r="Y6411" s="20"/>
    </row>
    <row r="6412" spans="24:25">
      <c r="X6412" s="19"/>
      <c r="Y6412" s="20"/>
    </row>
    <row r="6413" spans="24:25">
      <c r="X6413" s="19"/>
      <c r="Y6413" s="20"/>
    </row>
    <row r="6414" spans="24:25">
      <c r="X6414" s="19"/>
      <c r="Y6414" s="20"/>
    </row>
    <row r="6415" spans="24:25">
      <c r="X6415" s="19"/>
      <c r="Y6415" s="20"/>
    </row>
    <row r="6416" spans="24:25">
      <c r="X6416" s="19"/>
      <c r="Y6416" s="20"/>
    </row>
    <row r="6417" spans="24:25">
      <c r="X6417" s="19"/>
      <c r="Y6417" s="20"/>
    </row>
    <row r="6418" spans="24:25">
      <c r="X6418" s="19"/>
      <c r="Y6418" s="20"/>
    </row>
    <row r="6419" spans="24:25">
      <c r="X6419" s="19"/>
      <c r="Y6419" s="20"/>
    </row>
    <row r="6420" spans="24:25">
      <c r="X6420" s="19"/>
      <c r="Y6420" s="20"/>
    </row>
    <row r="6421" spans="24:25">
      <c r="X6421" s="19"/>
      <c r="Y6421" s="20"/>
    </row>
    <row r="6422" spans="24:25">
      <c r="X6422" s="19"/>
      <c r="Y6422" s="20"/>
    </row>
    <row r="6423" spans="24:25">
      <c r="X6423" s="19"/>
      <c r="Y6423" s="20"/>
    </row>
    <row r="6424" spans="24:25">
      <c r="X6424" s="19"/>
      <c r="Y6424" s="20"/>
    </row>
    <row r="6425" spans="24:25">
      <c r="X6425" s="19"/>
      <c r="Y6425" s="20"/>
    </row>
    <row r="6426" spans="24:25">
      <c r="X6426" s="19"/>
      <c r="Y6426" s="20"/>
    </row>
    <row r="6427" spans="24:25">
      <c r="X6427" s="19"/>
      <c r="Y6427" s="20"/>
    </row>
    <row r="6428" spans="24:25">
      <c r="X6428" s="19"/>
      <c r="Y6428" s="20"/>
    </row>
    <row r="6429" spans="24:25">
      <c r="X6429" s="19"/>
      <c r="Y6429" s="20"/>
    </row>
    <row r="6430" spans="24:25">
      <c r="X6430" s="19"/>
      <c r="Y6430" s="20"/>
    </row>
    <row r="6431" spans="24:25">
      <c r="X6431" s="19"/>
      <c r="Y6431" s="20"/>
    </row>
    <row r="6432" spans="24:25">
      <c r="X6432" s="19"/>
      <c r="Y6432" s="20"/>
    </row>
    <row r="6433" spans="24:25">
      <c r="X6433" s="19"/>
      <c r="Y6433" s="20"/>
    </row>
    <row r="6434" spans="24:25">
      <c r="X6434" s="19"/>
      <c r="Y6434" s="20"/>
    </row>
    <row r="6435" spans="24:25">
      <c r="X6435" s="19"/>
      <c r="Y6435" s="20"/>
    </row>
    <row r="6436" spans="24:25">
      <c r="X6436" s="19"/>
      <c r="Y6436" s="20"/>
    </row>
    <row r="6437" spans="24:25">
      <c r="X6437" s="19"/>
      <c r="Y6437" s="20"/>
    </row>
    <row r="6438" spans="24:25">
      <c r="X6438" s="19"/>
      <c r="Y6438" s="20"/>
    </row>
    <row r="6439" spans="24:25">
      <c r="X6439" s="19"/>
      <c r="Y6439" s="20"/>
    </row>
    <row r="6440" spans="24:25">
      <c r="X6440" s="19"/>
      <c r="Y6440" s="20"/>
    </row>
    <row r="6441" spans="24:25">
      <c r="X6441" s="19"/>
      <c r="Y6441" s="20"/>
    </row>
    <row r="6442" spans="24:25">
      <c r="X6442" s="19"/>
      <c r="Y6442" s="20"/>
    </row>
    <row r="6443" spans="24:25">
      <c r="X6443" s="19"/>
      <c r="Y6443" s="20"/>
    </row>
    <row r="6444" spans="24:25">
      <c r="X6444" s="19"/>
      <c r="Y6444" s="20"/>
    </row>
    <row r="6445" spans="24:25">
      <c r="X6445" s="19"/>
      <c r="Y6445" s="20"/>
    </row>
    <row r="6446" spans="24:25">
      <c r="X6446" s="19"/>
      <c r="Y6446" s="20"/>
    </row>
    <row r="6447" spans="24:25">
      <c r="X6447" s="19"/>
      <c r="Y6447" s="20"/>
    </row>
    <row r="6448" spans="24:25">
      <c r="X6448" s="19"/>
      <c r="Y6448" s="20"/>
    </row>
    <row r="6449" spans="24:25">
      <c r="X6449" s="19"/>
      <c r="Y6449" s="20"/>
    </row>
    <row r="6450" spans="24:25">
      <c r="X6450" s="19"/>
      <c r="Y6450" s="20"/>
    </row>
    <row r="6451" spans="24:25">
      <c r="X6451" s="19"/>
      <c r="Y6451" s="20"/>
    </row>
    <row r="6452" spans="24:25">
      <c r="X6452" s="19"/>
      <c r="Y6452" s="20"/>
    </row>
    <row r="6453" spans="24:25">
      <c r="X6453" s="19"/>
      <c r="Y6453" s="20"/>
    </row>
    <row r="6454" spans="24:25">
      <c r="X6454" s="19"/>
      <c r="Y6454" s="20"/>
    </row>
    <row r="6455" spans="24:25">
      <c r="X6455" s="19"/>
      <c r="Y6455" s="20"/>
    </row>
    <row r="6456" spans="24:25">
      <c r="X6456" s="19"/>
      <c r="Y6456" s="20"/>
    </row>
    <row r="6457" spans="24:25">
      <c r="X6457" s="19"/>
      <c r="Y6457" s="20"/>
    </row>
    <row r="6458" spans="24:25">
      <c r="X6458" s="19"/>
      <c r="Y6458" s="20"/>
    </row>
    <row r="6459" spans="24:25">
      <c r="X6459" s="19"/>
      <c r="Y6459" s="20"/>
    </row>
    <row r="6460" spans="24:25">
      <c r="X6460" s="19"/>
      <c r="Y6460" s="20"/>
    </row>
    <row r="6461" spans="24:25">
      <c r="X6461" s="19"/>
      <c r="Y6461" s="20"/>
    </row>
    <row r="6462" spans="24:25">
      <c r="X6462" s="19"/>
      <c r="Y6462" s="20"/>
    </row>
    <row r="6463" spans="24:25">
      <c r="X6463" s="19"/>
      <c r="Y6463" s="20"/>
    </row>
    <row r="6464" spans="24:25">
      <c r="X6464" s="19"/>
      <c r="Y6464" s="20"/>
    </row>
    <row r="6465" spans="24:25">
      <c r="X6465" s="19"/>
      <c r="Y6465" s="20"/>
    </row>
    <row r="6466" spans="24:25">
      <c r="X6466" s="19"/>
      <c r="Y6466" s="20"/>
    </row>
    <row r="6467" spans="24:25">
      <c r="X6467" s="19"/>
      <c r="Y6467" s="20"/>
    </row>
    <row r="6468" spans="24:25">
      <c r="X6468" s="19"/>
      <c r="Y6468" s="20"/>
    </row>
    <row r="6469" spans="24:25">
      <c r="X6469" s="19"/>
      <c r="Y6469" s="20"/>
    </row>
    <row r="6470" spans="24:25">
      <c r="X6470" s="19"/>
      <c r="Y6470" s="20"/>
    </row>
    <row r="6471" spans="24:25">
      <c r="X6471" s="19"/>
      <c r="Y6471" s="20"/>
    </row>
    <row r="6472" spans="24:25">
      <c r="X6472" s="19"/>
      <c r="Y6472" s="20"/>
    </row>
    <row r="6473" spans="24:25">
      <c r="X6473" s="19"/>
      <c r="Y6473" s="20"/>
    </row>
    <row r="6474" spans="24:25">
      <c r="X6474" s="19"/>
      <c r="Y6474" s="20"/>
    </row>
    <row r="6475" spans="24:25">
      <c r="X6475" s="19"/>
      <c r="Y6475" s="20"/>
    </row>
    <row r="6476" spans="24:25">
      <c r="X6476" s="19"/>
      <c r="Y6476" s="20"/>
    </row>
    <row r="6477" spans="24:25">
      <c r="X6477" s="19"/>
      <c r="Y6477" s="20"/>
    </row>
    <row r="6478" spans="24:25">
      <c r="X6478" s="19"/>
      <c r="Y6478" s="20"/>
    </row>
    <row r="6479" spans="24:25">
      <c r="X6479" s="19"/>
      <c r="Y6479" s="20"/>
    </row>
    <row r="6480" spans="24:25">
      <c r="X6480" s="19"/>
      <c r="Y6480" s="20"/>
    </row>
    <row r="6481" spans="24:25">
      <c r="X6481" s="19"/>
      <c r="Y6481" s="20"/>
    </row>
    <row r="6482" spans="24:25">
      <c r="X6482" s="19"/>
      <c r="Y6482" s="20"/>
    </row>
    <row r="6483" spans="24:25">
      <c r="X6483" s="19"/>
      <c r="Y6483" s="20"/>
    </row>
    <row r="6484" spans="24:25">
      <c r="X6484" s="19"/>
      <c r="Y6484" s="20"/>
    </row>
    <row r="6485" spans="24:25">
      <c r="X6485" s="19"/>
      <c r="Y6485" s="20"/>
    </row>
    <row r="6486" spans="24:25">
      <c r="X6486" s="19"/>
      <c r="Y6486" s="20"/>
    </row>
    <row r="6487" spans="24:25">
      <c r="X6487" s="19"/>
      <c r="Y6487" s="20"/>
    </row>
    <row r="6488" spans="24:25">
      <c r="X6488" s="19"/>
      <c r="Y6488" s="20"/>
    </row>
    <row r="6489" spans="24:25">
      <c r="X6489" s="19"/>
      <c r="Y6489" s="20"/>
    </row>
    <row r="6490" spans="24:25">
      <c r="X6490" s="19"/>
      <c r="Y6490" s="20"/>
    </row>
    <row r="6491" spans="24:25">
      <c r="X6491" s="19"/>
      <c r="Y6491" s="20"/>
    </row>
    <row r="6492" spans="24:25">
      <c r="X6492" s="19"/>
      <c r="Y6492" s="20"/>
    </row>
    <row r="6493" spans="24:25">
      <c r="X6493" s="19"/>
      <c r="Y6493" s="20"/>
    </row>
    <row r="6494" spans="24:25">
      <c r="X6494" s="19"/>
      <c r="Y6494" s="20"/>
    </row>
    <row r="6495" spans="24:25">
      <c r="X6495" s="19"/>
      <c r="Y6495" s="20"/>
    </row>
    <row r="6496" spans="24:25">
      <c r="X6496" s="19"/>
      <c r="Y6496" s="20"/>
    </row>
    <row r="6497" spans="24:25">
      <c r="X6497" s="19"/>
      <c r="Y6497" s="20"/>
    </row>
    <row r="6498" spans="24:25">
      <c r="X6498" s="19"/>
      <c r="Y6498" s="20"/>
    </row>
    <row r="6499" spans="24:25">
      <c r="X6499" s="19"/>
      <c r="Y6499" s="20"/>
    </row>
    <row r="6500" spans="24:25">
      <c r="X6500" s="19"/>
      <c r="Y6500" s="20"/>
    </row>
    <row r="6501" spans="24:25">
      <c r="X6501" s="19"/>
      <c r="Y6501" s="20"/>
    </row>
    <row r="6502" spans="24:25">
      <c r="X6502" s="19"/>
      <c r="Y6502" s="20"/>
    </row>
    <row r="6503" spans="24:25">
      <c r="X6503" s="19"/>
      <c r="Y6503" s="20"/>
    </row>
    <row r="6504" spans="24:25">
      <c r="X6504" s="19"/>
      <c r="Y6504" s="20"/>
    </row>
    <row r="6505" spans="24:25">
      <c r="X6505" s="19"/>
      <c r="Y6505" s="20"/>
    </row>
    <row r="6506" spans="24:25">
      <c r="X6506" s="19"/>
      <c r="Y6506" s="20"/>
    </row>
    <row r="6507" spans="24:25">
      <c r="X6507" s="19"/>
      <c r="Y6507" s="20"/>
    </row>
    <row r="6508" spans="24:25">
      <c r="X6508" s="19"/>
      <c r="Y6508" s="20"/>
    </row>
    <row r="6509" spans="24:25">
      <c r="X6509" s="19"/>
      <c r="Y6509" s="20"/>
    </row>
    <row r="6510" spans="24:25">
      <c r="X6510" s="19"/>
      <c r="Y6510" s="20"/>
    </row>
    <row r="6511" spans="24:25">
      <c r="X6511" s="19"/>
      <c r="Y6511" s="20"/>
    </row>
    <row r="6512" spans="24:25">
      <c r="X6512" s="19"/>
      <c r="Y6512" s="20"/>
    </row>
    <row r="6513" spans="24:25">
      <c r="X6513" s="19"/>
      <c r="Y6513" s="20"/>
    </row>
    <row r="6514" spans="24:25">
      <c r="X6514" s="19"/>
      <c r="Y6514" s="20"/>
    </row>
    <row r="6515" spans="24:25">
      <c r="X6515" s="19"/>
      <c r="Y6515" s="20"/>
    </row>
    <row r="6516" spans="24:25">
      <c r="X6516" s="19"/>
      <c r="Y6516" s="20"/>
    </row>
    <row r="6517" spans="24:25">
      <c r="X6517" s="19"/>
      <c r="Y6517" s="20"/>
    </row>
    <row r="6518" spans="24:25">
      <c r="X6518" s="19"/>
      <c r="Y6518" s="20"/>
    </row>
    <row r="6519" spans="24:25">
      <c r="X6519" s="19"/>
      <c r="Y6519" s="20"/>
    </row>
    <row r="6520" spans="24:25">
      <c r="X6520" s="19"/>
      <c r="Y6520" s="20"/>
    </row>
    <row r="6521" spans="24:25">
      <c r="X6521" s="19"/>
      <c r="Y6521" s="20"/>
    </row>
    <row r="6522" spans="24:25">
      <c r="X6522" s="19"/>
      <c r="Y6522" s="20"/>
    </row>
    <row r="6523" spans="24:25">
      <c r="X6523" s="19"/>
      <c r="Y6523" s="20"/>
    </row>
    <row r="6524" spans="24:25">
      <c r="X6524" s="19"/>
      <c r="Y6524" s="20"/>
    </row>
    <row r="6525" spans="24:25">
      <c r="X6525" s="19"/>
      <c r="Y6525" s="20"/>
    </row>
    <row r="6526" spans="24:25">
      <c r="X6526" s="19"/>
      <c r="Y6526" s="20"/>
    </row>
    <row r="6527" spans="24:25">
      <c r="X6527" s="19"/>
      <c r="Y6527" s="20"/>
    </row>
    <row r="6528" spans="24:25">
      <c r="X6528" s="19"/>
      <c r="Y6528" s="20"/>
    </row>
    <row r="6529" spans="24:25">
      <c r="X6529" s="19"/>
      <c r="Y6529" s="20"/>
    </row>
    <row r="6530" spans="24:25">
      <c r="X6530" s="19"/>
      <c r="Y6530" s="20"/>
    </row>
    <row r="6531" spans="24:25">
      <c r="X6531" s="19"/>
      <c r="Y6531" s="20"/>
    </row>
    <row r="6532" spans="24:25">
      <c r="X6532" s="19"/>
      <c r="Y6532" s="20"/>
    </row>
    <row r="6533" spans="24:25">
      <c r="X6533" s="19"/>
      <c r="Y6533" s="20"/>
    </row>
    <row r="6534" spans="24:25">
      <c r="X6534" s="19"/>
      <c r="Y6534" s="20"/>
    </row>
    <row r="6535" spans="24:25">
      <c r="X6535" s="19"/>
      <c r="Y6535" s="20"/>
    </row>
    <row r="6536" spans="24:25">
      <c r="X6536" s="19"/>
      <c r="Y6536" s="20"/>
    </row>
    <row r="6537" spans="24:25">
      <c r="X6537" s="19"/>
      <c r="Y6537" s="20"/>
    </row>
    <row r="6538" spans="24:25">
      <c r="X6538" s="19"/>
      <c r="Y6538" s="20"/>
    </row>
    <row r="6539" spans="24:25">
      <c r="X6539" s="19"/>
      <c r="Y6539" s="20"/>
    </row>
    <row r="6540" spans="24:25">
      <c r="X6540" s="19"/>
      <c r="Y6540" s="20"/>
    </row>
    <row r="6541" spans="24:25">
      <c r="X6541" s="19"/>
      <c r="Y6541" s="20"/>
    </row>
    <row r="6542" spans="24:25">
      <c r="X6542" s="19"/>
      <c r="Y6542" s="20"/>
    </row>
    <row r="6543" spans="24:25">
      <c r="X6543" s="19"/>
      <c r="Y6543" s="20"/>
    </row>
    <row r="6544" spans="24:25">
      <c r="X6544" s="19"/>
      <c r="Y6544" s="20"/>
    </row>
    <row r="6545" spans="24:25">
      <c r="X6545" s="19"/>
      <c r="Y6545" s="20"/>
    </row>
    <row r="6546" spans="24:25">
      <c r="X6546" s="19"/>
      <c r="Y6546" s="20"/>
    </row>
    <row r="6547" spans="24:25">
      <c r="X6547" s="19"/>
      <c r="Y6547" s="20"/>
    </row>
    <row r="6548" spans="24:25">
      <c r="X6548" s="19"/>
      <c r="Y6548" s="20"/>
    </row>
    <row r="6549" spans="24:25">
      <c r="X6549" s="19"/>
      <c r="Y6549" s="20"/>
    </row>
    <row r="6550" spans="24:25">
      <c r="X6550" s="19"/>
      <c r="Y6550" s="20"/>
    </row>
    <row r="6551" spans="24:25">
      <c r="X6551" s="19"/>
      <c r="Y6551" s="20"/>
    </row>
    <row r="6552" spans="24:25">
      <c r="X6552" s="19"/>
      <c r="Y6552" s="20"/>
    </row>
    <row r="6553" spans="24:25">
      <c r="X6553" s="19"/>
      <c r="Y6553" s="20"/>
    </row>
    <row r="6554" spans="24:25">
      <c r="X6554" s="19"/>
      <c r="Y6554" s="20"/>
    </row>
    <row r="6555" spans="24:25">
      <c r="X6555" s="19"/>
      <c r="Y6555" s="20"/>
    </row>
    <row r="6556" spans="24:25">
      <c r="X6556" s="19"/>
      <c r="Y6556" s="20"/>
    </row>
    <row r="6557" spans="24:25">
      <c r="X6557" s="19"/>
      <c r="Y6557" s="20"/>
    </row>
    <row r="6558" spans="24:25">
      <c r="X6558" s="19"/>
      <c r="Y6558" s="20"/>
    </row>
    <row r="6559" spans="24:25">
      <c r="X6559" s="19"/>
      <c r="Y6559" s="20"/>
    </row>
    <row r="6560" spans="24:25">
      <c r="X6560" s="19"/>
      <c r="Y6560" s="20"/>
    </row>
    <row r="6561" spans="24:25">
      <c r="X6561" s="19"/>
      <c r="Y6561" s="20"/>
    </row>
    <row r="6562" spans="24:25">
      <c r="X6562" s="19"/>
      <c r="Y6562" s="20"/>
    </row>
    <row r="6563" spans="24:25">
      <c r="X6563" s="19"/>
      <c r="Y6563" s="20"/>
    </row>
    <row r="6564" spans="24:25">
      <c r="X6564" s="19"/>
      <c r="Y6564" s="20"/>
    </row>
    <row r="6565" spans="24:25">
      <c r="X6565" s="19"/>
      <c r="Y6565" s="20"/>
    </row>
    <row r="6566" spans="24:25">
      <c r="X6566" s="19"/>
      <c r="Y6566" s="20"/>
    </row>
    <row r="6567" spans="24:25">
      <c r="X6567" s="19"/>
      <c r="Y6567" s="20"/>
    </row>
    <row r="6568" spans="24:25">
      <c r="X6568" s="19"/>
      <c r="Y6568" s="20"/>
    </row>
    <row r="6569" spans="24:25">
      <c r="X6569" s="19"/>
      <c r="Y6569" s="20"/>
    </row>
    <row r="6570" spans="24:25">
      <c r="X6570" s="19"/>
      <c r="Y6570" s="20"/>
    </row>
    <row r="6571" spans="24:25">
      <c r="X6571" s="19"/>
      <c r="Y6571" s="20"/>
    </row>
    <row r="6572" spans="24:25">
      <c r="X6572" s="19"/>
      <c r="Y6572" s="20"/>
    </row>
    <row r="6573" spans="24:25">
      <c r="X6573" s="19"/>
      <c r="Y6573" s="20"/>
    </row>
    <row r="6574" spans="24:25">
      <c r="X6574" s="19"/>
      <c r="Y6574" s="20"/>
    </row>
    <row r="6575" spans="24:25">
      <c r="X6575" s="19"/>
      <c r="Y6575" s="20"/>
    </row>
    <row r="6576" spans="24:25">
      <c r="X6576" s="19"/>
      <c r="Y6576" s="20"/>
    </row>
    <row r="6577" spans="24:25">
      <c r="X6577" s="19"/>
      <c r="Y6577" s="20"/>
    </row>
    <row r="6578" spans="24:25">
      <c r="X6578" s="19"/>
      <c r="Y6578" s="20"/>
    </row>
    <row r="6579" spans="24:25">
      <c r="X6579" s="19"/>
      <c r="Y6579" s="20"/>
    </row>
    <row r="6580" spans="24:25">
      <c r="X6580" s="19"/>
      <c r="Y6580" s="20"/>
    </row>
    <row r="6581" spans="24:25">
      <c r="X6581" s="19"/>
      <c r="Y6581" s="20"/>
    </row>
    <row r="6582" spans="24:25">
      <c r="X6582" s="19"/>
      <c r="Y6582" s="20"/>
    </row>
    <row r="6583" spans="24:25">
      <c r="X6583" s="19"/>
      <c r="Y6583" s="20"/>
    </row>
    <row r="6584" spans="24:25">
      <c r="X6584" s="19"/>
      <c r="Y6584" s="20"/>
    </row>
    <row r="6585" spans="24:25">
      <c r="X6585" s="19"/>
      <c r="Y6585" s="20"/>
    </row>
    <row r="6586" spans="24:25">
      <c r="X6586" s="19"/>
      <c r="Y6586" s="20"/>
    </row>
    <row r="6587" spans="24:25">
      <c r="X6587" s="19"/>
      <c r="Y6587" s="20"/>
    </row>
    <row r="6588" spans="24:25">
      <c r="X6588" s="19"/>
      <c r="Y6588" s="20"/>
    </row>
    <row r="6589" spans="24:25">
      <c r="X6589" s="19"/>
      <c r="Y6589" s="20"/>
    </row>
    <row r="6590" spans="24:25">
      <c r="X6590" s="19"/>
      <c r="Y6590" s="20"/>
    </row>
    <row r="6591" spans="24:25">
      <c r="X6591" s="19"/>
      <c r="Y6591" s="20"/>
    </row>
    <row r="6592" spans="24:25">
      <c r="X6592" s="19"/>
      <c r="Y6592" s="20"/>
    </row>
    <row r="6593" spans="24:25">
      <c r="X6593" s="19"/>
      <c r="Y6593" s="20"/>
    </row>
    <row r="6594" spans="24:25">
      <c r="X6594" s="19"/>
      <c r="Y6594" s="20"/>
    </row>
    <row r="6595" spans="24:25">
      <c r="X6595" s="19"/>
      <c r="Y6595" s="20"/>
    </row>
    <row r="6596" spans="24:25">
      <c r="X6596" s="19"/>
      <c r="Y6596" s="20"/>
    </row>
    <row r="6597" spans="24:25">
      <c r="X6597" s="19"/>
      <c r="Y6597" s="20"/>
    </row>
    <row r="6598" spans="24:25">
      <c r="X6598" s="19"/>
      <c r="Y6598" s="20"/>
    </row>
    <row r="6599" spans="24:25">
      <c r="X6599" s="19"/>
      <c r="Y6599" s="20"/>
    </row>
    <row r="6600" spans="24:25">
      <c r="X6600" s="19"/>
      <c r="Y6600" s="20"/>
    </row>
    <row r="6601" spans="24:25">
      <c r="X6601" s="19"/>
      <c r="Y6601" s="20"/>
    </row>
    <row r="6602" spans="24:25">
      <c r="X6602" s="19"/>
      <c r="Y6602" s="20"/>
    </row>
    <row r="6603" spans="24:25">
      <c r="X6603" s="19"/>
      <c r="Y6603" s="20"/>
    </row>
    <row r="6604" spans="24:25">
      <c r="X6604" s="19"/>
      <c r="Y6604" s="20"/>
    </row>
    <row r="6605" spans="24:25">
      <c r="X6605" s="19"/>
      <c r="Y6605" s="20"/>
    </row>
    <row r="6606" spans="24:25">
      <c r="X6606" s="19"/>
      <c r="Y6606" s="20"/>
    </row>
    <row r="6607" spans="24:25">
      <c r="X6607" s="19"/>
      <c r="Y6607" s="20"/>
    </row>
    <row r="6608" spans="24:25">
      <c r="X6608" s="19"/>
      <c r="Y6608" s="20"/>
    </row>
    <row r="6609" spans="24:25">
      <c r="X6609" s="19"/>
      <c r="Y6609" s="20"/>
    </row>
    <row r="6610" spans="24:25">
      <c r="X6610" s="19"/>
      <c r="Y6610" s="20"/>
    </row>
    <row r="6611" spans="24:25">
      <c r="X6611" s="19"/>
      <c r="Y6611" s="20"/>
    </row>
    <row r="6612" spans="24:25">
      <c r="X6612" s="19"/>
      <c r="Y6612" s="20"/>
    </row>
    <row r="6613" spans="24:25">
      <c r="X6613" s="19"/>
      <c r="Y6613" s="20"/>
    </row>
    <row r="6614" spans="24:25">
      <c r="X6614" s="19"/>
      <c r="Y6614" s="20"/>
    </row>
    <row r="6615" spans="24:25">
      <c r="X6615" s="19"/>
      <c r="Y6615" s="20"/>
    </row>
    <row r="6616" spans="24:25">
      <c r="X6616" s="19"/>
      <c r="Y6616" s="20"/>
    </row>
    <row r="6617" spans="24:25">
      <c r="X6617" s="19"/>
      <c r="Y6617" s="20"/>
    </row>
    <row r="6618" spans="24:25">
      <c r="X6618" s="19"/>
      <c r="Y6618" s="20"/>
    </row>
    <row r="6619" spans="24:25">
      <c r="X6619" s="19"/>
      <c r="Y6619" s="20"/>
    </row>
    <row r="6620" spans="24:25">
      <c r="X6620" s="19"/>
      <c r="Y6620" s="20"/>
    </row>
    <row r="6621" spans="24:25">
      <c r="X6621" s="19"/>
      <c r="Y6621" s="20"/>
    </row>
    <row r="6622" spans="24:25">
      <c r="X6622" s="19"/>
      <c r="Y6622" s="20"/>
    </row>
    <row r="6623" spans="24:25">
      <c r="X6623" s="19"/>
      <c r="Y6623" s="20"/>
    </row>
    <row r="6624" spans="24:25">
      <c r="X6624" s="19"/>
      <c r="Y6624" s="20"/>
    </row>
    <row r="6625" spans="24:25">
      <c r="X6625" s="19"/>
      <c r="Y6625" s="20"/>
    </row>
    <row r="6626" spans="24:25">
      <c r="X6626" s="19"/>
      <c r="Y6626" s="20"/>
    </row>
    <row r="6627" spans="24:25">
      <c r="X6627" s="19"/>
      <c r="Y6627" s="20"/>
    </row>
    <row r="6628" spans="24:25">
      <c r="X6628" s="19"/>
      <c r="Y6628" s="20"/>
    </row>
    <row r="6629" spans="24:25">
      <c r="X6629" s="19"/>
      <c r="Y6629" s="20"/>
    </row>
    <row r="6630" spans="24:25">
      <c r="X6630" s="19"/>
      <c r="Y6630" s="20"/>
    </row>
    <row r="6631" spans="24:25">
      <c r="X6631" s="19"/>
      <c r="Y6631" s="20"/>
    </row>
    <row r="6632" spans="24:25">
      <c r="X6632" s="19"/>
      <c r="Y6632" s="20"/>
    </row>
    <row r="6633" spans="24:25">
      <c r="X6633" s="19"/>
      <c r="Y6633" s="20"/>
    </row>
    <row r="6634" spans="24:25">
      <c r="X6634" s="19"/>
      <c r="Y6634" s="20"/>
    </row>
    <row r="6635" spans="24:25">
      <c r="X6635" s="19"/>
      <c r="Y6635" s="20"/>
    </row>
    <row r="6636" spans="24:25">
      <c r="X6636" s="19"/>
      <c r="Y6636" s="20"/>
    </row>
    <row r="6637" spans="24:25">
      <c r="X6637" s="19"/>
      <c r="Y6637" s="20"/>
    </row>
    <row r="6638" spans="24:25">
      <c r="X6638" s="19"/>
      <c r="Y6638" s="20"/>
    </row>
    <row r="6639" spans="24:25">
      <c r="X6639" s="19"/>
      <c r="Y6639" s="20"/>
    </row>
    <row r="6640" spans="24:25">
      <c r="X6640" s="19"/>
      <c r="Y6640" s="20"/>
    </row>
    <row r="6641" spans="24:25">
      <c r="X6641" s="19"/>
      <c r="Y6641" s="20"/>
    </row>
    <row r="6642" spans="24:25">
      <c r="X6642" s="19"/>
      <c r="Y6642" s="20"/>
    </row>
    <row r="6643" spans="24:25">
      <c r="X6643" s="19"/>
      <c r="Y6643" s="20"/>
    </row>
    <row r="6644" spans="24:25">
      <c r="X6644" s="19"/>
      <c r="Y6644" s="20"/>
    </row>
    <row r="6645" spans="24:25">
      <c r="X6645" s="19"/>
      <c r="Y6645" s="20"/>
    </row>
    <row r="6646" spans="24:25">
      <c r="X6646" s="19"/>
      <c r="Y6646" s="20"/>
    </row>
    <row r="6647" spans="24:25">
      <c r="X6647" s="19"/>
      <c r="Y6647" s="20"/>
    </row>
    <row r="6648" spans="24:25">
      <c r="X6648" s="19"/>
      <c r="Y6648" s="20"/>
    </row>
    <row r="6649" spans="24:25">
      <c r="X6649" s="19"/>
      <c r="Y6649" s="20"/>
    </row>
    <row r="6650" spans="24:25">
      <c r="X6650" s="19"/>
      <c r="Y6650" s="20"/>
    </row>
    <row r="6651" spans="24:25">
      <c r="X6651" s="19"/>
      <c r="Y6651" s="20"/>
    </row>
    <row r="6652" spans="24:25">
      <c r="X6652" s="19"/>
      <c r="Y6652" s="20"/>
    </row>
    <row r="6653" spans="24:25">
      <c r="X6653" s="19"/>
      <c r="Y6653" s="20"/>
    </row>
    <row r="6654" spans="24:25">
      <c r="X6654" s="19"/>
      <c r="Y6654" s="20"/>
    </row>
    <row r="6655" spans="24:25">
      <c r="X6655" s="19"/>
      <c r="Y6655" s="20"/>
    </row>
    <row r="6656" spans="24:25">
      <c r="X6656" s="19"/>
      <c r="Y6656" s="20"/>
    </row>
    <row r="6657" spans="24:25">
      <c r="X6657" s="19"/>
      <c r="Y6657" s="20"/>
    </row>
    <row r="6658" spans="24:25">
      <c r="X6658" s="19"/>
      <c r="Y6658" s="20"/>
    </row>
    <row r="6659" spans="24:25">
      <c r="X6659" s="19"/>
      <c r="Y6659" s="20"/>
    </row>
    <row r="6660" spans="24:25">
      <c r="X6660" s="19"/>
      <c r="Y6660" s="20"/>
    </row>
    <row r="6661" spans="24:25">
      <c r="X6661" s="19"/>
      <c r="Y6661" s="20"/>
    </row>
    <row r="6662" spans="24:25">
      <c r="X6662" s="19"/>
      <c r="Y6662" s="20"/>
    </row>
    <row r="6663" spans="24:25">
      <c r="X6663" s="19"/>
      <c r="Y6663" s="20"/>
    </row>
    <row r="6664" spans="24:25">
      <c r="X6664" s="19"/>
      <c r="Y6664" s="20"/>
    </row>
    <row r="6665" spans="24:25">
      <c r="X6665" s="19"/>
      <c r="Y6665" s="20"/>
    </row>
    <row r="6666" spans="24:25">
      <c r="X6666" s="19"/>
      <c r="Y6666" s="20"/>
    </row>
    <row r="6667" spans="24:25">
      <c r="X6667" s="19"/>
      <c r="Y6667" s="20"/>
    </row>
    <row r="6668" spans="24:25">
      <c r="X6668" s="19"/>
      <c r="Y6668" s="20"/>
    </row>
    <row r="6669" spans="24:25">
      <c r="X6669" s="19"/>
      <c r="Y6669" s="20"/>
    </row>
    <row r="6670" spans="24:25">
      <c r="X6670" s="19"/>
      <c r="Y6670" s="20"/>
    </row>
    <row r="6671" spans="24:25">
      <c r="X6671" s="19"/>
      <c r="Y6671" s="20"/>
    </row>
    <row r="6672" spans="24:25">
      <c r="X6672" s="19"/>
      <c r="Y6672" s="20"/>
    </row>
    <row r="6673" spans="24:25">
      <c r="X6673" s="19"/>
      <c r="Y6673" s="20"/>
    </row>
    <row r="6674" spans="24:25">
      <c r="X6674" s="19"/>
      <c r="Y6674" s="20"/>
    </row>
    <row r="6675" spans="24:25">
      <c r="X6675" s="19"/>
      <c r="Y6675" s="20"/>
    </row>
    <row r="6676" spans="24:25">
      <c r="X6676" s="19"/>
      <c r="Y6676" s="20"/>
    </row>
    <row r="6677" spans="24:25">
      <c r="X6677" s="19"/>
      <c r="Y6677" s="20"/>
    </row>
    <row r="6678" spans="24:25">
      <c r="X6678" s="19"/>
      <c r="Y6678" s="20"/>
    </row>
    <row r="6679" spans="24:25">
      <c r="X6679" s="19"/>
      <c r="Y6679" s="20"/>
    </row>
    <row r="6680" spans="24:25">
      <c r="X6680" s="19"/>
      <c r="Y6680" s="20"/>
    </row>
    <row r="6681" spans="24:25">
      <c r="X6681" s="19"/>
      <c r="Y6681" s="20"/>
    </row>
    <row r="6682" spans="24:25">
      <c r="X6682" s="19"/>
      <c r="Y6682" s="20"/>
    </row>
    <row r="6683" spans="24:25">
      <c r="X6683" s="19"/>
      <c r="Y6683" s="20"/>
    </row>
    <row r="6684" spans="24:25">
      <c r="X6684" s="19"/>
      <c r="Y6684" s="20"/>
    </row>
    <row r="6685" spans="24:25">
      <c r="X6685" s="19"/>
      <c r="Y6685" s="20"/>
    </row>
    <row r="6686" spans="24:25">
      <c r="X6686" s="19"/>
      <c r="Y6686" s="20"/>
    </row>
    <row r="6687" spans="24:25">
      <c r="X6687" s="19"/>
      <c r="Y6687" s="20"/>
    </row>
    <row r="6688" spans="24:25">
      <c r="X6688" s="19"/>
      <c r="Y6688" s="20"/>
    </row>
    <row r="6689" spans="24:25">
      <c r="X6689" s="19"/>
      <c r="Y6689" s="20"/>
    </row>
    <row r="6690" spans="24:25">
      <c r="X6690" s="19"/>
      <c r="Y6690" s="20"/>
    </row>
    <row r="6691" spans="24:25">
      <c r="X6691" s="19"/>
      <c r="Y6691" s="20"/>
    </row>
    <row r="6692" spans="24:25">
      <c r="X6692" s="19"/>
      <c r="Y6692" s="20"/>
    </row>
    <row r="6693" spans="24:25">
      <c r="X6693" s="19"/>
      <c r="Y6693" s="20"/>
    </row>
    <row r="6694" spans="24:25">
      <c r="X6694" s="19"/>
      <c r="Y6694" s="20"/>
    </row>
    <row r="6695" spans="24:25">
      <c r="X6695" s="19"/>
      <c r="Y6695" s="20"/>
    </row>
    <row r="6696" spans="24:25">
      <c r="X6696" s="19"/>
      <c r="Y6696" s="20"/>
    </row>
    <row r="6697" spans="24:25">
      <c r="X6697" s="19"/>
      <c r="Y6697" s="20"/>
    </row>
    <row r="6698" spans="24:25">
      <c r="X6698" s="19"/>
      <c r="Y6698" s="20"/>
    </row>
    <row r="6699" spans="24:25">
      <c r="X6699" s="19"/>
      <c r="Y6699" s="20"/>
    </row>
    <row r="6700" spans="24:25">
      <c r="X6700" s="19"/>
      <c r="Y6700" s="20"/>
    </row>
    <row r="6701" spans="24:25">
      <c r="X6701" s="19"/>
      <c r="Y6701" s="20"/>
    </row>
    <row r="6702" spans="24:25">
      <c r="X6702" s="19"/>
      <c r="Y6702" s="20"/>
    </row>
    <row r="6703" spans="24:25">
      <c r="X6703" s="19"/>
      <c r="Y6703" s="20"/>
    </row>
    <row r="6704" spans="24:25">
      <c r="X6704" s="19"/>
      <c r="Y6704" s="20"/>
    </row>
    <row r="6705" spans="24:25">
      <c r="X6705" s="19"/>
      <c r="Y6705" s="20"/>
    </row>
    <row r="6706" spans="24:25">
      <c r="X6706" s="19"/>
      <c r="Y6706" s="20"/>
    </row>
    <row r="6707" spans="24:25">
      <c r="X6707" s="19"/>
      <c r="Y6707" s="20"/>
    </row>
    <row r="6708" spans="24:25">
      <c r="X6708" s="19"/>
      <c r="Y6708" s="20"/>
    </row>
    <row r="6709" spans="24:25">
      <c r="X6709" s="19"/>
      <c r="Y6709" s="20"/>
    </row>
    <row r="6710" spans="24:25">
      <c r="X6710" s="19"/>
      <c r="Y6710" s="20"/>
    </row>
    <row r="6711" spans="24:25">
      <c r="X6711" s="19"/>
      <c r="Y6711" s="20"/>
    </row>
    <row r="6712" spans="24:25">
      <c r="X6712" s="19"/>
      <c r="Y6712" s="20"/>
    </row>
    <row r="6713" spans="24:25">
      <c r="X6713" s="19"/>
      <c r="Y6713" s="20"/>
    </row>
    <row r="6714" spans="24:25">
      <c r="X6714" s="19"/>
      <c r="Y6714" s="20"/>
    </row>
    <row r="6715" spans="24:25">
      <c r="X6715" s="19"/>
      <c r="Y6715" s="20"/>
    </row>
    <row r="6716" spans="24:25">
      <c r="X6716" s="19"/>
      <c r="Y6716" s="20"/>
    </row>
    <row r="6717" spans="24:25">
      <c r="X6717" s="19"/>
      <c r="Y6717" s="20"/>
    </row>
    <row r="6718" spans="24:25">
      <c r="X6718" s="19"/>
      <c r="Y6718" s="20"/>
    </row>
    <row r="6719" spans="24:25">
      <c r="X6719" s="19"/>
      <c r="Y6719" s="20"/>
    </row>
    <row r="6720" spans="24:25">
      <c r="X6720" s="19"/>
      <c r="Y6720" s="20"/>
    </row>
    <row r="6721" spans="24:25">
      <c r="X6721" s="19"/>
      <c r="Y6721" s="20"/>
    </row>
    <row r="6722" spans="24:25">
      <c r="X6722" s="19"/>
      <c r="Y6722" s="20"/>
    </row>
    <row r="6723" spans="24:25">
      <c r="X6723" s="19"/>
      <c r="Y6723" s="20"/>
    </row>
    <row r="6724" spans="24:25">
      <c r="X6724" s="19"/>
      <c r="Y6724" s="20"/>
    </row>
    <row r="6725" spans="24:25">
      <c r="X6725" s="19"/>
      <c r="Y6725" s="20"/>
    </row>
    <row r="6726" spans="24:25">
      <c r="X6726" s="19"/>
      <c r="Y6726" s="20"/>
    </row>
    <row r="6727" spans="24:25">
      <c r="X6727" s="19"/>
      <c r="Y6727" s="20"/>
    </row>
    <row r="6728" spans="24:25">
      <c r="X6728" s="19"/>
      <c r="Y6728" s="20"/>
    </row>
    <row r="6729" spans="24:25">
      <c r="X6729" s="19"/>
      <c r="Y6729" s="20"/>
    </row>
    <row r="6730" spans="24:25">
      <c r="X6730" s="19"/>
      <c r="Y6730" s="20"/>
    </row>
    <row r="6731" spans="24:25">
      <c r="X6731" s="19"/>
      <c r="Y6731" s="20"/>
    </row>
    <row r="6732" spans="24:25">
      <c r="X6732" s="19"/>
      <c r="Y6732" s="20"/>
    </row>
    <row r="6733" spans="24:25">
      <c r="X6733" s="19"/>
      <c r="Y6733" s="20"/>
    </row>
    <row r="6734" spans="24:25">
      <c r="X6734" s="19"/>
      <c r="Y6734" s="20"/>
    </row>
    <row r="6735" spans="24:25">
      <c r="X6735" s="19"/>
      <c r="Y6735" s="20"/>
    </row>
    <row r="6736" spans="24:25">
      <c r="X6736" s="19"/>
      <c r="Y6736" s="20"/>
    </row>
    <row r="6737" spans="24:25">
      <c r="X6737" s="19"/>
      <c r="Y6737" s="20"/>
    </row>
    <row r="6738" spans="24:25">
      <c r="X6738" s="19"/>
      <c r="Y6738" s="20"/>
    </row>
    <row r="6739" spans="24:25">
      <c r="X6739" s="19"/>
      <c r="Y6739" s="20"/>
    </row>
    <row r="6740" spans="24:25">
      <c r="X6740" s="19"/>
      <c r="Y6740" s="20"/>
    </row>
    <row r="6741" spans="24:25">
      <c r="X6741" s="19"/>
      <c r="Y6741" s="20"/>
    </row>
    <row r="6742" spans="24:25">
      <c r="X6742" s="19"/>
      <c r="Y6742" s="20"/>
    </row>
    <row r="6743" spans="24:25">
      <c r="X6743" s="19"/>
      <c r="Y6743" s="20"/>
    </row>
    <row r="6744" spans="24:25">
      <c r="X6744" s="19"/>
      <c r="Y6744" s="20"/>
    </row>
    <row r="6745" spans="24:25">
      <c r="X6745" s="19"/>
      <c r="Y6745" s="20"/>
    </row>
    <row r="6746" spans="24:25">
      <c r="X6746" s="19"/>
      <c r="Y6746" s="20"/>
    </row>
    <row r="6747" spans="24:25">
      <c r="X6747" s="19"/>
      <c r="Y6747" s="20"/>
    </row>
    <row r="6748" spans="24:25">
      <c r="X6748" s="19"/>
      <c r="Y6748" s="20"/>
    </row>
    <row r="6749" spans="24:25">
      <c r="X6749" s="19"/>
      <c r="Y6749" s="20"/>
    </row>
    <row r="6750" spans="24:25">
      <c r="X6750" s="19"/>
      <c r="Y6750" s="20"/>
    </row>
    <row r="6751" spans="24:25">
      <c r="X6751" s="19"/>
      <c r="Y6751" s="20"/>
    </row>
    <row r="6752" spans="24:25">
      <c r="X6752" s="19"/>
      <c r="Y6752" s="20"/>
    </row>
    <row r="6753" spans="24:25">
      <c r="X6753" s="19"/>
      <c r="Y6753" s="20"/>
    </row>
    <row r="6754" spans="24:25">
      <c r="X6754" s="19"/>
      <c r="Y6754" s="20"/>
    </row>
    <row r="6755" spans="24:25">
      <c r="X6755" s="19"/>
      <c r="Y6755" s="20"/>
    </row>
    <row r="6756" spans="24:25">
      <c r="X6756" s="19"/>
      <c r="Y6756" s="20"/>
    </row>
    <row r="6757" spans="24:25">
      <c r="X6757" s="19"/>
      <c r="Y6757" s="20"/>
    </row>
    <row r="6758" spans="24:25">
      <c r="X6758" s="19"/>
      <c r="Y6758" s="20"/>
    </row>
    <row r="6759" spans="24:25">
      <c r="X6759" s="19"/>
      <c r="Y6759" s="20"/>
    </row>
    <row r="6760" spans="24:25">
      <c r="X6760" s="19"/>
      <c r="Y6760" s="20"/>
    </row>
    <row r="6761" spans="24:25">
      <c r="X6761" s="19"/>
      <c r="Y6761" s="20"/>
    </row>
    <row r="6762" spans="24:25">
      <c r="X6762" s="19"/>
      <c r="Y6762" s="20"/>
    </row>
    <row r="6763" spans="24:25">
      <c r="X6763" s="19"/>
      <c r="Y6763" s="20"/>
    </row>
    <row r="6764" spans="24:25">
      <c r="X6764" s="19"/>
      <c r="Y6764" s="20"/>
    </row>
    <row r="6765" spans="24:25">
      <c r="X6765" s="19"/>
      <c r="Y6765" s="20"/>
    </row>
    <row r="6766" spans="24:25">
      <c r="X6766" s="19"/>
      <c r="Y6766" s="20"/>
    </row>
    <row r="6767" spans="24:25">
      <c r="X6767" s="19"/>
      <c r="Y6767" s="20"/>
    </row>
    <row r="6768" spans="24:25">
      <c r="X6768" s="19"/>
      <c r="Y6768" s="20"/>
    </row>
    <row r="6769" spans="24:25">
      <c r="X6769" s="19"/>
      <c r="Y6769" s="20"/>
    </row>
    <row r="6770" spans="24:25">
      <c r="X6770" s="19"/>
      <c r="Y6770" s="20"/>
    </row>
    <row r="6771" spans="24:25">
      <c r="X6771" s="19"/>
      <c r="Y6771" s="20"/>
    </row>
    <row r="6772" spans="24:25">
      <c r="X6772" s="19"/>
      <c r="Y6772" s="20"/>
    </row>
    <row r="6773" spans="24:25">
      <c r="X6773" s="19"/>
      <c r="Y6773" s="20"/>
    </row>
    <row r="6774" spans="24:25">
      <c r="X6774" s="19"/>
      <c r="Y6774" s="20"/>
    </row>
    <row r="6775" spans="24:25">
      <c r="X6775" s="19"/>
      <c r="Y6775" s="20"/>
    </row>
    <row r="6776" spans="24:25">
      <c r="X6776" s="19"/>
      <c r="Y6776" s="20"/>
    </row>
    <row r="6777" spans="24:25">
      <c r="X6777" s="19"/>
      <c r="Y6777" s="20"/>
    </row>
    <row r="6778" spans="24:25">
      <c r="X6778" s="19"/>
      <c r="Y6778" s="20"/>
    </row>
    <row r="6779" spans="24:25">
      <c r="X6779" s="19"/>
      <c r="Y6779" s="20"/>
    </row>
    <row r="6780" spans="24:25">
      <c r="X6780" s="19"/>
      <c r="Y6780" s="20"/>
    </row>
    <row r="6781" spans="24:25">
      <c r="X6781" s="19"/>
      <c r="Y6781" s="20"/>
    </row>
    <row r="6782" spans="24:25">
      <c r="X6782" s="19"/>
      <c r="Y6782" s="20"/>
    </row>
    <row r="6783" spans="24:25">
      <c r="X6783" s="19"/>
      <c r="Y6783" s="20"/>
    </row>
    <row r="6784" spans="24:25">
      <c r="X6784" s="19"/>
      <c r="Y6784" s="20"/>
    </row>
    <row r="6785" spans="24:25">
      <c r="X6785" s="19"/>
      <c r="Y6785" s="20"/>
    </row>
    <row r="6786" spans="24:25">
      <c r="X6786" s="19"/>
      <c r="Y6786" s="20"/>
    </row>
    <row r="6787" spans="24:25">
      <c r="X6787" s="19"/>
      <c r="Y6787" s="20"/>
    </row>
    <row r="6788" spans="24:25">
      <c r="X6788" s="19"/>
      <c r="Y6788" s="20"/>
    </row>
    <row r="6789" spans="24:25">
      <c r="X6789" s="19"/>
      <c r="Y6789" s="20"/>
    </row>
    <row r="6790" spans="24:25">
      <c r="X6790" s="19"/>
      <c r="Y6790" s="20"/>
    </row>
    <row r="6791" spans="24:25">
      <c r="X6791" s="19"/>
      <c r="Y6791" s="20"/>
    </row>
    <row r="6792" spans="24:25">
      <c r="X6792" s="19"/>
      <c r="Y6792" s="20"/>
    </row>
    <row r="6793" spans="24:25">
      <c r="X6793" s="19"/>
      <c r="Y6793" s="20"/>
    </row>
    <row r="6794" spans="24:25">
      <c r="X6794" s="19"/>
      <c r="Y6794" s="20"/>
    </row>
    <row r="6795" spans="24:25">
      <c r="X6795" s="19"/>
      <c r="Y6795" s="20"/>
    </row>
    <row r="6796" spans="24:25">
      <c r="X6796" s="19"/>
      <c r="Y6796" s="20"/>
    </row>
    <row r="6797" spans="24:25">
      <c r="X6797" s="19"/>
      <c r="Y6797" s="20"/>
    </row>
    <row r="6798" spans="24:25">
      <c r="X6798" s="19"/>
      <c r="Y6798" s="20"/>
    </row>
    <row r="6799" spans="24:25">
      <c r="X6799" s="19"/>
      <c r="Y6799" s="20"/>
    </row>
    <row r="6800" spans="24:25">
      <c r="X6800" s="19"/>
      <c r="Y6800" s="20"/>
    </row>
    <row r="6801" spans="24:25">
      <c r="X6801" s="19"/>
      <c r="Y6801" s="20"/>
    </row>
    <row r="6802" spans="24:25">
      <c r="X6802" s="19"/>
      <c r="Y6802" s="20"/>
    </row>
    <row r="6803" spans="24:25">
      <c r="X6803" s="19"/>
      <c r="Y6803" s="20"/>
    </row>
    <row r="6804" spans="24:25">
      <c r="X6804" s="19"/>
      <c r="Y6804" s="20"/>
    </row>
    <row r="6805" spans="24:25">
      <c r="X6805" s="19"/>
      <c r="Y6805" s="20"/>
    </row>
    <row r="6806" spans="24:25">
      <c r="X6806" s="19"/>
      <c r="Y6806" s="20"/>
    </row>
    <row r="6807" spans="24:25">
      <c r="X6807" s="19"/>
      <c r="Y6807" s="20"/>
    </row>
    <row r="6808" spans="24:25">
      <c r="X6808" s="19"/>
      <c r="Y6808" s="20"/>
    </row>
    <row r="6809" spans="24:25">
      <c r="X6809" s="19"/>
      <c r="Y6809" s="20"/>
    </row>
    <row r="6810" spans="24:25">
      <c r="X6810" s="19"/>
      <c r="Y6810" s="20"/>
    </row>
    <row r="6811" spans="24:25">
      <c r="X6811" s="19"/>
      <c r="Y6811" s="20"/>
    </row>
    <row r="6812" spans="24:25">
      <c r="X6812" s="19"/>
      <c r="Y6812" s="20"/>
    </row>
    <row r="6813" spans="24:25">
      <c r="X6813" s="19"/>
      <c r="Y6813" s="20"/>
    </row>
    <row r="6814" spans="24:25">
      <c r="X6814" s="19"/>
      <c r="Y6814" s="20"/>
    </row>
    <row r="6815" spans="24:25">
      <c r="X6815" s="19"/>
      <c r="Y6815" s="20"/>
    </row>
    <row r="6816" spans="24:25">
      <c r="X6816" s="19"/>
      <c r="Y6816" s="20"/>
    </row>
    <row r="6817" spans="24:25">
      <c r="X6817" s="19"/>
      <c r="Y6817" s="20"/>
    </row>
    <row r="6818" spans="24:25">
      <c r="X6818" s="19"/>
      <c r="Y6818" s="20"/>
    </row>
    <row r="6819" spans="24:25">
      <c r="X6819" s="19"/>
      <c r="Y6819" s="20"/>
    </row>
    <row r="6820" spans="24:25">
      <c r="X6820" s="19"/>
      <c r="Y6820" s="20"/>
    </row>
    <row r="6821" spans="24:25">
      <c r="X6821" s="19"/>
      <c r="Y6821" s="20"/>
    </row>
    <row r="6822" spans="24:25">
      <c r="X6822" s="19"/>
      <c r="Y6822" s="20"/>
    </row>
    <row r="6823" spans="24:25">
      <c r="X6823" s="19"/>
      <c r="Y6823" s="20"/>
    </row>
    <row r="6824" spans="24:25">
      <c r="X6824" s="19"/>
      <c r="Y6824" s="20"/>
    </row>
    <row r="6825" spans="24:25">
      <c r="X6825" s="19"/>
      <c r="Y6825" s="20"/>
    </row>
    <row r="6826" spans="24:25">
      <c r="X6826" s="19"/>
      <c r="Y6826" s="20"/>
    </row>
    <row r="6827" spans="24:25">
      <c r="X6827" s="19"/>
      <c r="Y6827" s="20"/>
    </row>
    <row r="6828" spans="24:25">
      <c r="X6828" s="19"/>
      <c r="Y6828" s="20"/>
    </row>
    <row r="6829" spans="24:25">
      <c r="X6829" s="19"/>
      <c r="Y6829" s="20"/>
    </row>
    <row r="6830" spans="24:25">
      <c r="X6830" s="19"/>
      <c r="Y6830" s="20"/>
    </row>
    <row r="6831" spans="24:25">
      <c r="X6831" s="19"/>
      <c r="Y6831" s="20"/>
    </row>
    <row r="6832" spans="24:25">
      <c r="X6832" s="19"/>
      <c r="Y6832" s="20"/>
    </row>
    <row r="6833" spans="24:25">
      <c r="X6833" s="19"/>
      <c r="Y6833" s="20"/>
    </row>
    <row r="6834" spans="24:25">
      <c r="X6834" s="19"/>
      <c r="Y6834" s="20"/>
    </row>
    <row r="6835" spans="24:25">
      <c r="X6835" s="19"/>
      <c r="Y6835" s="20"/>
    </row>
    <row r="6836" spans="24:25">
      <c r="X6836" s="19"/>
      <c r="Y6836" s="20"/>
    </row>
    <row r="6837" spans="24:25">
      <c r="X6837" s="19"/>
      <c r="Y6837" s="20"/>
    </row>
    <row r="6838" spans="24:25">
      <c r="X6838" s="19"/>
      <c r="Y6838" s="20"/>
    </row>
    <row r="6839" spans="24:25">
      <c r="X6839" s="19"/>
      <c r="Y6839" s="20"/>
    </row>
    <row r="6840" spans="24:25">
      <c r="X6840" s="19"/>
      <c r="Y6840" s="20"/>
    </row>
    <row r="6841" spans="24:25">
      <c r="X6841" s="19"/>
      <c r="Y6841" s="20"/>
    </row>
    <row r="6842" spans="24:25">
      <c r="X6842" s="19"/>
      <c r="Y6842" s="20"/>
    </row>
    <row r="6843" spans="24:25">
      <c r="X6843" s="19"/>
      <c r="Y6843" s="20"/>
    </row>
    <row r="6844" spans="24:25">
      <c r="X6844" s="19"/>
      <c r="Y6844" s="20"/>
    </row>
    <row r="6845" spans="24:25">
      <c r="X6845" s="19"/>
      <c r="Y6845" s="20"/>
    </row>
    <row r="6846" spans="24:25">
      <c r="X6846" s="19"/>
      <c r="Y6846" s="20"/>
    </row>
    <row r="6847" spans="24:25">
      <c r="X6847" s="19"/>
      <c r="Y6847" s="20"/>
    </row>
    <row r="6848" spans="24:25">
      <c r="X6848" s="19"/>
      <c r="Y6848" s="20"/>
    </row>
    <row r="6849" spans="24:25">
      <c r="X6849" s="19"/>
      <c r="Y6849" s="20"/>
    </row>
    <row r="6850" spans="24:25">
      <c r="X6850" s="19"/>
      <c r="Y6850" s="20"/>
    </row>
    <row r="6851" spans="24:25">
      <c r="X6851" s="19"/>
      <c r="Y6851" s="20"/>
    </row>
    <row r="6852" spans="24:25">
      <c r="X6852" s="19"/>
      <c r="Y6852" s="20"/>
    </row>
    <row r="6853" spans="24:25">
      <c r="X6853" s="19"/>
      <c r="Y6853" s="20"/>
    </row>
    <row r="6854" spans="24:25">
      <c r="X6854" s="19"/>
      <c r="Y6854" s="20"/>
    </row>
    <row r="6855" spans="24:25">
      <c r="X6855" s="19"/>
      <c r="Y6855" s="20"/>
    </row>
    <row r="6856" spans="24:25">
      <c r="X6856" s="19"/>
      <c r="Y6856" s="20"/>
    </row>
    <row r="6857" spans="24:25">
      <c r="X6857" s="19"/>
      <c r="Y6857" s="20"/>
    </row>
    <row r="6858" spans="24:25">
      <c r="X6858" s="19"/>
      <c r="Y6858" s="20"/>
    </row>
    <row r="6859" spans="24:25">
      <c r="X6859" s="19"/>
      <c r="Y6859" s="20"/>
    </row>
    <row r="6860" spans="24:25">
      <c r="X6860" s="19"/>
      <c r="Y6860" s="20"/>
    </row>
    <row r="6861" spans="24:25">
      <c r="X6861" s="19"/>
      <c r="Y6861" s="20"/>
    </row>
    <row r="6862" spans="24:25">
      <c r="X6862" s="19"/>
      <c r="Y6862" s="20"/>
    </row>
    <row r="6863" spans="24:25">
      <c r="X6863" s="19"/>
      <c r="Y6863" s="20"/>
    </row>
    <row r="6864" spans="24:25">
      <c r="X6864" s="19"/>
      <c r="Y6864" s="20"/>
    </row>
    <row r="6865" spans="24:25">
      <c r="X6865" s="19"/>
      <c r="Y6865" s="20"/>
    </row>
    <row r="6866" spans="24:25">
      <c r="X6866" s="19"/>
      <c r="Y6866" s="20"/>
    </row>
    <row r="6867" spans="24:25">
      <c r="X6867" s="19"/>
      <c r="Y6867" s="20"/>
    </row>
    <row r="6868" spans="24:25">
      <c r="X6868" s="19"/>
      <c r="Y6868" s="20"/>
    </row>
    <row r="6869" spans="24:25">
      <c r="X6869" s="19"/>
      <c r="Y6869" s="20"/>
    </row>
    <row r="6870" spans="24:25">
      <c r="X6870" s="19"/>
      <c r="Y6870" s="20"/>
    </row>
    <row r="6871" spans="24:25">
      <c r="X6871" s="19"/>
      <c r="Y6871" s="20"/>
    </row>
    <row r="6872" spans="24:25">
      <c r="X6872" s="19"/>
      <c r="Y6872" s="20"/>
    </row>
    <row r="6873" spans="24:25">
      <c r="X6873" s="19"/>
      <c r="Y6873" s="20"/>
    </row>
    <row r="6874" spans="24:25">
      <c r="X6874" s="19"/>
      <c r="Y6874" s="20"/>
    </row>
    <row r="6875" spans="24:25">
      <c r="X6875" s="19"/>
      <c r="Y6875" s="20"/>
    </row>
    <row r="6876" spans="24:25">
      <c r="X6876" s="19"/>
      <c r="Y6876" s="20"/>
    </row>
    <row r="6877" spans="24:25">
      <c r="X6877" s="19"/>
      <c r="Y6877" s="20"/>
    </row>
    <row r="6878" spans="24:25">
      <c r="X6878" s="19"/>
      <c r="Y6878" s="20"/>
    </row>
    <row r="6879" spans="24:25">
      <c r="X6879" s="19"/>
      <c r="Y6879" s="20"/>
    </row>
    <row r="6880" spans="24:25">
      <c r="X6880" s="19"/>
      <c r="Y6880" s="20"/>
    </row>
    <row r="6881" spans="24:25">
      <c r="X6881" s="19"/>
      <c r="Y6881" s="20"/>
    </row>
    <row r="6882" spans="24:25">
      <c r="X6882" s="19"/>
      <c r="Y6882" s="20"/>
    </row>
    <row r="6883" spans="24:25">
      <c r="X6883" s="19"/>
      <c r="Y6883" s="20"/>
    </row>
    <row r="6884" spans="24:25">
      <c r="X6884" s="19"/>
      <c r="Y6884" s="20"/>
    </row>
    <row r="6885" spans="24:25">
      <c r="X6885" s="19"/>
      <c r="Y6885" s="20"/>
    </row>
    <row r="6886" spans="24:25">
      <c r="X6886" s="19"/>
      <c r="Y6886" s="20"/>
    </row>
    <row r="6887" spans="24:25">
      <c r="X6887" s="19"/>
      <c r="Y6887" s="20"/>
    </row>
    <row r="6888" spans="24:25">
      <c r="X6888" s="19"/>
      <c r="Y6888" s="20"/>
    </row>
    <row r="6889" spans="24:25">
      <c r="X6889" s="19"/>
      <c r="Y6889" s="20"/>
    </row>
    <row r="6890" spans="24:25">
      <c r="X6890" s="19"/>
      <c r="Y6890" s="20"/>
    </row>
    <row r="6891" spans="24:25">
      <c r="X6891" s="19"/>
      <c r="Y6891" s="20"/>
    </row>
    <row r="6892" spans="24:25">
      <c r="X6892" s="19"/>
      <c r="Y6892" s="20"/>
    </row>
    <row r="6893" spans="24:25">
      <c r="X6893" s="19"/>
      <c r="Y6893" s="20"/>
    </row>
    <row r="6894" spans="24:25">
      <c r="X6894" s="19"/>
      <c r="Y6894" s="20"/>
    </row>
    <row r="6895" spans="24:25">
      <c r="X6895" s="19"/>
      <c r="Y6895" s="20"/>
    </row>
    <row r="6896" spans="24:25">
      <c r="X6896" s="19"/>
      <c r="Y6896" s="20"/>
    </row>
    <row r="6897" spans="24:25">
      <c r="X6897" s="19"/>
      <c r="Y6897" s="20"/>
    </row>
    <row r="6898" spans="24:25">
      <c r="X6898" s="19"/>
      <c r="Y6898" s="20"/>
    </row>
    <row r="6899" spans="24:25">
      <c r="X6899" s="19"/>
      <c r="Y6899" s="20"/>
    </row>
    <row r="6900" spans="24:25">
      <c r="X6900" s="19"/>
      <c r="Y6900" s="20"/>
    </row>
    <row r="6901" spans="24:25">
      <c r="X6901" s="19"/>
      <c r="Y6901" s="20"/>
    </row>
    <row r="6902" spans="24:25">
      <c r="X6902" s="19"/>
      <c r="Y6902" s="20"/>
    </row>
    <row r="6903" spans="24:25">
      <c r="X6903" s="19"/>
      <c r="Y6903" s="20"/>
    </row>
    <row r="6904" spans="24:25">
      <c r="X6904" s="19"/>
      <c r="Y6904" s="20"/>
    </row>
    <row r="6905" spans="24:25">
      <c r="X6905" s="19"/>
      <c r="Y6905" s="20"/>
    </row>
    <row r="6906" spans="24:25">
      <c r="X6906" s="19"/>
      <c r="Y6906" s="20"/>
    </row>
    <row r="6907" spans="24:25">
      <c r="X6907" s="19"/>
      <c r="Y6907" s="20"/>
    </row>
    <row r="6908" spans="24:25">
      <c r="X6908" s="19"/>
      <c r="Y6908" s="20"/>
    </row>
    <row r="6909" spans="24:25">
      <c r="X6909" s="19"/>
      <c r="Y6909" s="20"/>
    </row>
    <row r="6910" spans="24:25">
      <c r="X6910" s="19"/>
      <c r="Y6910" s="20"/>
    </row>
    <row r="6911" spans="24:25">
      <c r="X6911" s="19"/>
      <c r="Y6911" s="20"/>
    </row>
    <row r="6912" spans="24:25">
      <c r="X6912" s="19"/>
      <c r="Y6912" s="20"/>
    </row>
    <row r="6913" spans="24:25">
      <c r="X6913" s="19"/>
      <c r="Y6913" s="20"/>
    </row>
    <row r="6914" spans="24:25">
      <c r="X6914" s="19"/>
      <c r="Y6914" s="20"/>
    </row>
    <row r="6915" spans="24:25">
      <c r="X6915" s="19"/>
      <c r="Y6915" s="20"/>
    </row>
    <row r="6916" spans="24:25">
      <c r="X6916" s="19"/>
      <c r="Y6916" s="20"/>
    </row>
    <row r="6917" spans="24:25">
      <c r="X6917" s="19"/>
      <c r="Y6917" s="20"/>
    </row>
    <row r="6918" spans="24:25">
      <c r="X6918" s="19"/>
      <c r="Y6918" s="20"/>
    </row>
    <row r="6919" spans="24:25">
      <c r="X6919" s="19"/>
      <c r="Y6919" s="20"/>
    </row>
    <row r="6920" spans="24:25">
      <c r="X6920" s="19"/>
      <c r="Y6920" s="20"/>
    </row>
    <row r="6921" spans="24:25">
      <c r="X6921" s="19"/>
      <c r="Y6921" s="20"/>
    </row>
    <row r="6922" spans="24:25">
      <c r="X6922" s="19"/>
      <c r="Y6922" s="20"/>
    </row>
    <row r="6923" spans="24:25">
      <c r="X6923" s="19"/>
      <c r="Y6923" s="20"/>
    </row>
    <row r="6924" spans="24:25">
      <c r="X6924" s="19"/>
      <c r="Y6924" s="20"/>
    </row>
    <row r="6925" spans="24:25">
      <c r="X6925" s="19"/>
      <c r="Y6925" s="20"/>
    </row>
    <row r="6926" spans="24:25">
      <c r="X6926" s="19"/>
      <c r="Y6926" s="20"/>
    </row>
    <row r="6927" spans="24:25">
      <c r="X6927" s="19"/>
      <c r="Y6927" s="20"/>
    </row>
    <row r="6928" spans="24:25">
      <c r="X6928" s="19"/>
      <c r="Y6928" s="20"/>
    </row>
    <row r="6929" spans="24:25">
      <c r="X6929" s="19"/>
      <c r="Y6929" s="20"/>
    </row>
    <row r="6930" spans="24:25">
      <c r="X6930" s="19"/>
      <c r="Y6930" s="20"/>
    </row>
    <row r="6931" spans="24:25">
      <c r="X6931" s="19"/>
      <c r="Y6931" s="20"/>
    </row>
    <row r="6932" spans="24:25">
      <c r="X6932" s="19"/>
      <c r="Y6932" s="20"/>
    </row>
    <row r="6933" spans="24:25">
      <c r="X6933" s="19"/>
      <c r="Y6933" s="20"/>
    </row>
    <row r="6934" spans="24:25">
      <c r="X6934" s="19"/>
      <c r="Y6934" s="20"/>
    </row>
    <row r="6935" spans="24:25">
      <c r="X6935" s="19"/>
      <c r="Y6935" s="20"/>
    </row>
    <row r="6936" spans="24:25">
      <c r="X6936" s="19"/>
      <c r="Y6936" s="20"/>
    </row>
    <row r="6937" spans="24:25">
      <c r="X6937" s="19"/>
      <c r="Y6937" s="20"/>
    </row>
    <row r="6938" spans="24:25">
      <c r="X6938" s="19"/>
      <c r="Y6938" s="20"/>
    </row>
    <row r="6939" spans="24:25">
      <c r="X6939" s="19"/>
      <c r="Y6939" s="20"/>
    </row>
    <row r="6940" spans="24:25">
      <c r="X6940" s="19"/>
      <c r="Y6940" s="20"/>
    </row>
    <row r="6941" spans="24:25">
      <c r="X6941" s="19"/>
      <c r="Y6941" s="20"/>
    </row>
    <row r="6942" spans="24:25">
      <c r="X6942" s="19"/>
      <c r="Y6942" s="20"/>
    </row>
    <row r="6943" spans="24:25">
      <c r="X6943" s="19"/>
      <c r="Y6943" s="20"/>
    </row>
    <row r="6944" spans="24:25">
      <c r="X6944" s="19"/>
      <c r="Y6944" s="20"/>
    </row>
    <row r="6945" spans="24:25">
      <c r="X6945" s="19"/>
      <c r="Y6945" s="20"/>
    </row>
    <row r="6946" spans="24:25">
      <c r="X6946" s="19"/>
      <c r="Y6946" s="20"/>
    </row>
    <row r="6947" spans="24:25">
      <c r="X6947" s="19"/>
      <c r="Y6947" s="20"/>
    </row>
    <row r="6948" spans="24:25">
      <c r="X6948" s="19"/>
      <c r="Y6948" s="20"/>
    </row>
    <row r="6949" spans="24:25">
      <c r="X6949" s="19"/>
      <c r="Y6949" s="20"/>
    </row>
    <row r="6950" spans="24:25">
      <c r="X6950" s="19"/>
      <c r="Y6950" s="20"/>
    </row>
    <row r="6951" spans="24:25">
      <c r="X6951" s="19"/>
      <c r="Y6951" s="20"/>
    </row>
    <row r="6952" spans="24:25">
      <c r="X6952" s="19"/>
      <c r="Y6952" s="20"/>
    </row>
    <row r="6953" spans="24:25">
      <c r="X6953" s="19"/>
      <c r="Y6953" s="20"/>
    </row>
    <row r="6954" spans="24:25">
      <c r="X6954" s="19"/>
      <c r="Y6954" s="20"/>
    </row>
    <row r="6955" spans="24:25">
      <c r="X6955" s="19"/>
      <c r="Y6955" s="20"/>
    </row>
    <row r="6956" spans="24:25">
      <c r="X6956" s="19"/>
      <c r="Y6956" s="20"/>
    </row>
    <row r="6957" spans="24:25">
      <c r="X6957" s="19"/>
      <c r="Y6957" s="20"/>
    </row>
    <row r="6958" spans="24:25">
      <c r="X6958" s="19"/>
      <c r="Y6958" s="20"/>
    </row>
    <row r="6959" spans="24:25">
      <c r="X6959" s="19"/>
      <c r="Y6959" s="20"/>
    </row>
    <row r="6960" spans="24:25">
      <c r="X6960" s="19"/>
      <c r="Y6960" s="20"/>
    </row>
    <row r="6961" spans="24:25">
      <c r="X6961" s="19"/>
      <c r="Y6961" s="20"/>
    </row>
    <row r="6962" spans="24:25">
      <c r="X6962" s="19"/>
      <c r="Y6962" s="20"/>
    </row>
    <row r="6963" spans="24:25">
      <c r="X6963" s="19"/>
      <c r="Y6963" s="20"/>
    </row>
    <row r="6964" spans="24:25">
      <c r="X6964" s="19"/>
      <c r="Y6964" s="20"/>
    </row>
    <row r="6965" spans="24:25">
      <c r="X6965" s="19"/>
      <c r="Y6965" s="20"/>
    </row>
    <row r="6966" spans="24:25">
      <c r="X6966" s="19"/>
      <c r="Y6966" s="20"/>
    </row>
    <row r="6967" spans="24:25">
      <c r="X6967" s="19"/>
      <c r="Y6967" s="20"/>
    </row>
    <row r="6968" spans="24:25">
      <c r="X6968" s="19"/>
      <c r="Y6968" s="20"/>
    </row>
    <row r="6969" spans="24:25">
      <c r="X6969" s="19"/>
      <c r="Y6969" s="20"/>
    </row>
    <row r="6970" spans="24:25">
      <c r="X6970" s="19"/>
      <c r="Y6970" s="20"/>
    </row>
    <row r="6971" spans="24:25">
      <c r="X6971" s="19"/>
      <c r="Y6971" s="20"/>
    </row>
    <row r="6972" spans="24:25">
      <c r="X6972" s="19"/>
      <c r="Y6972" s="20"/>
    </row>
    <row r="6973" spans="24:25">
      <c r="X6973" s="19"/>
      <c r="Y6973" s="20"/>
    </row>
    <row r="6974" spans="24:25">
      <c r="X6974" s="19"/>
      <c r="Y6974" s="20"/>
    </row>
    <row r="6975" spans="24:25">
      <c r="X6975" s="19"/>
      <c r="Y6975" s="20"/>
    </row>
    <row r="6976" spans="24:25">
      <c r="X6976" s="19"/>
      <c r="Y6976" s="20"/>
    </row>
    <row r="6977" spans="24:25">
      <c r="X6977" s="19"/>
      <c r="Y6977" s="20"/>
    </row>
    <row r="6978" spans="24:25">
      <c r="X6978" s="19"/>
      <c r="Y6978" s="20"/>
    </row>
    <row r="6979" spans="24:25">
      <c r="X6979" s="19"/>
      <c r="Y6979" s="20"/>
    </row>
    <row r="6980" spans="24:25">
      <c r="X6980" s="19"/>
      <c r="Y6980" s="20"/>
    </row>
    <row r="6981" spans="24:25">
      <c r="X6981" s="19"/>
      <c r="Y6981" s="20"/>
    </row>
    <row r="6982" spans="24:25">
      <c r="X6982" s="19"/>
      <c r="Y6982" s="20"/>
    </row>
    <row r="6983" spans="24:25">
      <c r="X6983" s="19"/>
      <c r="Y6983" s="20"/>
    </row>
    <row r="6984" spans="24:25">
      <c r="X6984" s="19"/>
      <c r="Y6984" s="20"/>
    </row>
    <row r="6985" spans="24:25">
      <c r="X6985" s="19"/>
      <c r="Y6985" s="20"/>
    </row>
    <row r="6986" spans="24:25">
      <c r="X6986" s="19"/>
      <c r="Y6986" s="20"/>
    </row>
    <row r="6987" spans="24:25">
      <c r="X6987" s="19"/>
      <c r="Y6987" s="20"/>
    </row>
    <row r="6988" spans="24:25">
      <c r="X6988" s="19"/>
      <c r="Y6988" s="20"/>
    </row>
    <row r="6989" spans="24:25">
      <c r="X6989" s="19"/>
      <c r="Y6989" s="20"/>
    </row>
    <row r="6990" spans="24:25">
      <c r="X6990" s="19"/>
      <c r="Y6990" s="20"/>
    </row>
    <row r="6991" spans="24:25">
      <c r="X6991" s="19"/>
      <c r="Y6991" s="20"/>
    </row>
    <row r="6992" spans="24:25">
      <c r="X6992" s="19"/>
      <c r="Y6992" s="20"/>
    </row>
    <row r="6993" spans="24:25">
      <c r="X6993" s="19"/>
      <c r="Y6993" s="20"/>
    </row>
    <row r="6994" spans="24:25">
      <c r="X6994" s="19"/>
      <c r="Y6994" s="20"/>
    </row>
    <row r="6995" spans="24:25">
      <c r="X6995" s="19"/>
      <c r="Y6995" s="20"/>
    </row>
    <row r="6996" spans="24:25">
      <c r="X6996" s="19"/>
      <c r="Y6996" s="20"/>
    </row>
    <row r="6997" spans="24:25">
      <c r="X6997" s="19"/>
      <c r="Y6997" s="20"/>
    </row>
    <row r="6998" spans="24:25">
      <c r="X6998" s="19"/>
      <c r="Y6998" s="20"/>
    </row>
    <row r="6999" spans="24:25">
      <c r="X6999" s="19"/>
      <c r="Y6999" s="20"/>
    </row>
    <row r="7000" spans="24:25">
      <c r="X7000" s="19"/>
      <c r="Y7000" s="20"/>
    </row>
    <row r="7001" spans="24:25">
      <c r="X7001" s="19"/>
      <c r="Y7001" s="20"/>
    </row>
    <row r="7002" spans="24:25">
      <c r="X7002" s="19"/>
      <c r="Y7002" s="20"/>
    </row>
    <row r="7003" spans="24:25">
      <c r="X7003" s="19"/>
      <c r="Y7003" s="20"/>
    </row>
    <row r="7004" spans="24:25">
      <c r="X7004" s="19"/>
      <c r="Y7004" s="20"/>
    </row>
    <row r="7005" spans="24:25">
      <c r="X7005" s="19"/>
      <c r="Y7005" s="20"/>
    </row>
    <row r="7006" spans="24:25">
      <c r="X7006" s="19"/>
      <c r="Y7006" s="20"/>
    </row>
    <row r="7007" spans="24:25">
      <c r="X7007" s="19"/>
      <c r="Y7007" s="20"/>
    </row>
    <row r="7008" spans="24:25">
      <c r="X7008" s="19"/>
      <c r="Y7008" s="20"/>
    </row>
    <row r="7009" spans="24:25">
      <c r="X7009" s="19"/>
      <c r="Y7009" s="20"/>
    </row>
    <row r="7010" spans="24:25">
      <c r="X7010" s="19"/>
      <c r="Y7010" s="20"/>
    </row>
    <row r="7011" spans="24:25">
      <c r="X7011" s="19"/>
      <c r="Y7011" s="20"/>
    </row>
    <row r="7012" spans="24:25">
      <c r="X7012" s="19"/>
      <c r="Y7012" s="20"/>
    </row>
    <row r="7013" spans="24:25">
      <c r="X7013" s="19"/>
      <c r="Y7013" s="20"/>
    </row>
    <row r="7014" spans="24:25">
      <c r="X7014" s="19"/>
      <c r="Y7014" s="20"/>
    </row>
    <row r="7015" spans="24:25">
      <c r="X7015" s="19"/>
      <c r="Y7015" s="20"/>
    </row>
    <row r="7016" spans="24:25">
      <c r="X7016" s="19"/>
      <c r="Y7016" s="20"/>
    </row>
    <row r="7017" spans="24:25">
      <c r="X7017" s="19"/>
      <c r="Y7017" s="20"/>
    </row>
    <row r="7018" spans="24:25">
      <c r="X7018" s="19"/>
      <c r="Y7018" s="20"/>
    </row>
    <row r="7019" spans="24:25">
      <c r="X7019" s="19"/>
      <c r="Y7019" s="20"/>
    </row>
    <row r="7020" spans="24:25">
      <c r="X7020" s="19"/>
      <c r="Y7020" s="20"/>
    </row>
    <row r="7021" spans="24:25">
      <c r="X7021" s="19"/>
      <c r="Y7021" s="20"/>
    </row>
    <row r="7022" spans="24:25">
      <c r="X7022" s="19"/>
      <c r="Y7022" s="20"/>
    </row>
    <row r="7023" spans="24:25">
      <c r="X7023" s="19"/>
      <c r="Y7023" s="20"/>
    </row>
    <row r="7024" spans="24:25">
      <c r="X7024" s="19"/>
      <c r="Y7024" s="20"/>
    </row>
    <row r="7025" spans="24:25">
      <c r="X7025" s="19"/>
      <c r="Y7025" s="20"/>
    </row>
    <row r="7026" spans="24:25">
      <c r="X7026" s="19"/>
      <c r="Y7026" s="20"/>
    </row>
    <row r="7027" spans="24:25">
      <c r="X7027" s="19"/>
      <c r="Y7027" s="20"/>
    </row>
    <row r="7028" spans="24:25">
      <c r="X7028" s="19"/>
      <c r="Y7028" s="20"/>
    </row>
    <row r="7029" spans="24:25">
      <c r="X7029" s="19"/>
      <c r="Y7029" s="20"/>
    </row>
    <row r="7030" spans="24:25">
      <c r="X7030" s="19"/>
      <c r="Y7030" s="20"/>
    </row>
    <row r="7031" spans="24:25">
      <c r="X7031" s="19"/>
      <c r="Y7031" s="20"/>
    </row>
    <row r="7032" spans="24:25">
      <c r="X7032" s="19"/>
      <c r="Y7032" s="20"/>
    </row>
    <row r="7033" spans="24:25">
      <c r="X7033" s="19"/>
      <c r="Y7033" s="20"/>
    </row>
    <row r="7034" spans="24:25">
      <c r="X7034" s="19"/>
      <c r="Y7034" s="20"/>
    </row>
    <row r="7035" spans="24:25">
      <c r="X7035" s="19"/>
      <c r="Y7035" s="20"/>
    </row>
    <row r="7036" spans="24:25">
      <c r="X7036" s="19"/>
      <c r="Y7036" s="20"/>
    </row>
    <row r="7037" spans="24:25">
      <c r="X7037" s="19"/>
      <c r="Y7037" s="20"/>
    </row>
    <row r="7038" spans="24:25">
      <c r="X7038" s="19"/>
      <c r="Y7038" s="20"/>
    </row>
    <row r="7039" spans="24:25">
      <c r="X7039" s="19"/>
      <c r="Y7039" s="20"/>
    </row>
    <row r="7040" spans="24:25">
      <c r="X7040" s="19"/>
      <c r="Y7040" s="20"/>
    </row>
    <row r="7041" spans="24:25">
      <c r="X7041" s="19"/>
      <c r="Y7041" s="20"/>
    </row>
    <row r="7042" spans="24:25">
      <c r="X7042" s="19"/>
      <c r="Y7042" s="20"/>
    </row>
    <row r="7043" spans="24:25">
      <c r="X7043" s="19"/>
      <c r="Y7043" s="20"/>
    </row>
    <row r="7044" spans="24:25">
      <c r="X7044" s="19"/>
      <c r="Y7044" s="20"/>
    </row>
    <row r="7045" spans="24:25">
      <c r="X7045" s="19"/>
      <c r="Y7045" s="20"/>
    </row>
    <row r="7046" spans="24:25">
      <c r="X7046" s="19"/>
      <c r="Y7046" s="20"/>
    </row>
    <row r="7047" spans="24:25">
      <c r="X7047" s="19"/>
      <c r="Y7047" s="20"/>
    </row>
    <row r="7048" spans="24:25">
      <c r="X7048" s="19"/>
      <c r="Y7048" s="20"/>
    </row>
    <row r="7049" spans="24:25">
      <c r="X7049" s="19"/>
      <c r="Y7049" s="20"/>
    </row>
    <row r="7050" spans="24:25">
      <c r="X7050" s="19"/>
      <c r="Y7050" s="20"/>
    </row>
    <row r="7051" spans="24:25">
      <c r="X7051" s="19"/>
      <c r="Y7051" s="20"/>
    </row>
    <row r="7052" spans="24:25">
      <c r="X7052" s="19"/>
      <c r="Y7052" s="20"/>
    </row>
    <row r="7053" spans="24:25">
      <c r="X7053" s="19"/>
      <c r="Y7053" s="20"/>
    </row>
    <row r="7054" spans="24:25">
      <c r="X7054" s="19"/>
      <c r="Y7054" s="20"/>
    </row>
    <row r="7055" spans="24:25">
      <c r="X7055" s="19"/>
      <c r="Y7055" s="20"/>
    </row>
    <row r="7056" spans="24:25">
      <c r="X7056" s="19"/>
      <c r="Y7056" s="20"/>
    </row>
    <row r="7057" spans="24:25">
      <c r="X7057" s="19"/>
      <c r="Y7057" s="20"/>
    </row>
    <row r="7058" spans="24:25">
      <c r="X7058" s="19"/>
      <c r="Y7058" s="20"/>
    </row>
    <row r="7059" spans="24:25">
      <c r="X7059" s="19"/>
      <c r="Y7059" s="20"/>
    </row>
    <row r="7060" spans="24:25">
      <c r="X7060" s="19"/>
      <c r="Y7060" s="20"/>
    </row>
    <row r="7061" spans="24:25">
      <c r="X7061" s="19"/>
      <c r="Y7061" s="20"/>
    </row>
    <row r="7062" spans="24:25">
      <c r="X7062" s="19"/>
      <c r="Y7062" s="20"/>
    </row>
    <row r="7063" spans="24:25">
      <c r="X7063" s="19"/>
      <c r="Y7063" s="20"/>
    </row>
    <row r="7064" spans="24:25">
      <c r="X7064" s="19"/>
      <c r="Y7064" s="20"/>
    </row>
    <row r="7065" spans="24:25">
      <c r="X7065" s="19"/>
      <c r="Y7065" s="20"/>
    </row>
    <row r="7066" spans="24:25">
      <c r="X7066" s="19"/>
      <c r="Y7066" s="20"/>
    </row>
    <row r="7067" spans="24:25">
      <c r="X7067" s="19"/>
      <c r="Y7067" s="20"/>
    </row>
    <row r="7068" spans="24:25">
      <c r="X7068" s="19"/>
      <c r="Y7068" s="20"/>
    </row>
    <row r="7069" spans="24:25">
      <c r="X7069" s="19"/>
      <c r="Y7069" s="20"/>
    </row>
    <row r="7070" spans="24:25">
      <c r="X7070" s="19"/>
      <c r="Y7070" s="20"/>
    </row>
    <row r="7071" spans="24:25">
      <c r="X7071" s="19"/>
      <c r="Y7071" s="20"/>
    </row>
    <row r="7072" spans="24:25">
      <c r="X7072" s="19"/>
      <c r="Y7072" s="20"/>
    </row>
    <row r="7073" spans="24:25">
      <c r="X7073" s="19"/>
      <c r="Y7073" s="20"/>
    </row>
    <row r="7074" spans="24:25">
      <c r="X7074" s="19"/>
      <c r="Y7074" s="20"/>
    </row>
    <row r="7075" spans="24:25">
      <c r="X7075" s="19"/>
      <c r="Y7075" s="20"/>
    </row>
    <row r="7076" spans="24:25">
      <c r="X7076" s="19"/>
      <c r="Y7076" s="20"/>
    </row>
    <row r="7077" spans="24:25">
      <c r="X7077" s="19"/>
      <c r="Y7077" s="20"/>
    </row>
    <row r="7078" spans="24:25">
      <c r="X7078" s="19"/>
      <c r="Y7078" s="20"/>
    </row>
    <row r="7079" spans="24:25">
      <c r="X7079" s="19"/>
      <c r="Y7079" s="20"/>
    </row>
    <row r="7080" spans="24:25">
      <c r="X7080" s="19"/>
      <c r="Y7080" s="20"/>
    </row>
    <row r="7081" spans="24:25">
      <c r="X7081" s="19"/>
      <c r="Y7081" s="20"/>
    </row>
    <row r="7082" spans="24:25">
      <c r="X7082" s="19"/>
      <c r="Y7082" s="20"/>
    </row>
    <row r="7083" spans="24:25">
      <c r="X7083" s="19"/>
      <c r="Y7083" s="20"/>
    </row>
    <row r="7084" spans="24:25">
      <c r="X7084" s="19"/>
      <c r="Y7084" s="20"/>
    </row>
    <row r="7085" spans="24:25">
      <c r="X7085" s="19"/>
      <c r="Y7085" s="20"/>
    </row>
    <row r="7086" spans="24:25">
      <c r="X7086" s="19"/>
      <c r="Y7086" s="20"/>
    </row>
    <row r="7087" spans="24:25">
      <c r="X7087" s="19"/>
      <c r="Y7087" s="20"/>
    </row>
    <row r="7088" spans="24:25">
      <c r="X7088" s="19"/>
      <c r="Y7088" s="20"/>
    </row>
    <row r="7089" spans="24:25">
      <c r="X7089" s="19"/>
      <c r="Y7089" s="20"/>
    </row>
    <row r="7090" spans="24:25">
      <c r="X7090" s="19"/>
      <c r="Y7090" s="20"/>
    </row>
    <row r="7091" spans="24:25">
      <c r="X7091" s="19"/>
      <c r="Y7091" s="20"/>
    </row>
    <row r="7092" spans="24:25">
      <c r="X7092" s="19"/>
      <c r="Y7092" s="20"/>
    </row>
    <row r="7093" spans="24:25">
      <c r="X7093" s="19"/>
      <c r="Y7093" s="20"/>
    </row>
    <row r="7094" spans="24:25">
      <c r="X7094" s="19"/>
      <c r="Y7094" s="20"/>
    </row>
    <row r="7095" spans="24:25">
      <c r="X7095" s="19"/>
      <c r="Y7095" s="20"/>
    </row>
    <row r="7096" spans="24:25">
      <c r="X7096" s="19"/>
      <c r="Y7096" s="20"/>
    </row>
    <row r="7097" spans="24:25">
      <c r="X7097" s="19"/>
      <c r="Y7097" s="20"/>
    </row>
    <row r="7098" spans="24:25">
      <c r="X7098" s="19"/>
      <c r="Y7098" s="20"/>
    </row>
    <row r="7099" spans="24:25">
      <c r="X7099" s="19"/>
      <c r="Y7099" s="20"/>
    </row>
    <row r="7100" spans="24:25">
      <c r="X7100" s="19"/>
      <c r="Y7100" s="20"/>
    </row>
    <row r="7101" spans="24:25">
      <c r="X7101" s="19"/>
      <c r="Y7101" s="20"/>
    </row>
    <row r="7102" spans="24:25">
      <c r="X7102" s="19"/>
      <c r="Y7102" s="20"/>
    </row>
    <row r="7103" spans="24:25">
      <c r="X7103" s="19"/>
      <c r="Y7103" s="20"/>
    </row>
    <row r="7104" spans="24:25">
      <c r="X7104" s="19"/>
      <c r="Y7104" s="20"/>
    </row>
    <row r="7105" spans="24:25">
      <c r="X7105" s="19"/>
      <c r="Y7105" s="20"/>
    </row>
    <row r="7106" spans="24:25">
      <c r="X7106" s="19"/>
      <c r="Y7106" s="20"/>
    </row>
    <row r="7107" spans="24:25">
      <c r="X7107" s="19"/>
      <c r="Y7107" s="20"/>
    </row>
    <row r="7108" spans="24:25">
      <c r="X7108" s="19"/>
      <c r="Y7108" s="20"/>
    </row>
    <row r="7109" spans="24:25">
      <c r="X7109" s="19"/>
      <c r="Y7109" s="20"/>
    </row>
    <row r="7110" spans="24:25">
      <c r="X7110" s="19"/>
      <c r="Y7110" s="20"/>
    </row>
    <row r="7111" spans="24:25">
      <c r="X7111" s="19"/>
      <c r="Y7111" s="20"/>
    </row>
    <row r="7112" spans="24:25">
      <c r="X7112" s="19"/>
      <c r="Y7112" s="20"/>
    </row>
    <row r="7113" spans="24:25">
      <c r="X7113" s="19"/>
      <c r="Y7113" s="20"/>
    </row>
    <row r="7114" spans="24:25">
      <c r="X7114" s="19"/>
      <c r="Y7114" s="20"/>
    </row>
    <row r="7115" spans="24:25">
      <c r="X7115" s="19"/>
      <c r="Y7115" s="20"/>
    </row>
    <row r="7116" spans="24:25">
      <c r="X7116" s="19"/>
      <c r="Y7116" s="20"/>
    </row>
    <row r="7117" spans="24:25">
      <c r="X7117" s="19"/>
      <c r="Y7117" s="20"/>
    </row>
    <row r="7118" spans="24:25">
      <c r="X7118" s="19"/>
      <c r="Y7118" s="20"/>
    </row>
    <row r="7119" spans="24:25">
      <c r="X7119" s="19"/>
      <c r="Y7119" s="20"/>
    </row>
    <row r="7120" spans="24:25">
      <c r="X7120" s="19"/>
      <c r="Y7120" s="20"/>
    </row>
    <row r="7121" spans="24:25">
      <c r="X7121" s="19"/>
      <c r="Y7121" s="20"/>
    </row>
    <row r="7122" spans="24:25">
      <c r="X7122" s="19"/>
      <c r="Y7122" s="20"/>
    </row>
    <row r="7123" spans="24:25">
      <c r="X7123" s="19"/>
      <c r="Y7123" s="20"/>
    </row>
    <row r="7124" spans="24:25">
      <c r="X7124" s="19"/>
      <c r="Y7124" s="20"/>
    </row>
    <row r="7125" spans="24:25">
      <c r="X7125" s="19"/>
      <c r="Y7125" s="20"/>
    </row>
    <row r="7126" spans="24:25">
      <c r="X7126" s="19"/>
      <c r="Y7126" s="20"/>
    </row>
    <row r="7127" spans="24:25">
      <c r="X7127" s="19"/>
      <c r="Y7127" s="20"/>
    </row>
    <row r="7128" spans="24:25">
      <c r="X7128" s="19"/>
      <c r="Y7128" s="20"/>
    </row>
    <row r="7129" spans="24:25">
      <c r="X7129" s="19"/>
      <c r="Y7129" s="20"/>
    </row>
    <row r="7130" spans="24:25">
      <c r="X7130" s="19"/>
      <c r="Y7130" s="20"/>
    </row>
    <row r="7131" spans="24:25">
      <c r="X7131" s="19"/>
      <c r="Y7131" s="20"/>
    </row>
    <row r="7132" spans="24:25">
      <c r="X7132" s="19"/>
      <c r="Y7132" s="20"/>
    </row>
    <row r="7133" spans="24:25">
      <c r="X7133" s="19"/>
      <c r="Y7133" s="20"/>
    </row>
    <row r="7134" spans="24:25">
      <c r="X7134" s="19"/>
      <c r="Y7134" s="20"/>
    </row>
    <row r="7135" spans="24:25">
      <c r="X7135" s="19"/>
      <c r="Y7135" s="20"/>
    </row>
    <row r="7136" spans="24:25">
      <c r="X7136" s="19"/>
      <c r="Y7136" s="20"/>
    </row>
    <row r="7137" spans="24:25">
      <c r="X7137" s="19"/>
      <c r="Y7137" s="20"/>
    </row>
    <row r="7138" spans="24:25">
      <c r="X7138" s="19"/>
      <c r="Y7138" s="20"/>
    </row>
    <row r="7139" spans="24:25">
      <c r="X7139" s="19"/>
      <c r="Y7139" s="20"/>
    </row>
    <row r="7140" spans="24:25">
      <c r="X7140" s="19"/>
      <c r="Y7140" s="20"/>
    </row>
    <row r="7141" spans="24:25">
      <c r="X7141" s="19"/>
      <c r="Y7141" s="20"/>
    </row>
    <row r="7142" spans="24:25">
      <c r="X7142" s="19"/>
      <c r="Y7142" s="20"/>
    </row>
    <row r="7143" spans="24:25">
      <c r="X7143" s="19"/>
      <c r="Y7143" s="20"/>
    </row>
    <row r="7144" spans="24:25">
      <c r="X7144" s="19"/>
      <c r="Y7144" s="20"/>
    </row>
    <row r="7145" spans="24:25">
      <c r="X7145" s="19"/>
      <c r="Y7145" s="20"/>
    </row>
    <row r="7146" spans="24:25">
      <c r="X7146" s="19"/>
      <c r="Y7146" s="20"/>
    </row>
    <row r="7147" spans="24:25">
      <c r="X7147" s="19"/>
      <c r="Y7147" s="20"/>
    </row>
    <row r="7148" spans="24:25">
      <c r="X7148" s="19"/>
      <c r="Y7148" s="20"/>
    </row>
    <row r="7149" spans="24:25">
      <c r="X7149" s="19"/>
      <c r="Y7149" s="20"/>
    </row>
    <row r="7150" spans="24:25">
      <c r="X7150" s="19"/>
      <c r="Y7150" s="20"/>
    </row>
    <row r="7151" spans="24:25">
      <c r="X7151" s="19"/>
      <c r="Y7151" s="20"/>
    </row>
    <row r="7152" spans="24:25">
      <c r="X7152" s="19"/>
      <c r="Y7152" s="20"/>
    </row>
    <row r="7153" spans="24:25">
      <c r="X7153" s="19"/>
      <c r="Y7153" s="20"/>
    </row>
    <row r="7154" spans="24:25">
      <c r="X7154" s="19"/>
      <c r="Y7154" s="20"/>
    </row>
    <row r="7155" spans="24:25">
      <c r="X7155" s="19"/>
      <c r="Y7155" s="20"/>
    </row>
    <row r="7156" spans="24:25">
      <c r="X7156" s="19"/>
      <c r="Y7156" s="20"/>
    </row>
    <row r="7157" spans="24:25">
      <c r="X7157" s="19"/>
      <c r="Y7157" s="20"/>
    </row>
    <row r="7158" spans="24:25">
      <c r="X7158" s="19"/>
      <c r="Y7158" s="20"/>
    </row>
    <row r="7159" spans="24:25">
      <c r="X7159" s="19"/>
      <c r="Y7159" s="20"/>
    </row>
    <row r="7160" spans="24:25">
      <c r="X7160" s="19"/>
      <c r="Y7160" s="20"/>
    </row>
    <row r="7161" spans="24:25">
      <c r="X7161" s="19"/>
      <c r="Y7161" s="20"/>
    </row>
    <row r="7162" spans="24:25">
      <c r="X7162" s="19"/>
      <c r="Y7162" s="20"/>
    </row>
    <row r="7163" spans="24:25">
      <c r="X7163" s="19"/>
      <c r="Y7163" s="20"/>
    </row>
    <row r="7164" spans="24:25">
      <c r="X7164" s="19"/>
      <c r="Y7164" s="20"/>
    </row>
    <row r="7165" spans="24:25">
      <c r="X7165" s="19"/>
      <c r="Y7165" s="20"/>
    </row>
    <row r="7166" spans="24:25">
      <c r="X7166" s="19"/>
      <c r="Y7166" s="20"/>
    </row>
    <row r="7167" spans="24:25">
      <c r="X7167" s="19"/>
      <c r="Y7167" s="20"/>
    </row>
    <row r="7168" spans="24:25">
      <c r="X7168" s="19"/>
      <c r="Y7168" s="20"/>
    </row>
    <row r="7169" spans="24:25">
      <c r="X7169" s="19"/>
      <c r="Y7169" s="20"/>
    </row>
    <row r="7170" spans="24:25">
      <c r="X7170" s="19"/>
      <c r="Y7170" s="20"/>
    </row>
    <row r="7171" spans="24:25">
      <c r="X7171" s="19"/>
      <c r="Y7171" s="20"/>
    </row>
    <row r="7172" spans="24:25">
      <c r="X7172" s="19"/>
      <c r="Y7172" s="20"/>
    </row>
    <row r="7173" spans="24:25">
      <c r="X7173" s="19"/>
      <c r="Y7173" s="20"/>
    </row>
    <row r="7174" spans="24:25">
      <c r="X7174" s="19"/>
      <c r="Y7174" s="20"/>
    </row>
    <row r="7175" spans="24:25">
      <c r="X7175" s="19"/>
      <c r="Y7175" s="20"/>
    </row>
    <row r="7176" spans="24:25">
      <c r="X7176" s="19"/>
      <c r="Y7176" s="20"/>
    </row>
    <row r="7177" spans="24:25">
      <c r="X7177" s="19"/>
      <c r="Y7177" s="20"/>
    </row>
    <row r="7178" spans="24:25">
      <c r="X7178" s="19"/>
      <c r="Y7178" s="20"/>
    </row>
    <row r="7179" spans="24:25">
      <c r="X7179" s="19"/>
      <c r="Y7179" s="20"/>
    </row>
    <row r="7180" spans="24:25">
      <c r="X7180" s="19"/>
      <c r="Y7180" s="20"/>
    </row>
    <row r="7181" spans="24:25">
      <c r="X7181" s="19"/>
      <c r="Y7181" s="20"/>
    </row>
    <row r="7182" spans="24:25">
      <c r="X7182" s="19"/>
      <c r="Y7182" s="20"/>
    </row>
    <row r="7183" spans="24:25">
      <c r="X7183" s="19"/>
      <c r="Y7183" s="20"/>
    </row>
    <row r="7184" spans="24:25">
      <c r="X7184" s="19"/>
      <c r="Y7184" s="20"/>
    </row>
    <row r="7185" spans="24:25">
      <c r="X7185" s="19"/>
      <c r="Y7185" s="20"/>
    </row>
    <row r="7186" spans="24:25">
      <c r="X7186" s="19"/>
      <c r="Y7186" s="20"/>
    </row>
    <row r="7187" spans="24:25">
      <c r="X7187" s="19"/>
      <c r="Y7187" s="20"/>
    </row>
    <row r="7188" spans="24:25">
      <c r="X7188" s="19"/>
      <c r="Y7188" s="20"/>
    </row>
    <row r="7189" spans="24:25">
      <c r="X7189" s="19"/>
      <c r="Y7189" s="20"/>
    </row>
    <row r="7190" spans="24:25">
      <c r="X7190" s="19"/>
      <c r="Y7190" s="20"/>
    </row>
    <row r="7191" spans="24:25">
      <c r="X7191" s="19"/>
      <c r="Y7191" s="20"/>
    </row>
    <row r="7192" spans="24:25">
      <c r="X7192" s="19"/>
      <c r="Y7192" s="20"/>
    </row>
    <row r="7193" spans="24:25">
      <c r="X7193" s="19"/>
      <c r="Y7193" s="20"/>
    </row>
    <row r="7194" spans="24:25">
      <c r="X7194" s="19"/>
      <c r="Y7194" s="20"/>
    </row>
    <row r="7195" spans="24:25">
      <c r="X7195" s="19"/>
      <c r="Y7195" s="20"/>
    </row>
    <row r="7196" spans="24:25">
      <c r="X7196" s="19"/>
      <c r="Y7196" s="20"/>
    </row>
    <row r="7197" spans="24:25">
      <c r="X7197" s="19"/>
      <c r="Y7197" s="20"/>
    </row>
    <row r="7198" spans="24:25">
      <c r="X7198" s="19"/>
      <c r="Y7198" s="20"/>
    </row>
    <row r="7199" spans="24:25">
      <c r="X7199" s="19"/>
      <c r="Y7199" s="20"/>
    </row>
    <row r="7200" spans="24:25">
      <c r="X7200" s="19"/>
      <c r="Y7200" s="20"/>
    </row>
    <row r="7201" spans="24:25">
      <c r="X7201" s="19"/>
      <c r="Y7201" s="20"/>
    </row>
    <row r="7202" spans="24:25">
      <c r="X7202" s="19"/>
      <c r="Y7202" s="20"/>
    </row>
    <row r="7203" spans="24:25">
      <c r="X7203" s="19"/>
      <c r="Y7203" s="20"/>
    </row>
    <row r="7204" spans="24:25">
      <c r="X7204" s="19"/>
      <c r="Y7204" s="20"/>
    </row>
    <row r="7205" spans="24:25">
      <c r="X7205" s="19"/>
      <c r="Y7205" s="20"/>
    </row>
    <row r="7206" spans="24:25">
      <c r="X7206" s="19"/>
      <c r="Y7206" s="20"/>
    </row>
    <row r="7207" spans="24:25">
      <c r="X7207" s="19"/>
      <c r="Y7207" s="20"/>
    </row>
    <row r="7208" spans="24:25">
      <c r="X7208" s="19"/>
      <c r="Y7208" s="20"/>
    </row>
    <row r="7209" spans="24:25">
      <c r="X7209" s="19"/>
      <c r="Y7209" s="20"/>
    </row>
    <row r="7210" spans="24:25">
      <c r="X7210" s="19"/>
      <c r="Y7210" s="20"/>
    </row>
    <row r="7211" spans="24:25">
      <c r="X7211" s="19"/>
      <c r="Y7211" s="20"/>
    </row>
    <row r="7212" spans="24:25">
      <c r="X7212" s="19"/>
      <c r="Y7212" s="20"/>
    </row>
    <row r="7213" spans="24:25">
      <c r="X7213" s="19"/>
      <c r="Y7213" s="20"/>
    </row>
    <row r="7214" spans="24:25">
      <c r="X7214" s="19"/>
      <c r="Y7214" s="20"/>
    </row>
    <row r="7215" spans="24:25">
      <c r="X7215" s="19"/>
      <c r="Y7215" s="20"/>
    </row>
    <row r="7216" spans="24:25">
      <c r="X7216" s="19"/>
      <c r="Y7216" s="20"/>
    </row>
    <row r="7217" spans="24:25">
      <c r="X7217" s="19"/>
      <c r="Y7217" s="20"/>
    </row>
    <row r="7218" spans="24:25">
      <c r="X7218" s="19"/>
      <c r="Y7218" s="20"/>
    </row>
    <row r="7219" spans="24:25">
      <c r="X7219" s="19"/>
      <c r="Y7219" s="20"/>
    </row>
    <row r="7220" spans="24:25">
      <c r="X7220" s="19"/>
      <c r="Y7220" s="20"/>
    </row>
    <row r="7221" spans="24:25">
      <c r="X7221" s="19"/>
      <c r="Y7221" s="20"/>
    </row>
    <row r="7222" spans="24:25">
      <c r="X7222" s="19"/>
      <c r="Y7222" s="20"/>
    </row>
    <row r="7223" spans="24:25">
      <c r="X7223" s="19"/>
      <c r="Y7223" s="20"/>
    </row>
    <row r="7224" spans="24:25">
      <c r="X7224" s="19"/>
      <c r="Y7224" s="20"/>
    </row>
    <row r="7225" spans="24:25">
      <c r="X7225" s="19"/>
      <c r="Y7225" s="20"/>
    </row>
    <row r="7226" spans="24:25">
      <c r="X7226" s="19"/>
      <c r="Y7226" s="20"/>
    </row>
    <row r="7227" spans="24:25">
      <c r="X7227" s="19"/>
      <c r="Y7227" s="20"/>
    </row>
    <row r="7228" spans="24:25">
      <c r="X7228" s="19"/>
      <c r="Y7228" s="20"/>
    </row>
    <row r="7229" spans="24:25">
      <c r="X7229" s="19"/>
      <c r="Y7229" s="20"/>
    </row>
    <row r="7230" spans="24:25">
      <c r="X7230" s="19"/>
      <c r="Y7230" s="20"/>
    </row>
    <row r="7231" spans="24:25">
      <c r="X7231" s="19"/>
      <c r="Y7231" s="20"/>
    </row>
    <row r="7232" spans="24:25">
      <c r="X7232" s="19"/>
      <c r="Y7232" s="20"/>
    </row>
    <row r="7233" spans="24:25">
      <c r="X7233" s="19"/>
      <c r="Y7233" s="20"/>
    </row>
    <row r="7234" spans="24:25">
      <c r="X7234" s="19"/>
      <c r="Y7234" s="20"/>
    </row>
    <row r="7235" spans="24:25">
      <c r="X7235" s="19"/>
      <c r="Y7235" s="20"/>
    </row>
    <row r="7236" spans="24:25">
      <c r="X7236" s="19"/>
      <c r="Y7236" s="20"/>
    </row>
    <row r="7237" spans="24:25">
      <c r="X7237" s="19"/>
      <c r="Y7237" s="20"/>
    </row>
    <row r="7238" spans="24:25">
      <c r="X7238" s="19"/>
      <c r="Y7238" s="20"/>
    </row>
    <row r="7239" spans="24:25">
      <c r="X7239" s="19"/>
      <c r="Y7239" s="20"/>
    </row>
    <row r="7240" spans="24:25">
      <c r="X7240" s="19"/>
      <c r="Y7240" s="20"/>
    </row>
    <row r="7241" spans="24:25">
      <c r="X7241" s="19"/>
      <c r="Y7241" s="20"/>
    </row>
    <row r="7242" spans="24:25">
      <c r="X7242" s="19"/>
      <c r="Y7242" s="20"/>
    </row>
    <row r="7243" spans="24:25">
      <c r="X7243" s="19"/>
      <c r="Y7243" s="20"/>
    </row>
    <row r="7244" spans="24:25">
      <c r="X7244" s="19"/>
      <c r="Y7244" s="20"/>
    </row>
    <row r="7245" spans="24:25">
      <c r="X7245" s="19"/>
      <c r="Y7245" s="20"/>
    </row>
    <row r="7246" spans="24:25">
      <c r="X7246" s="19"/>
      <c r="Y7246" s="20"/>
    </row>
    <row r="7247" spans="24:25">
      <c r="X7247" s="19"/>
      <c r="Y7247" s="20"/>
    </row>
    <row r="7248" spans="24:25">
      <c r="X7248" s="19"/>
      <c r="Y7248" s="20"/>
    </row>
    <row r="7249" spans="24:25">
      <c r="X7249" s="19"/>
      <c r="Y7249" s="20"/>
    </row>
    <row r="7250" spans="24:25">
      <c r="X7250" s="19"/>
      <c r="Y7250" s="20"/>
    </row>
    <row r="7251" spans="24:25">
      <c r="X7251" s="19"/>
      <c r="Y7251" s="20"/>
    </row>
    <row r="7252" spans="24:25">
      <c r="X7252" s="19"/>
      <c r="Y7252" s="20"/>
    </row>
    <row r="7253" spans="24:25">
      <c r="X7253" s="19"/>
      <c r="Y7253" s="20"/>
    </row>
    <row r="7254" spans="24:25">
      <c r="X7254" s="19"/>
      <c r="Y7254" s="20"/>
    </row>
    <row r="7255" spans="24:25">
      <c r="X7255" s="19"/>
      <c r="Y7255" s="20"/>
    </row>
    <row r="7256" spans="24:25">
      <c r="X7256" s="19"/>
      <c r="Y7256" s="20"/>
    </row>
    <row r="7257" spans="24:25">
      <c r="X7257" s="19"/>
      <c r="Y7257" s="20"/>
    </row>
    <row r="7258" spans="24:25">
      <c r="X7258" s="19"/>
      <c r="Y7258" s="20"/>
    </row>
    <row r="7259" spans="24:25">
      <c r="X7259" s="19"/>
      <c r="Y7259" s="20"/>
    </row>
    <row r="7260" spans="24:25">
      <c r="X7260" s="19"/>
      <c r="Y7260" s="20"/>
    </row>
    <row r="7261" spans="24:25">
      <c r="X7261" s="19"/>
      <c r="Y7261" s="20"/>
    </row>
    <row r="7262" spans="24:25">
      <c r="X7262" s="19"/>
      <c r="Y7262" s="20"/>
    </row>
    <row r="7263" spans="24:25">
      <c r="X7263" s="19"/>
      <c r="Y7263" s="20"/>
    </row>
    <row r="7264" spans="24:25">
      <c r="X7264" s="19"/>
      <c r="Y7264" s="20"/>
    </row>
    <row r="7265" spans="24:25">
      <c r="X7265" s="19"/>
      <c r="Y7265" s="20"/>
    </row>
    <row r="7266" spans="24:25">
      <c r="X7266" s="19"/>
      <c r="Y7266" s="20"/>
    </row>
    <row r="7267" spans="24:25">
      <c r="X7267" s="19"/>
      <c r="Y7267" s="20"/>
    </row>
    <row r="7268" spans="24:25">
      <c r="X7268" s="19"/>
      <c r="Y7268" s="20"/>
    </row>
    <row r="7269" spans="24:25">
      <c r="X7269" s="19"/>
      <c r="Y7269" s="20"/>
    </row>
    <row r="7270" spans="24:25">
      <c r="X7270" s="19"/>
      <c r="Y7270" s="20"/>
    </row>
    <row r="7271" spans="24:25">
      <c r="X7271" s="19"/>
      <c r="Y7271" s="20"/>
    </row>
    <row r="7272" spans="24:25">
      <c r="X7272" s="19"/>
      <c r="Y7272" s="20"/>
    </row>
    <row r="7273" spans="24:25">
      <c r="X7273" s="19"/>
      <c r="Y7273" s="20"/>
    </row>
    <row r="7274" spans="24:25">
      <c r="X7274" s="19"/>
      <c r="Y7274" s="20"/>
    </row>
    <row r="7275" spans="24:25">
      <c r="X7275" s="19"/>
      <c r="Y7275" s="20"/>
    </row>
    <row r="7276" spans="24:25">
      <c r="X7276" s="19"/>
      <c r="Y7276" s="20"/>
    </row>
    <row r="7277" spans="24:25">
      <c r="X7277" s="19"/>
      <c r="Y7277" s="20"/>
    </row>
    <row r="7278" spans="24:25">
      <c r="X7278" s="19"/>
      <c r="Y7278" s="20"/>
    </row>
    <row r="7279" spans="24:25">
      <c r="X7279" s="19"/>
      <c r="Y7279" s="20"/>
    </row>
    <row r="7280" spans="24:25">
      <c r="X7280" s="19"/>
      <c r="Y7280" s="20"/>
    </row>
    <row r="7281" spans="24:25">
      <c r="X7281" s="19"/>
      <c r="Y7281" s="20"/>
    </row>
    <row r="7282" spans="24:25">
      <c r="X7282" s="19"/>
      <c r="Y7282" s="20"/>
    </row>
    <row r="7283" spans="24:25">
      <c r="X7283" s="19"/>
      <c r="Y7283" s="20"/>
    </row>
    <row r="7284" spans="24:25">
      <c r="X7284" s="19"/>
      <c r="Y7284" s="20"/>
    </row>
    <row r="7285" spans="24:25">
      <c r="X7285" s="19"/>
      <c r="Y7285" s="20"/>
    </row>
    <row r="7286" spans="24:25">
      <c r="X7286" s="19"/>
      <c r="Y7286" s="20"/>
    </row>
    <row r="7287" spans="24:25">
      <c r="X7287" s="19"/>
      <c r="Y7287" s="20"/>
    </row>
    <row r="7288" spans="24:25">
      <c r="X7288" s="19"/>
      <c r="Y7288" s="20"/>
    </row>
    <row r="7289" spans="24:25">
      <c r="X7289" s="19"/>
      <c r="Y7289" s="20"/>
    </row>
    <row r="7290" spans="24:25">
      <c r="X7290" s="19"/>
      <c r="Y7290" s="20"/>
    </row>
    <row r="7291" spans="24:25">
      <c r="X7291" s="19"/>
      <c r="Y7291" s="20"/>
    </row>
    <row r="7292" spans="24:25">
      <c r="X7292" s="19"/>
      <c r="Y7292" s="20"/>
    </row>
    <row r="7293" spans="24:25">
      <c r="X7293" s="19"/>
      <c r="Y7293" s="20"/>
    </row>
    <row r="7294" spans="24:25">
      <c r="X7294" s="19"/>
      <c r="Y7294" s="20"/>
    </row>
    <row r="7295" spans="24:25">
      <c r="X7295" s="19"/>
      <c r="Y7295" s="20"/>
    </row>
    <row r="7296" spans="24:25">
      <c r="X7296" s="19"/>
      <c r="Y7296" s="20"/>
    </row>
    <row r="7297" spans="24:25">
      <c r="X7297" s="19"/>
      <c r="Y7297" s="20"/>
    </row>
    <row r="7298" spans="24:25">
      <c r="X7298" s="19"/>
      <c r="Y7298" s="20"/>
    </row>
    <row r="7299" spans="24:25">
      <c r="X7299" s="19"/>
      <c r="Y7299" s="20"/>
    </row>
    <row r="7300" spans="24:25">
      <c r="X7300" s="19"/>
      <c r="Y7300" s="20"/>
    </row>
    <row r="7301" spans="24:25">
      <c r="X7301" s="19"/>
      <c r="Y7301" s="20"/>
    </row>
    <row r="7302" spans="24:25">
      <c r="X7302" s="19"/>
      <c r="Y7302" s="20"/>
    </row>
    <row r="7303" spans="24:25">
      <c r="X7303" s="19"/>
      <c r="Y7303" s="20"/>
    </row>
    <row r="7304" spans="24:25">
      <c r="X7304" s="19"/>
      <c r="Y7304" s="20"/>
    </row>
    <row r="7305" spans="24:25">
      <c r="X7305" s="19"/>
      <c r="Y7305" s="20"/>
    </row>
    <row r="7306" spans="24:25">
      <c r="X7306" s="19"/>
      <c r="Y7306" s="20"/>
    </row>
    <row r="7307" spans="24:25">
      <c r="X7307" s="19"/>
      <c r="Y7307" s="20"/>
    </row>
    <row r="7308" spans="24:25">
      <c r="X7308" s="19"/>
      <c r="Y7308" s="20"/>
    </row>
    <row r="7309" spans="24:25">
      <c r="X7309" s="19"/>
      <c r="Y7309" s="20"/>
    </row>
    <row r="7310" spans="24:25">
      <c r="X7310" s="19"/>
      <c r="Y7310" s="20"/>
    </row>
    <row r="7311" spans="24:25">
      <c r="X7311" s="19"/>
      <c r="Y7311" s="20"/>
    </row>
    <row r="7312" spans="24:25">
      <c r="X7312" s="19"/>
      <c r="Y7312" s="20"/>
    </row>
    <row r="7313" spans="24:25">
      <c r="X7313" s="19"/>
      <c r="Y7313" s="20"/>
    </row>
    <row r="7314" spans="24:25">
      <c r="X7314" s="19"/>
      <c r="Y7314" s="20"/>
    </row>
    <row r="7315" spans="24:25">
      <c r="X7315" s="19"/>
      <c r="Y7315" s="20"/>
    </row>
    <row r="7316" spans="24:25">
      <c r="X7316" s="19"/>
      <c r="Y7316" s="20"/>
    </row>
    <row r="7317" spans="24:25">
      <c r="X7317" s="19"/>
      <c r="Y7317" s="20"/>
    </row>
    <row r="7318" spans="24:25">
      <c r="X7318" s="19"/>
      <c r="Y7318" s="20"/>
    </row>
    <row r="7319" spans="24:25">
      <c r="X7319" s="19"/>
      <c r="Y7319" s="20"/>
    </row>
    <row r="7320" spans="24:25">
      <c r="X7320" s="19"/>
      <c r="Y7320" s="20"/>
    </row>
    <row r="7321" spans="24:25">
      <c r="X7321" s="19"/>
      <c r="Y7321" s="20"/>
    </row>
    <row r="7322" spans="24:25">
      <c r="X7322" s="19"/>
      <c r="Y7322" s="20"/>
    </row>
    <row r="7323" spans="24:25">
      <c r="X7323" s="19"/>
      <c r="Y7323" s="20"/>
    </row>
    <row r="7324" spans="24:25">
      <c r="X7324" s="19"/>
      <c r="Y7324" s="20"/>
    </row>
    <row r="7325" spans="24:25">
      <c r="X7325" s="19"/>
      <c r="Y7325" s="20"/>
    </row>
    <row r="7326" spans="24:25">
      <c r="X7326" s="19"/>
      <c r="Y7326" s="20"/>
    </row>
    <row r="7327" spans="24:25">
      <c r="X7327" s="19"/>
      <c r="Y7327" s="20"/>
    </row>
    <row r="7328" spans="24:25">
      <c r="X7328" s="19"/>
      <c r="Y7328" s="20"/>
    </row>
    <row r="7329" spans="24:25">
      <c r="X7329" s="19"/>
      <c r="Y7329" s="20"/>
    </row>
    <row r="7330" spans="24:25">
      <c r="X7330" s="19"/>
      <c r="Y7330" s="20"/>
    </row>
    <row r="7331" spans="24:25">
      <c r="X7331" s="19"/>
      <c r="Y7331" s="20"/>
    </row>
    <row r="7332" spans="24:25">
      <c r="X7332" s="19"/>
      <c r="Y7332" s="20"/>
    </row>
    <row r="7333" spans="24:25">
      <c r="X7333" s="19"/>
      <c r="Y7333" s="20"/>
    </row>
    <row r="7334" spans="24:25">
      <c r="X7334" s="19"/>
      <c r="Y7334" s="20"/>
    </row>
    <row r="7335" spans="24:25">
      <c r="X7335" s="19"/>
      <c r="Y7335" s="20"/>
    </row>
    <row r="7336" spans="24:25">
      <c r="X7336" s="19"/>
      <c r="Y7336" s="20"/>
    </row>
    <row r="7337" spans="24:25">
      <c r="X7337" s="19"/>
      <c r="Y7337" s="20"/>
    </row>
    <row r="7338" spans="24:25">
      <c r="X7338" s="19"/>
      <c r="Y7338" s="20"/>
    </row>
    <row r="7339" spans="24:25">
      <c r="X7339" s="19"/>
      <c r="Y7339" s="20"/>
    </row>
    <row r="7340" spans="24:25">
      <c r="X7340" s="19"/>
      <c r="Y7340" s="20"/>
    </row>
    <row r="7341" spans="24:25">
      <c r="X7341" s="19"/>
      <c r="Y7341" s="20"/>
    </row>
    <row r="7342" spans="24:25">
      <c r="X7342" s="19"/>
      <c r="Y7342" s="20"/>
    </row>
    <row r="7343" spans="24:25">
      <c r="X7343" s="19"/>
      <c r="Y7343" s="20"/>
    </row>
    <row r="7344" spans="24:25">
      <c r="X7344" s="19"/>
      <c r="Y7344" s="20"/>
    </row>
    <row r="7345" spans="24:25">
      <c r="X7345" s="19"/>
      <c r="Y7345" s="20"/>
    </row>
    <row r="7346" spans="24:25">
      <c r="X7346" s="19"/>
      <c r="Y7346" s="20"/>
    </row>
    <row r="7347" spans="24:25">
      <c r="X7347" s="19"/>
      <c r="Y7347" s="20"/>
    </row>
    <row r="7348" spans="24:25">
      <c r="X7348" s="19"/>
      <c r="Y7348" s="20"/>
    </row>
    <row r="7349" spans="24:25">
      <c r="X7349" s="19"/>
      <c r="Y7349" s="20"/>
    </row>
    <row r="7350" spans="24:25">
      <c r="X7350" s="19"/>
      <c r="Y7350" s="20"/>
    </row>
    <row r="7351" spans="24:25">
      <c r="X7351" s="19"/>
      <c r="Y7351" s="20"/>
    </row>
    <row r="7352" spans="24:25">
      <c r="X7352" s="19"/>
      <c r="Y7352" s="20"/>
    </row>
    <row r="7353" spans="24:25">
      <c r="X7353" s="19"/>
      <c r="Y7353" s="20"/>
    </row>
    <row r="7354" spans="24:25">
      <c r="X7354" s="19"/>
      <c r="Y7354" s="20"/>
    </row>
    <row r="7355" spans="24:25">
      <c r="X7355" s="19"/>
      <c r="Y7355" s="20"/>
    </row>
    <row r="7356" spans="24:25">
      <c r="X7356" s="19"/>
      <c r="Y7356" s="20"/>
    </row>
    <row r="7357" spans="24:25">
      <c r="X7357" s="19"/>
      <c r="Y7357" s="20"/>
    </row>
    <row r="7358" spans="24:25">
      <c r="X7358" s="19"/>
      <c r="Y7358" s="20"/>
    </row>
    <row r="7359" spans="24:25">
      <c r="X7359" s="19"/>
      <c r="Y7359" s="20"/>
    </row>
    <row r="7360" spans="24:25">
      <c r="X7360" s="19"/>
      <c r="Y7360" s="20"/>
    </row>
    <row r="7361" spans="24:25">
      <c r="X7361" s="19"/>
      <c r="Y7361" s="20"/>
    </row>
    <row r="7362" spans="24:25">
      <c r="X7362" s="19"/>
      <c r="Y7362" s="20"/>
    </row>
    <row r="7363" spans="24:25">
      <c r="X7363" s="19"/>
      <c r="Y7363" s="20"/>
    </row>
    <row r="7364" spans="24:25">
      <c r="X7364" s="19"/>
      <c r="Y7364" s="20"/>
    </row>
    <row r="7365" spans="24:25">
      <c r="X7365" s="19"/>
      <c r="Y7365" s="20"/>
    </row>
    <row r="7366" spans="24:25">
      <c r="X7366" s="19"/>
      <c r="Y7366" s="20"/>
    </row>
    <row r="7367" spans="24:25">
      <c r="X7367" s="19"/>
      <c r="Y7367" s="20"/>
    </row>
    <row r="7368" spans="24:25">
      <c r="X7368" s="19"/>
      <c r="Y7368" s="20"/>
    </row>
    <row r="7369" spans="24:25">
      <c r="X7369" s="19"/>
      <c r="Y7369" s="20"/>
    </row>
    <row r="7370" spans="24:25">
      <c r="X7370" s="19"/>
      <c r="Y7370" s="20"/>
    </row>
    <row r="7371" spans="24:25">
      <c r="X7371" s="19"/>
      <c r="Y7371" s="20"/>
    </row>
    <row r="7372" spans="24:25">
      <c r="X7372" s="19"/>
      <c r="Y7372" s="20"/>
    </row>
    <row r="7373" spans="24:25">
      <c r="X7373" s="19"/>
      <c r="Y7373" s="20"/>
    </row>
    <row r="7374" spans="24:25">
      <c r="X7374" s="19"/>
      <c r="Y7374" s="20"/>
    </row>
    <row r="7375" spans="24:25">
      <c r="X7375" s="19"/>
      <c r="Y7375" s="20"/>
    </row>
    <row r="7376" spans="24:25">
      <c r="X7376" s="19"/>
      <c r="Y7376" s="20"/>
    </row>
    <row r="7377" spans="24:25">
      <c r="X7377" s="19"/>
      <c r="Y7377" s="20"/>
    </row>
    <row r="7378" spans="24:25">
      <c r="X7378" s="19"/>
      <c r="Y7378" s="20"/>
    </row>
    <row r="7379" spans="24:25">
      <c r="X7379" s="19"/>
      <c r="Y7379" s="20"/>
    </row>
    <row r="7380" spans="24:25">
      <c r="X7380" s="19"/>
      <c r="Y7380" s="20"/>
    </row>
    <row r="7381" spans="24:25">
      <c r="X7381" s="19"/>
      <c r="Y7381" s="20"/>
    </row>
    <row r="7382" spans="24:25">
      <c r="X7382" s="19"/>
      <c r="Y7382" s="20"/>
    </row>
    <row r="7383" spans="24:25">
      <c r="X7383" s="19"/>
      <c r="Y7383" s="20"/>
    </row>
    <row r="7384" spans="24:25">
      <c r="X7384" s="19"/>
      <c r="Y7384" s="20"/>
    </row>
    <row r="7385" spans="24:25">
      <c r="X7385" s="19"/>
      <c r="Y7385" s="20"/>
    </row>
    <row r="7386" spans="24:25">
      <c r="X7386" s="19"/>
      <c r="Y7386" s="20"/>
    </row>
    <row r="7387" spans="24:25">
      <c r="X7387" s="19"/>
      <c r="Y7387" s="20"/>
    </row>
    <row r="7388" spans="24:25">
      <c r="X7388" s="19"/>
      <c r="Y7388" s="20"/>
    </row>
    <row r="7389" spans="24:25">
      <c r="X7389" s="19"/>
      <c r="Y7389" s="20"/>
    </row>
    <row r="7390" spans="24:25">
      <c r="X7390" s="19"/>
      <c r="Y7390" s="20"/>
    </row>
    <row r="7391" spans="24:25">
      <c r="X7391" s="19"/>
      <c r="Y7391" s="20"/>
    </row>
    <row r="7392" spans="24:25">
      <c r="X7392" s="19"/>
      <c r="Y7392" s="20"/>
    </row>
    <row r="7393" spans="24:25">
      <c r="X7393" s="19"/>
      <c r="Y7393" s="20"/>
    </row>
    <row r="7394" spans="24:25">
      <c r="X7394" s="19"/>
      <c r="Y7394" s="20"/>
    </row>
    <row r="7395" spans="24:25">
      <c r="X7395" s="19"/>
      <c r="Y7395" s="20"/>
    </row>
    <row r="7396" spans="24:25">
      <c r="X7396" s="19"/>
      <c r="Y7396" s="20"/>
    </row>
    <row r="7397" spans="24:25">
      <c r="X7397" s="19"/>
      <c r="Y7397" s="20"/>
    </row>
    <row r="7398" spans="24:25">
      <c r="X7398" s="19"/>
      <c r="Y7398" s="20"/>
    </row>
    <row r="7399" spans="24:25">
      <c r="X7399" s="19"/>
      <c r="Y7399" s="20"/>
    </row>
    <row r="7400" spans="24:25">
      <c r="X7400" s="19"/>
      <c r="Y7400" s="20"/>
    </row>
    <row r="7401" spans="24:25">
      <c r="X7401" s="19"/>
      <c r="Y7401" s="20"/>
    </row>
    <row r="7402" spans="24:25">
      <c r="X7402" s="19"/>
      <c r="Y7402" s="20"/>
    </row>
    <row r="7403" spans="24:25">
      <c r="X7403" s="19"/>
      <c r="Y7403" s="20"/>
    </row>
    <row r="7404" spans="24:25">
      <c r="X7404" s="19"/>
      <c r="Y7404" s="20"/>
    </row>
    <row r="7405" spans="24:25">
      <c r="X7405" s="19"/>
      <c r="Y7405" s="20"/>
    </row>
    <row r="7406" spans="24:25">
      <c r="X7406" s="19"/>
      <c r="Y7406" s="20"/>
    </row>
    <row r="7407" spans="24:25">
      <c r="X7407" s="19"/>
      <c r="Y7407" s="20"/>
    </row>
    <row r="7408" spans="24:25">
      <c r="X7408" s="19"/>
      <c r="Y7408" s="20"/>
    </row>
    <row r="7409" spans="24:25">
      <c r="X7409" s="19"/>
      <c r="Y7409" s="20"/>
    </row>
    <row r="7410" spans="24:25">
      <c r="X7410" s="19"/>
      <c r="Y7410" s="20"/>
    </row>
    <row r="7411" spans="24:25">
      <c r="X7411" s="19"/>
      <c r="Y7411" s="20"/>
    </row>
    <row r="7412" spans="24:25">
      <c r="X7412" s="19"/>
      <c r="Y7412" s="20"/>
    </row>
    <row r="7413" spans="24:25">
      <c r="X7413" s="19"/>
      <c r="Y7413" s="20"/>
    </row>
    <row r="7414" spans="24:25">
      <c r="X7414" s="19"/>
      <c r="Y7414" s="20"/>
    </row>
    <row r="7415" spans="24:25">
      <c r="X7415" s="19"/>
      <c r="Y7415" s="20"/>
    </row>
    <row r="7416" spans="24:25">
      <c r="X7416" s="19"/>
      <c r="Y7416" s="20"/>
    </row>
    <row r="7417" spans="24:25">
      <c r="X7417" s="19"/>
      <c r="Y7417" s="20"/>
    </row>
    <row r="7418" spans="24:25">
      <c r="X7418" s="19"/>
      <c r="Y7418" s="20"/>
    </row>
    <row r="7419" spans="24:25">
      <c r="X7419" s="19"/>
      <c r="Y7419" s="20"/>
    </row>
    <row r="7420" spans="24:25">
      <c r="X7420" s="19"/>
      <c r="Y7420" s="20"/>
    </row>
    <row r="7421" spans="24:25">
      <c r="X7421" s="19"/>
      <c r="Y7421" s="20"/>
    </row>
    <row r="7422" spans="24:25">
      <c r="X7422" s="19"/>
      <c r="Y7422" s="20"/>
    </row>
    <row r="7423" spans="24:25">
      <c r="X7423" s="19"/>
      <c r="Y7423" s="20"/>
    </row>
    <row r="7424" spans="24:25">
      <c r="X7424" s="19"/>
      <c r="Y7424" s="20"/>
    </row>
    <row r="7425" spans="24:25">
      <c r="X7425" s="19"/>
      <c r="Y7425" s="20"/>
    </row>
    <row r="7426" spans="24:25">
      <c r="X7426" s="19"/>
      <c r="Y7426" s="20"/>
    </row>
    <row r="7427" spans="24:25">
      <c r="X7427" s="19"/>
      <c r="Y7427" s="20"/>
    </row>
    <row r="7428" spans="24:25">
      <c r="X7428" s="19"/>
      <c r="Y7428" s="20"/>
    </row>
    <row r="7429" spans="24:25">
      <c r="X7429" s="19"/>
      <c r="Y7429" s="20"/>
    </row>
    <row r="7430" spans="24:25">
      <c r="X7430" s="19"/>
      <c r="Y7430" s="20"/>
    </row>
    <row r="7431" spans="24:25">
      <c r="X7431" s="19"/>
      <c r="Y7431" s="20"/>
    </row>
    <row r="7432" spans="24:25">
      <c r="X7432" s="19"/>
      <c r="Y7432" s="20"/>
    </row>
    <row r="7433" spans="24:25">
      <c r="X7433" s="19"/>
      <c r="Y7433" s="20"/>
    </row>
    <row r="7434" spans="24:25">
      <c r="X7434" s="19"/>
      <c r="Y7434" s="20"/>
    </row>
    <row r="7435" spans="24:25">
      <c r="X7435" s="19"/>
      <c r="Y7435" s="20"/>
    </row>
    <row r="7436" spans="24:25">
      <c r="X7436" s="19"/>
      <c r="Y7436" s="20"/>
    </row>
    <row r="7437" spans="24:25">
      <c r="X7437" s="19"/>
      <c r="Y7437" s="20"/>
    </row>
    <row r="7438" spans="24:25">
      <c r="X7438" s="19"/>
      <c r="Y7438" s="20"/>
    </row>
    <row r="7439" spans="24:25">
      <c r="X7439" s="19"/>
      <c r="Y7439" s="20"/>
    </row>
    <row r="7440" spans="24:25">
      <c r="X7440" s="19"/>
      <c r="Y7440" s="20"/>
    </row>
    <row r="7441" spans="24:25">
      <c r="X7441" s="19"/>
      <c r="Y7441" s="20"/>
    </row>
    <row r="7442" spans="24:25">
      <c r="X7442" s="19"/>
      <c r="Y7442" s="20"/>
    </row>
    <row r="7443" spans="24:25">
      <c r="X7443" s="19"/>
      <c r="Y7443" s="20"/>
    </row>
    <row r="7444" spans="24:25">
      <c r="X7444" s="19"/>
      <c r="Y7444" s="20"/>
    </row>
    <row r="7445" spans="24:25">
      <c r="X7445" s="19"/>
      <c r="Y7445" s="20"/>
    </row>
    <row r="7446" spans="24:25">
      <c r="X7446" s="19"/>
      <c r="Y7446" s="20"/>
    </row>
    <row r="7447" spans="24:25">
      <c r="X7447" s="19"/>
      <c r="Y7447" s="20"/>
    </row>
    <row r="7448" spans="24:25">
      <c r="X7448" s="19"/>
      <c r="Y7448" s="20"/>
    </row>
    <row r="7449" spans="24:25">
      <c r="X7449" s="19"/>
      <c r="Y7449" s="20"/>
    </row>
    <row r="7450" spans="24:25">
      <c r="X7450" s="19"/>
      <c r="Y7450" s="20"/>
    </row>
    <row r="7451" spans="24:25">
      <c r="X7451" s="19"/>
      <c r="Y7451" s="20"/>
    </row>
    <row r="7452" spans="24:25">
      <c r="X7452" s="19"/>
      <c r="Y7452" s="20"/>
    </row>
    <row r="7453" spans="24:25">
      <c r="X7453" s="19"/>
      <c r="Y7453" s="20"/>
    </row>
    <row r="7454" spans="24:25">
      <c r="X7454" s="19"/>
      <c r="Y7454" s="20"/>
    </row>
    <row r="7455" spans="24:25">
      <c r="X7455" s="19"/>
      <c r="Y7455" s="20"/>
    </row>
    <row r="7456" spans="24:25">
      <c r="X7456" s="19"/>
      <c r="Y7456" s="20"/>
    </row>
    <row r="7457" spans="24:25">
      <c r="X7457" s="19"/>
      <c r="Y7457" s="20"/>
    </row>
    <row r="7458" spans="24:25">
      <c r="X7458" s="19"/>
      <c r="Y7458" s="20"/>
    </row>
    <row r="7459" spans="24:25">
      <c r="X7459" s="19"/>
      <c r="Y7459" s="20"/>
    </row>
    <row r="7460" spans="24:25">
      <c r="X7460" s="19"/>
      <c r="Y7460" s="20"/>
    </row>
    <row r="7461" spans="24:25">
      <c r="X7461" s="19"/>
      <c r="Y7461" s="20"/>
    </row>
    <row r="7462" spans="24:25">
      <c r="X7462" s="19"/>
      <c r="Y7462" s="20"/>
    </row>
    <row r="7463" spans="24:25">
      <c r="X7463" s="19"/>
      <c r="Y7463" s="20"/>
    </row>
    <row r="7464" spans="24:25">
      <c r="X7464" s="19"/>
      <c r="Y7464" s="20"/>
    </row>
    <row r="7465" spans="24:25">
      <c r="X7465" s="19"/>
      <c r="Y7465" s="20"/>
    </row>
    <row r="7466" spans="24:25">
      <c r="X7466" s="19"/>
      <c r="Y7466" s="20"/>
    </row>
    <row r="7467" spans="24:25">
      <c r="X7467" s="19"/>
      <c r="Y7467" s="20"/>
    </row>
    <row r="7468" spans="24:25">
      <c r="X7468" s="19"/>
      <c r="Y7468" s="20"/>
    </row>
    <row r="7469" spans="24:25">
      <c r="X7469" s="19"/>
      <c r="Y7469" s="20"/>
    </row>
    <row r="7470" spans="24:25">
      <c r="X7470" s="19"/>
      <c r="Y7470" s="20"/>
    </row>
    <row r="7471" spans="24:25">
      <c r="X7471" s="19"/>
      <c r="Y7471" s="20"/>
    </row>
    <row r="7472" spans="24:25">
      <c r="X7472" s="19"/>
      <c r="Y7472" s="20"/>
    </row>
    <row r="7473" spans="24:25">
      <c r="X7473" s="19"/>
      <c r="Y7473" s="20"/>
    </row>
    <row r="7474" spans="24:25">
      <c r="X7474" s="19"/>
      <c r="Y7474" s="20"/>
    </row>
    <row r="7475" spans="24:25">
      <c r="X7475" s="19"/>
      <c r="Y7475" s="20"/>
    </row>
    <row r="7476" spans="24:25">
      <c r="X7476" s="19"/>
      <c r="Y7476" s="20"/>
    </row>
    <row r="7477" spans="24:25">
      <c r="X7477" s="19"/>
      <c r="Y7477" s="20"/>
    </row>
    <row r="7478" spans="24:25">
      <c r="X7478" s="19"/>
      <c r="Y7478" s="20"/>
    </row>
    <row r="7479" spans="24:25">
      <c r="X7479" s="19"/>
      <c r="Y7479" s="20"/>
    </row>
    <row r="7480" spans="24:25">
      <c r="X7480" s="19"/>
      <c r="Y7480" s="20"/>
    </row>
    <row r="7481" spans="24:25">
      <c r="X7481" s="19"/>
      <c r="Y7481" s="20"/>
    </row>
    <row r="7482" spans="24:25">
      <c r="X7482" s="19"/>
      <c r="Y7482" s="20"/>
    </row>
    <row r="7483" spans="24:25">
      <c r="X7483" s="19"/>
      <c r="Y7483" s="20"/>
    </row>
    <row r="7484" spans="24:25">
      <c r="X7484" s="19"/>
      <c r="Y7484" s="20"/>
    </row>
    <row r="7485" spans="24:25">
      <c r="X7485" s="19"/>
      <c r="Y7485" s="20"/>
    </row>
    <row r="7486" spans="24:25">
      <c r="X7486" s="19"/>
      <c r="Y7486" s="20"/>
    </row>
    <row r="7487" spans="24:25">
      <c r="X7487" s="19"/>
      <c r="Y7487" s="20"/>
    </row>
    <row r="7488" spans="24:25">
      <c r="X7488" s="19"/>
      <c r="Y7488" s="20"/>
    </row>
    <row r="7489" spans="24:25">
      <c r="X7489" s="19"/>
      <c r="Y7489" s="20"/>
    </row>
    <row r="7490" spans="24:25">
      <c r="X7490" s="19"/>
      <c r="Y7490" s="20"/>
    </row>
    <row r="7491" spans="24:25">
      <c r="X7491" s="19"/>
      <c r="Y7491" s="20"/>
    </row>
    <row r="7492" spans="24:25">
      <c r="X7492" s="19"/>
      <c r="Y7492" s="20"/>
    </row>
    <row r="7493" spans="24:25">
      <c r="X7493" s="19"/>
      <c r="Y7493" s="20"/>
    </row>
    <row r="7494" spans="24:25">
      <c r="X7494" s="19"/>
      <c r="Y7494" s="20"/>
    </row>
    <row r="7495" spans="24:25">
      <c r="X7495" s="19"/>
      <c r="Y7495" s="20"/>
    </row>
    <row r="7496" spans="24:25">
      <c r="X7496" s="19"/>
      <c r="Y7496" s="20"/>
    </row>
    <row r="7497" spans="24:25">
      <c r="X7497" s="19"/>
      <c r="Y7497" s="20"/>
    </row>
    <row r="7498" spans="24:25">
      <c r="X7498" s="19"/>
      <c r="Y7498" s="20"/>
    </row>
    <row r="7499" spans="24:25">
      <c r="X7499" s="19"/>
      <c r="Y7499" s="20"/>
    </row>
    <row r="7500" spans="24:25">
      <c r="X7500" s="19"/>
      <c r="Y7500" s="20"/>
    </row>
    <row r="7501" spans="24:25">
      <c r="X7501" s="19"/>
      <c r="Y7501" s="20"/>
    </row>
    <row r="7502" spans="24:25">
      <c r="X7502" s="19"/>
      <c r="Y7502" s="20"/>
    </row>
    <row r="7503" spans="24:25">
      <c r="X7503" s="19"/>
      <c r="Y7503" s="20"/>
    </row>
    <row r="7504" spans="24:25">
      <c r="X7504" s="19"/>
      <c r="Y7504" s="20"/>
    </row>
    <row r="7505" spans="24:25">
      <c r="X7505" s="19"/>
      <c r="Y7505" s="20"/>
    </row>
    <row r="7506" spans="24:25">
      <c r="X7506" s="19"/>
      <c r="Y7506" s="20"/>
    </row>
    <row r="7507" spans="24:25">
      <c r="X7507" s="19"/>
      <c r="Y7507" s="20"/>
    </row>
    <row r="7508" spans="24:25">
      <c r="X7508" s="19"/>
      <c r="Y7508" s="20"/>
    </row>
    <row r="7509" spans="24:25">
      <c r="X7509" s="19"/>
      <c r="Y7509" s="20"/>
    </row>
    <row r="7510" spans="24:25">
      <c r="X7510" s="19"/>
      <c r="Y7510" s="20"/>
    </row>
    <row r="7511" spans="24:25">
      <c r="X7511" s="19"/>
      <c r="Y7511" s="20"/>
    </row>
    <row r="7512" spans="24:25">
      <c r="X7512" s="19"/>
      <c r="Y7512" s="20"/>
    </row>
    <row r="7513" spans="24:25">
      <c r="X7513" s="19"/>
      <c r="Y7513" s="20"/>
    </row>
    <row r="7514" spans="24:25">
      <c r="X7514" s="19"/>
      <c r="Y7514" s="20"/>
    </row>
    <row r="7515" spans="24:25">
      <c r="X7515" s="19"/>
      <c r="Y7515" s="20"/>
    </row>
    <row r="7516" spans="24:25">
      <c r="X7516" s="19"/>
      <c r="Y7516" s="20"/>
    </row>
    <row r="7517" spans="24:25">
      <c r="X7517" s="19"/>
      <c r="Y7517" s="20"/>
    </row>
    <row r="7518" spans="24:25">
      <c r="X7518" s="19"/>
      <c r="Y7518" s="20"/>
    </row>
    <row r="7519" spans="24:25">
      <c r="X7519" s="19"/>
      <c r="Y7519" s="20"/>
    </row>
    <row r="7520" spans="24:25">
      <c r="X7520" s="19"/>
      <c r="Y7520" s="20"/>
    </row>
    <row r="7521" spans="24:25">
      <c r="X7521" s="19"/>
      <c r="Y7521" s="20"/>
    </row>
    <row r="7522" spans="24:25">
      <c r="X7522" s="19"/>
      <c r="Y7522" s="20"/>
    </row>
    <row r="7523" spans="24:25">
      <c r="X7523" s="19"/>
      <c r="Y7523" s="20"/>
    </row>
    <row r="7524" spans="24:25">
      <c r="X7524" s="19"/>
      <c r="Y7524" s="20"/>
    </row>
    <row r="7525" spans="24:25">
      <c r="X7525" s="19"/>
      <c r="Y7525" s="20"/>
    </row>
    <row r="7526" spans="24:25">
      <c r="X7526" s="19"/>
      <c r="Y7526" s="20"/>
    </row>
    <row r="7527" spans="24:25">
      <c r="X7527" s="19"/>
      <c r="Y7527" s="20"/>
    </row>
    <row r="7528" spans="24:25">
      <c r="X7528" s="19"/>
      <c r="Y7528" s="20"/>
    </row>
    <row r="7529" spans="24:25">
      <c r="X7529" s="19"/>
      <c r="Y7529" s="20"/>
    </row>
    <row r="7530" spans="24:25">
      <c r="X7530" s="19"/>
      <c r="Y7530" s="20"/>
    </row>
    <row r="7531" spans="24:25">
      <c r="X7531" s="19"/>
      <c r="Y7531" s="20"/>
    </row>
    <row r="7532" spans="24:25">
      <c r="X7532" s="19"/>
      <c r="Y7532" s="20"/>
    </row>
    <row r="7533" spans="24:25">
      <c r="X7533" s="19"/>
      <c r="Y7533" s="20"/>
    </row>
    <row r="7534" spans="24:25">
      <c r="X7534" s="19"/>
      <c r="Y7534" s="20"/>
    </row>
    <row r="7535" spans="24:25">
      <c r="X7535" s="19"/>
      <c r="Y7535" s="20"/>
    </row>
    <row r="7536" spans="24:25">
      <c r="X7536" s="19"/>
      <c r="Y7536" s="20"/>
    </row>
    <row r="7537" spans="24:25">
      <c r="X7537" s="19"/>
      <c r="Y7537" s="20"/>
    </row>
    <row r="7538" spans="24:25">
      <c r="X7538" s="19"/>
      <c r="Y7538" s="20"/>
    </row>
    <row r="7539" spans="24:25">
      <c r="X7539" s="19"/>
      <c r="Y7539" s="20"/>
    </row>
    <row r="7540" spans="24:25">
      <c r="X7540" s="19"/>
      <c r="Y7540" s="20"/>
    </row>
    <row r="7541" spans="24:25">
      <c r="X7541" s="19"/>
      <c r="Y7541" s="20"/>
    </row>
    <row r="7542" spans="24:25">
      <c r="X7542" s="19"/>
      <c r="Y7542" s="20"/>
    </row>
    <row r="7543" spans="24:25">
      <c r="X7543" s="19"/>
      <c r="Y7543" s="20"/>
    </row>
    <row r="7544" spans="24:25">
      <c r="X7544" s="19"/>
      <c r="Y7544" s="20"/>
    </row>
    <row r="7545" spans="24:25">
      <c r="X7545" s="19"/>
      <c r="Y7545" s="20"/>
    </row>
    <row r="7546" spans="24:25">
      <c r="X7546" s="19"/>
      <c r="Y7546" s="20"/>
    </row>
    <row r="7547" spans="24:25">
      <c r="X7547" s="19"/>
      <c r="Y7547" s="20"/>
    </row>
    <row r="7548" spans="24:25">
      <c r="X7548" s="19"/>
      <c r="Y7548" s="20"/>
    </row>
    <row r="7549" spans="24:25">
      <c r="X7549" s="19"/>
      <c r="Y7549" s="20"/>
    </row>
    <row r="7550" spans="24:25">
      <c r="X7550" s="19"/>
      <c r="Y7550" s="20"/>
    </row>
    <row r="7551" spans="24:25">
      <c r="X7551" s="19"/>
      <c r="Y7551" s="20"/>
    </row>
    <row r="7552" spans="24:25">
      <c r="X7552" s="19"/>
      <c r="Y7552" s="20"/>
    </row>
    <row r="7553" spans="24:25">
      <c r="X7553" s="19"/>
      <c r="Y7553" s="20"/>
    </row>
    <row r="7554" spans="24:25">
      <c r="X7554" s="19"/>
      <c r="Y7554" s="20"/>
    </row>
    <row r="7555" spans="24:25">
      <c r="X7555" s="19"/>
      <c r="Y7555" s="20"/>
    </row>
    <row r="7556" spans="24:25">
      <c r="X7556" s="19"/>
      <c r="Y7556" s="20"/>
    </row>
    <row r="7557" spans="24:25">
      <c r="X7557" s="19"/>
      <c r="Y7557" s="20"/>
    </row>
    <row r="7558" spans="24:25">
      <c r="X7558" s="19"/>
      <c r="Y7558" s="20"/>
    </row>
    <row r="7559" spans="24:25">
      <c r="X7559" s="19"/>
      <c r="Y7559" s="20"/>
    </row>
    <row r="7560" spans="24:25">
      <c r="X7560" s="19"/>
      <c r="Y7560" s="20"/>
    </row>
    <row r="7561" spans="24:25">
      <c r="X7561" s="19"/>
      <c r="Y7561" s="20"/>
    </row>
    <row r="7562" spans="24:25">
      <c r="X7562" s="19"/>
      <c r="Y7562" s="20"/>
    </row>
    <row r="7563" spans="24:25">
      <c r="X7563" s="19"/>
      <c r="Y7563" s="20"/>
    </row>
    <row r="7564" spans="24:25">
      <c r="X7564" s="19"/>
      <c r="Y7564" s="20"/>
    </row>
    <row r="7565" spans="24:25">
      <c r="X7565" s="19"/>
      <c r="Y7565" s="20"/>
    </row>
    <row r="7566" spans="24:25">
      <c r="X7566" s="19"/>
      <c r="Y7566" s="20"/>
    </row>
    <row r="7567" spans="24:25">
      <c r="X7567" s="19"/>
      <c r="Y7567" s="20"/>
    </row>
    <row r="7568" spans="24:25">
      <c r="X7568" s="19"/>
      <c r="Y7568" s="20"/>
    </row>
    <row r="7569" spans="24:25">
      <c r="X7569" s="19"/>
      <c r="Y7569" s="20"/>
    </row>
    <row r="7570" spans="24:25">
      <c r="X7570" s="19"/>
      <c r="Y7570" s="20"/>
    </row>
    <row r="7571" spans="24:25">
      <c r="X7571" s="19"/>
      <c r="Y7571" s="20"/>
    </row>
    <row r="7572" spans="24:25">
      <c r="X7572" s="19"/>
      <c r="Y7572" s="20"/>
    </row>
    <row r="7573" spans="24:25">
      <c r="X7573" s="19"/>
      <c r="Y7573" s="20"/>
    </row>
    <row r="7574" spans="24:25">
      <c r="X7574" s="19"/>
      <c r="Y7574" s="20"/>
    </row>
    <row r="7575" spans="24:25">
      <c r="X7575" s="19"/>
      <c r="Y7575" s="20"/>
    </row>
    <row r="7576" spans="24:25">
      <c r="X7576" s="19"/>
      <c r="Y7576" s="20"/>
    </row>
    <row r="7577" spans="24:25">
      <c r="X7577" s="19"/>
      <c r="Y7577" s="20"/>
    </row>
    <row r="7578" spans="24:25">
      <c r="X7578" s="19"/>
      <c r="Y7578" s="20"/>
    </row>
    <row r="7579" spans="24:25">
      <c r="X7579" s="19"/>
      <c r="Y7579" s="20"/>
    </row>
    <row r="7580" spans="24:25">
      <c r="X7580" s="19"/>
      <c r="Y7580" s="20"/>
    </row>
    <row r="7581" spans="24:25">
      <c r="X7581" s="19"/>
      <c r="Y7581" s="20"/>
    </row>
    <row r="7582" spans="24:25">
      <c r="X7582" s="19"/>
      <c r="Y7582" s="20"/>
    </row>
    <row r="7583" spans="24:25">
      <c r="X7583" s="19"/>
      <c r="Y7583" s="20"/>
    </row>
    <row r="7584" spans="24:25">
      <c r="X7584" s="19"/>
      <c r="Y7584" s="20"/>
    </row>
    <row r="7585" spans="24:25">
      <c r="X7585" s="19"/>
      <c r="Y7585" s="20"/>
    </row>
    <row r="7586" spans="24:25">
      <c r="X7586" s="19"/>
      <c r="Y7586" s="20"/>
    </row>
    <row r="7587" spans="24:25">
      <c r="X7587" s="19"/>
      <c r="Y7587" s="20"/>
    </row>
    <row r="7588" spans="24:25">
      <c r="X7588" s="19"/>
      <c r="Y7588" s="20"/>
    </row>
    <row r="7589" spans="24:25">
      <c r="X7589" s="19"/>
      <c r="Y7589" s="20"/>
    </row>
    <row r="7590" spans="24:25">
      <c r="X7590" s="19"/>
      <c r="Y7590" s="20"/>
    </row>
    <row r="7591" spans="24:25">
      <c r="X7591" s="19"/>
      <c r="Y7591" s="20"/>
    </row>
    <row r="7592" spans="24:25">
      <c r="X7592" s="19"/>
      <c r="Y7592" s="20"/>
    </row>
    <row r="7593" spans="24:25">
      <c r="X7593" s="19"/>
      <c r="Y7593" s="20"/>
    </row>
    <row r="7594" spans="24:25">
      <c r="X7594" s="19"/>
      <c r="Y7594" s="20"/>
    </row>
    <row r="7595" spans="24:25">
      <c r="X7595" s="19"/>
      <c r="Y7595" s="20"/>
    </row>
    <row r="7596" spans="24:25">
      <c r="X7596" s="19"/>
      <c r="Y7596" s="20"/>
    </row>
    <row r="7597" spans="24:25">
      <c r="X7597" s="19"/>
      <c r="Y7597" s="20"/>
    </row>
    <row r="7598" spans="24:25">
      <c r="X7598" s="19"/>
      <c r="Y7598" s="20"/>
    </row>
    <row r="7599" spans="24:25">
      <c r="X7599" s="19"/>
      <c r="Y7599" s="20"/>
    </row>
    <row r="7600" spans="24:25">
      <c r="X7600" s="19"/>
      <c r="Y7600" s="20"/>
    </row>
    <row r="7601" spans="24:25">
      <c r="X7601" s="19"/>
      <c r="Y7601" s="20"/>
    </row>
    <row r="7602" spans="24:25">
      <c r="X7602" s="19"/>
      <c r="Y7602" s="20"/>
    </row>
    <row r="7603" spans="24:25">
      <c r="X7603" s="19"/>
      <c r="Y7603" s="20"/>
    </row>
    <row r="7604" spans="24:25">
      <c r="X7604" s="19"/>
      <c r="Y7604" s="20"/>
    </row>
    <row r="7605" spans="24:25">
      <c r="X7605" s="19"/>
      <c r="Y7605" s="20"/>
    </row>
    <row r="7606" spans="24:25">
      <c r="X7606" s="19"/>
      <c r="Y7606" s="20"/>
    </row>
    <row r="7607" spans="24:25">
      <c r="X7607" s="19"/>
      <c r="Y7607" s="20"/>
    </row>
    <row r="7608" spans="24:25">
      <c r="X7608" s="19"/>
      <c r="Y7608" s="20"/>
    </row>
    <row r="7609" spans="24:25">
      <c r="X7609" s="19"/>
      <c r="Y7609" s="20"/>
    </row>
    <row r="7610" spans="24:25">
      <c r="X7610" s="19"/>
      <c r="Y7610" s="20"/>
    </row>
    <row r="7611" spans="24:25">
      <c r="X7611" s="19"/>
      <c r="Y7611" s="20"/>
    </row>
    <row r="7612" spans="24:25">
      <c r="X7612" s="19"/>
      <c r="Y7612" s="20"/>
    </row>
    <row r="7613" spans="24:25">
      <c r="X7613" s="19"/>
      <c r="Y7613" s="20"/>
    </row>
    <row r="7614" spans="24:25">
      <c r="X7614" s="19"/>
      <c r="Y7614" s="20"/>
    </row>
    <row r="7615" spans="24:25">
      <c r="X7615" s="19"/>
      <c r="Y7615" s="20"/>
    </row>
    <row r="7616" spans="24:25">
      <c r="X7616" s="19"/>
      <c r="Y7616" s="20"/>
    </row>
    <row r="7617" spans="24:25">
      <c r="X7617" s="19"/>
      <c r="Y7617" s="20"/>
    </row>
    <row r="7618" spans="24:25">
      <c r="X7618" s="19"/>
      <c r="Y7618" s="20"/>
    </row>
    <row r="7619" spans="24:25">
      <c r="X7619" s="19"/>
      <c r="Y7619" s="20"/>
    </row>
    <row r="7620" spans="24:25">
      <c r="X7620" s="19"/>
      <c r="Y7620" s="20"/>
    </row>
    <row r="7621" spans="24:25">
      <c r="X7621" s="19"/>
      <c r="Y7621" s="20"/>
    </row>
    <row r="7622" spans="24:25">
      <c r="X7622" s="19"/>
      <c r="Y7622" s="20"/>
    </row>
    <row r="7623" spans="24:25">
      <c r="X7623" s="19"/>
      <c r="Y7623" s="20"/>
    </row>
    <row r="7624" spans="24:25">
      <c r="X7624" s="19"/>
      <c r="Y7624" s="20"/>
    </row>
    <row r="7625" spans="24:25">
      <c r="X7625" s="19"/>
      <c r="Y7625" s="20"/>
    </row>
    <row r="7626" spans="24:25">
      <c r="X7626" s="19"/>
      <c r="Y7626" s="20"/>
    </row>
    <row r="7627" spans="24:25">
      <c r="X7627" s="19"/>
      <c r="Y7627" s="20"/>
    </row>
    <row r="7628" spans="24:25">
      <c r="X7628" s="19"/>
      <c r="Y7628" s="20"/>
    </row>
    <row r="7629" spans="24:25">
      <c r="X7629" s="19"/>
      <c r="Y7629" s="20"/>
    </row>
    <row r="7630" spans="24:25">
      <c r="X7630" s="19"/>
      <c r="Y7630" s="20"/>
    </row>
    <row r="7631" spans="24:25">
      <c r="X7631" s="19"/>
      <c r="Y7631" s="20"/>
    </row>
    <row r="7632" spans="24:25">
      <c r="X7632" s="19"/>
      <c r="Y7632" s="20"/>
    </row>
    <row r="7633" spans="24:25">
      <c r="X7633" s="19"/>
      <c r="Y7633" s="20"/>
    </row>
    <row r="7634" spans="24:25">
      <c r="X7634" s="19"/>
      <c r="Y7634" s="20"/>
    </row>
    <row r="7635" spans="24:25">
      <c r="X7635" s="19"/>
      <c r="Y7635" s="20"/>
    </row>
    <row r="7636" spans="24:25">
      <c r="X7636" s="19"/>
      <c r="Y7636" s="20"/>
    </row>
    <row r="7637" spans="24:25">
      <c r="X7637" s="19"/>
      <c r="Y7637" s="20"/>
    </row>
    <row r="7638" spans="24:25">
      <c r="X7638" s="19"/>
      <c r="Y7638" s="20"/>
    </row>
    <row r="7639" spans="24:25">
      <c r="X7639" s="19"/>
      <c r="Y7639" s="20"/>
    </row>
    <row r="7640" spans="24:25">
      <c r="X7640" s="19"/>
      <c r="Y7640" s="20"/>
    </row>
    <row r="7641" spans="24:25">
      <c r="X7641" s="19"/>
      <c r="Y7641" s="20"/>
    </row>
    <row r="7642" spans="24:25">
      <c r="X7642" s="19"/>
      <c r="Y7642" s="20"/>
    </row>
    <row r="7643" spans="24:25">
      <c r="X7643" s="19"/>
      <c r="Y7643" s="20"/>
    </row>
    <row r="7644" spans="24:25">
      <c r="X7644" s="19"/>
      <c r="Y7644" s="20"/>
    </row>
    <row r="7645" spans="24:25">
      <c r="X7645" s="19"/>
      <c r="Y7645" s="20"/>
    </row>
    <row r="7646" spans="24:25">
      <c r="X7646" s="19"/>
      <c r="Y7646" s="20"/>
    </row>
    <row r="7647" spans="24:25">
      <c r="X7647" s="19"/>
      <c r="Y7647" s="20"/>
    </row>
    <row r="7648" spans="24:25">
      <c r="X7648" s="19"/>
      <c r="Y7648" s="20"/>
    </row>
    <row r="7649" spans="24:25">
      <c r="X7649" s="19"/>
      <c r="Y7649" s="20"/>
    </row>
    <row r="7650" spans="24:25">
      <c r="X7650" s="19"/>
      <c r="Y7650" s="20"/>
    </row>
    <row r="7651" spans="24:25">
      <c r="X7651" s="19"/>
      <c r="Y7651" s="20"/>
    </row>
    <row r="7652" spans="24:25">
      <c r="X7652" s="19"/>
      <c r="Y7652" s="20"/>
    </row>
    <row r="7653" spans="24:25">
      <c r="X7653" s="19"/>
      <c r="Y7653" s="20"/>
    </row>
    <row r="7654" spans="24:25">
      <c r="X7654" s="19"/>
      <c r="Y7654" s="20"/>
    </row>
    <row r="7655" spans="24:25">
      <c r="X7655" s="19"/>
      <c r="Y7655" s="20"/>
    </row>
    <row r="7656" spans="24:25">
      <c r="X7656" s="19"/>
      <c r="Y7656" s="20"/>
    </row>
    <row r="7657" spans="24:25">
      <c r="X7657" s="19"/>
      <c r="Y7657" s="20"/>
    </row>
    <row r="7658" spans="24:25">
      <c r="X7658" s="19"/>
      <c r="Y7658" s="20"/>
    </row>
    <row r="7659" spans="24:25">
      <c r="X7659" s="19"/>
      <c r="Y7659" s="20"/>
    </row>
    <row r="7660" spans="24:25">
      <c r="X7660" s="19"/>
      <c r="Y7660" s="20"/>
    </row>
    <row r="7661" spans="24:25">
      <c r="X7661" s="19"/>
      <c r="Y7661" s="20"/>
    </row>
    <row r="7662" spans="24:25">
      <c r="X7662" s="19"/>
      <c r="Y7662" s="20"/>
    </row>
    <row r="7663" spans="24:25">
      <c r="X7663" s="19"/>
      <c r="Y7663" s="20"/>
    </row>
    <row r="7664" spans="24:25">
      <c r="X7664" s="19"/>
      <c r="Y7664" s="20"/>
    </row>
    <row r="7665" spans="24:25">
      <c r="X7665" s="19"/>
      <c r="Y7665" s="20"/>
    </row>
    <row r="7666" spans="24:25">
      <c r="X7666" s="19"/>
      <c r="Y7666" s="20"/>
    </row>
    <row r="7667" spans="24:25">
      <c r="X7667" s="19"/>
      <c r="Y7667" s="20"/>
    </row>
    <row r="7668" spans="24:25">
      <c r="X7668" s="19"/>
      <c r="Y7668" s="20"/>
    </row>
    <row r="7669" spans="24:25">
      <c r="X7669" s="19"/>
      <c r="Y7669" s="20"/>
    </row>
    <row r="7670" spans="24:25">
      <c r="X7670" s="19"/>
      <c r="Y7670" s="20"/>
    </row>
    <row r="7671" spans="24:25">
      <c r="X7671" s="19"/>
      <c r="Y7671" s="20"/>
    </row>
    <row r="7672" spans="24:25">
      <c r="X7672" s="19"/>
      <c r="Y7672" s="20"/>
    </row>
    <row r="7673" spans="24:25">
      <c r="X7673" s="19"/>
      <c r="Y7673" s="20"/>
    </row>
    <row r="7674" spans="24:25">
      <c r="X7674" s="19"/>
      <c r="Y7674" s="20"/>
    </row>
    <row r="7675" spans="24:25">
      <c r="X7675" s="19"/>
      <c r="Y7675" s="20"/>
    </row>
    <row r="7676" spans="24:25">
      <c r="X7676" s="19"/>
      <c r="Y7676" s="20"/>
    </row>
    <row r="7677" spans="24:25">
      <c r="X7677" s="19"/>
      <c r="Y7677" s="20"/>
    </row>
    <row r="7678" spans="24:25">
      <c r="X7678" s="19"/>
      <c r="Y7678" s="20"/>
    </row>
    <row r="7679" spans="24:25">
      <c r="X7679" s="19"/>
      <c r="Y7679" s="20"/>
    </row>
    <row r="7680" spans="24:25">
      <c r="X7680" s="19"/>
      <c r="Y7680" s="20"/>
    </row>
    <row r="7681" spans="24:25">
      <c r="X7681" s="19"/>
      <c r="Y7681" s="20"/>
    </row>
    <row r="7682" spans="24:25">
      <c r="X7682" s="19"/>
      <c r="Y7682" s="20"/>
    </row>
    <row r="7683" spans="24:25">
      <c r="X7683" s="19"/>
      <c r="Y7683" s="20"/>
    </row>
    <row r="7684" spans="24:25">
      <c r="X7684" s="19"/>
      <c r="Y7684" s="20"/>
    </row>
    <row r="7685" spans="24:25">
      <c r="X7685" s="19"/>
      <c r="Y7685" s="20"/>
    </row>
    <row r="7686" spans="24:25">
      <c r="X7686" s="19"/>
      <c r="Y7686" s="20"/>
    </row>
    <row r="7687" spans="24:25">
      <c r="X7687" s="19"/>
      <c r="Y7687" s="20"/>
    </row>
    <row r="7688" spans="24:25">
      <c r="X7688" s="19"/>
      <c r="Y7688" s="20"/>
    </row>
    <row r="7689" spans="24:25">
      <c r="X7689" s="19"/>
      <c r="Y7689" s="20"/>
    </row>
    <row r="7690" spans="24:25">
      <c r="X7690" s="19"/>
      <c r="Y7690" s="20"/>
    </row>
    <row r="7691" spans="24:25">
      <c r="X7691" s="19"/>
      <c r="Y7691" s="20"/>
    </row>
    <row r="7692" spans="24:25">
      <c r="X7692" s="19"/>
      <c r="Y7692" s="20"/>
    </row>
    <row r="7693" spans="24:25">
      <c r="X7693" s="19"/>
      <c r="Y7693" s="20"/>
    </row>
    <row r="7694" spans="24:25">
      <c r="X7694" s="19"/>
      <c r="Y7694" s="20"/>
    </row>
    <row r="7695" spans="24:25">
      <c r="X7695" s="19"/>
      <c r="Y7695" s="20"/>
    </row>
    <row r="7696" spans="24:25">
      <c r="X7696" s="19"/>
      <c r="Y7696" s="20"/>
    </row>
    <row r="7697" spans="24:25">
      <c r="X7697" s="19"/>
      <c r="Y7697" s="20"/>
    </row>
    <row r="7698" spans="24:25">
      <c r="X7698" s="19"/>
      <c r="Y7698" s="20"/>
    </row>
    <row r="7699" spans="24:25">
      <c r="X7699" s="19"/>
      <c r="Y7699" s="20"/>
    </row>
    <row r="7700" spans="24:25">
      <c r="X7700" s="19"/>
      <c r="Y7700" s="20"/>
    </row>
    <row r="7701" spans="24:25">
      <c r="X7701" s="19"/>
      <c r="Y7701" s="20"/>
    </row>
    <row r="7702" spans="24:25">
      <c r="X7702" s="19"/>
      <c r="Y7702" s="20"/>
    </row>
    <row r="7703" spans="24:25">
      <c r="X7703" s="19"/>
      <c r="Y7703" s="20"/>
    </row>
    <row r="7704" spans="24:25">
      <c r="X7704" s="19"/>
      <c r="Y7704" s="20"/>
    </row>
    <row r="7705" spans="24:25">
      <c r="X7705" s="19"/>
      <c r="Y7705" s="20"/>
    </row>
    <row r="7706" spans="24:25">
      <c r="X7706" s="19"/>
      <c r="Y7706" s="20"/>
    </row>
    <row r="7707" spans="24:25">
      <c r="X7707" s="19"/>
      <c r="Y7707" s="20"/>
    </row>
    <row r="7708" spans="24:25">
      <c r="X7708" s="19"/>
      <c r="Y7708" s="20"/>
    </row>
    <row r="7709" spans="24:25">
      <c r="X7709" s="19"/>
      <c r="Y7709" s="20"/>
    </row>
    <row r="7710" spans="24:25">
      <c r="X7710" s="19"/>
      <c r="Y7710" s="20"/>
    </row>
    <row r="7711" spans="24:25">
      <c r="X7711" s="19"/>
      <c r="Y7711" s="20"/>
    </row>
    <row r="7712" spans="24:25">
      <c r="X7712" s="19"/>
      <c r="Y7712" s="20"/>
    </row>
    <row r="7713" spans="24:25">
      <c r="X7713" s="19"/>
      <c r="Y7713" s="20"/>
    </row>
    <row r="7714" spans="24:25">
      <c r="X7714" s="19"/>
      <c r="Y7714" s="20"/>
    </row>
    <row r="7715" spans="24:25">
      <c r="X7715" s="19"/>
      <c r="Y7715" s="20"/>
    </row>
    <row r="7716" spans="24:25">
      <c r="X7716" s="19"/>
      <c r="Y7716" s="20"/>
    </row>
    <row r="7717" spans="24:25">
      <c r="X7717" s="19"/>
      <c r="Y7717" s="20"/>
    </row>
    <row r="7718" spans="24:25">
      <c r="X7718" s="19"/>
      <c r="Y7718" s="20"/>
    </row>
    <row r="7719" spans="24:25">
      <c r="X7719" s="19"/>
      <c r="Y7719" s="20"/>
    </row>
    <row r="7720" spans="24:25">
      <c r="X7720" s="19"/>
      <c r="Y7720" s="20"/>
    </row>
    <row r="7721" spans="24:25">
      <c r="X7721" s="19"/>
      <c r="Y7721" s="20"/>
    </row>
    <row r="7722" spans="24:25">
      <c r="X7722" s="19"/>
      <c r="Y7722" s="20"/>
    </row>
    <row r="7723" spans="24:25">
      <c r="X7723" s="19"/>
      <c r="Y7723" s="20"/>
    </row>
    <row r="7724" spans="24:25">
      <c r="X7724" s="19"/>
      <c r="Y7724" s="20"/>
    </row>
    <row r="7725" spans="24:25">
      <c r="X7725" s="19"/>
      <c r="Y7725" s="20"/>
    </row>
    <row r="7726" spans="24:25">
      <c r="X7726" s="19"/>
      <c r="Y7726" s="20"/>
    </row>
    <row r="7727" spans="24:25">
      <c r="X7727" s="19"/>
      <c r="Y7727" s="20"/>
    </row>
    <row r="7728" spans="24:25">
      <c r="X7728" s="19"/>
      <c r="Y7728" s="20"/>
    </row>
    <row r="7729" spans="24:25">
      <c r="X7729" s="19"/>
      <c r="Y7729" s="20"/>
    </row>
    <row r="7730" spans="24:25">
      <c r="X7730" s="19"/>
      <c r="Y7730" s="20"/>
    </row>
    <row r="7731" spans="24:25">
      <c r="X7731" s="19"/>
      <c r="Y7731" s="20"/>
    </row>
    <row r="7732" spans="24:25">
      <c r="X7732" s="19"/>
      <c r="Y7732" s="20"/>
    </row>
    <row r="7733" spans="24:25">
      <c r="X7733" s="19"/>
      <c r="Y7733" s="20"/>
    </row>
    <row r="7734" spans="24:25">
      <c r="X7734" s="19"/>
      <c r="Y7734" s="20"/>
    </row>
    <row r="7735" spans="24:25">
      <c r="X7735" s="19"/>
      <c r="Y7735" s="20"/>
    </row>
    <row r="7736" spans="24:25">
      <c r="X7736" s="19"/>
      <c r="Y7736" s="20"/>
    </row>
    <row r="7737" spans="24:25">
      <c r="X7737" s="19"/>
      <c r="Y7737" s="20"/>
    </row>
    <row r="7738" spans="24:25">
      <c r="X7738" s="19"/>
      <c r="Y7738" s="20"/>
    </row>
    <row r="7739" spans="24:25">
      <c r="X7739" s="19"/>
      <c r="Y7739" s="20"/>
    </row>
    <row r="7740" spans="24:25">
      <c r="X7740" s="19"/>
      <c r="Y7740" s="20"/>
    </row>
    <row r="7741" spans="24:25">
      <c r="X7741" s="19"/>
      <c r="Y7741" s="20"/>
    </row>
    <row r="7742" spans="24:25">
      <c r="X7742" s="19"/>
      <c r="Y7742" s="20"/>
    </row>
    <row r="7743" spans="24:25">
      <c r="X7743" s="19"/>
      <c r="Y7743" s="20"/>
    </row>
    <row r="7744" spans="24:25">
      <c r="X7744" s="19"/>
      <c r="Y7744" s="20"/>
    </row>
    <row r="7745" spans="24:25">
      <c r="X7745" s="19"/>
      <c r="Y7745" s="20"/>
    </row>
    <row r="7746" spans="24:25">
      <c r="X7746" s="19"/>
      <c r="Y7746" s="20"/>
    </row>
    <row r="7747" spans="24:25">
      <c r="X7747" s="19"/>
      <c r="Y7747" s="20"/>
    </row>
    <row r="7748" spans="24:25">
      <c r="X7748" s="19"/>
      <c r="Y7748" s="20"/>
    </row>
    <row r="7749" spans="24:25">
      <c r="X7749" s="19"/>
      <c r="Y7749" s="20"/>
    </row>
    <row r="7750" spans="24:25">
      <c r="X7750" s="19"/>
      <c r="Y7750" s="20"/>
    </row>
    <row r="7751" spans="24:25">
      <c r="X7751" s="19"/>
      <c r="Y7751" s="20"/>
    </row>
    <row r="7752" spans="24:25">
      <c r="X7752" s="19"/>
      <c r="Y7752" s="20"/>
    </row>
    <row r="7753" spans="24:25">
      <c r="X7753" s="19"/>
      <c r="Y7753" s="20"/>
    </row>
    <row r="7754" spans="24:25">
      <c r="X7754" s="19"/>
      <c r="Y7754" s="20"/>
    </row>
    <row r="7755" spans="24:25">
      <c r="X7755" s="19"/>
      <c r="Y7755" s="20"/>
    </row>
    <row r="7756" spans="24:25">
      <c r="X7756" s="19"/>
      <c r="Y7756" s="20"/>
    </row>
    <row r="7757" spans="24:25">
      <c r="X7757" s="19"/>
      <c r="Y7757" s="20"/>
    </row>
    <row r="7758" spans="24:25">
      <c r="X7758" s="19"/>
      <c r="Y7758" s="20"/>
    </row>
    <row r="7759" spans="24:25">
      <c r="X7759" s="19"/>
      <c r="Y7759" s="20"/>
    </row>
    <row r="7760" spans="24:25">
      <c r="X7760" s="19"/>
      <c r="Y7760" s="20"/>
    </row>
    <row r="7761" spans="24:25">
      <c r="X7761" s="19"/>
      <c r="Y7761" s="20"/>
    </row>
    <row r="7762" spans="24:25">
      <c r="X7762" s="19"/>
      <c r="Y7762" s="20"/>
    </row>
    <row r="7763" spans="24:25">
      <c r="X7763" s="19"/>
      <c r="Y7763" s="20"/>
    </row>
    <row r="7764" spans="24:25">
      <c r="X7764" s="19"/>
      <c r="Y7764" s="20"/>
    </row>
    <row r="7765" spans="24:25">
      <c r="X7765" s="19"/>
      <c r="Y7765" s="20"/>
    </row>
    <row r="7766" spans="24:25">
      <c r="X7766" s="19"/>
      <c r="Y7766" s="20"/>
    </row>
    <row r="7767" spans="24:25">
      <c r="X7767" s="19"/>
      <c r="Y7767" s="20"/>
    </row>
    <row r="7768" spans="24:25">
      <c r="X7768" s="19"/>
      <c r="Y7768" s="20"/>
    </row>
    <row r="7769" spans="24:25">
      <c r="X7769" s="19"/>
      <c r="Y7769" s="20"/>
    </row>
    <row r="7770" spans="24:25">
      <c r="X7770" s="19"/>
      <c r="Y7770" s="20"/>
    </row>
    <row r="7771" spans="24:25">
      <c r="X7771" s="19"/>
      <c r="Y7771" s="20"/>
    </row>
    <row r="7772" spans="24:25">
      <c r="X7772" s="19"/>
      <c r="Y7772" s="20"/>
    </row>
    <row r="7773" spans="24:25">
      <c r="X7773" s="19"/>
      <c r="Y7773" s="20"/>
    </row>
    <row r="7774" spans="24:25">
      <c r="X7774" s="19"/>
      <c r="Y7774" s="20"/>
    </row>
    <row r="7775" spans="24:25">
      <c r="X7775" s="19"/>
      <c r="Y7775" s="20"/>
    </row>
    <row r="7776" spans="24:25">
      <c r="X7776" s="19"/>
      <c r="Y7776" s="20"/>
    </row>
    <row r="7777" spans="24:25">
      <c r="X7777" s="19"/>
      <c r="Y7777" s="20"/>
    </row>
    <row r="7778" spans="24:25">
      <c r="X7778" s="19"/>
      <c r="Y7778" s="20"/>
    </row>
    <row r="7779" spans="24:25">
      <c r="X7779" s="19"/>
      <c r="Y7779" s="20"/>
    </row>
    <row r="7780" spans="24:25">
      <c r="X7780" s="19"/>
      <c r="Y7780" s="20"/>
    </row>
    <row r="7781" spans="24:25">
      <c r="X7781" s="19"/>
      <c r="Y7781" s="20"/>
    </row>
    <row r="7782" spans="24:25">
      <c r="X7782" s="19"/>
      <c r="Y7782" s="20"/>
    </row>
    <row r="7783" spans="24:25">
      <c r="X7783" s="19"/>
      <c r="Y7783" s="20"/>
    </row>
    <row r="7784" spans="24:25">
      <c r="X7784" s="19"/>
      <c r="Y7784" s="20"/>
    </row>
    <row r="7785" spans="24:25">
      <c r="X7785" s="19"/>
      <c r="Y7785" s="20"/>
    </row>
    <row r="7786" spans="24:25">
      <c r="X7786" s="19"/>
      <c r="Y7786" s="20"/>
    </row>
    <row r="7787" spans="24:25">
      <c r="X7787" s="19"/>
      <c r="Y7787" s="20"/>
    </row>
    <row r="7788" spans="24:25">
      <c r="X7788" s="19"/>
      <c r="Y7788" s="20"/>
    </row>
    <row r="7789" spans="24:25">
      <c r="X7789" s="19"/>
      <c r="Y7789" s="20"/>
    </row>
    <row r="7790" spans="24:25">
      <c r="X7790" s="19"/>
      <c r="Y7790" s="20"/>
    </row>
    <row r="7791" spans="24:25">
      <c r="X7791" s="19"/>
      <c r="Y7791" s="20"/>
    </row>
    <row r="7792" spans="24:25">
      <c r="X7792" s="19"/>
      <c r="Y7792" s="20"/>
    </row>
    <row r="7793" spans="24:25">
      <c r="X7793" s="19"/>
      <c r="Y7793" s="20"/>
    </row>
    <row r="7794" spans="24:25">
      <c r="X7794" s="19"/>
      <c r="Y7794" s="20"/>
    </row>
    <row r="7795" spans="24:25">
      <c r="X7795" s="19"/>
      <c r="Y7795" s="20"/>
    </row>
    <row r="7796" spans="24:25">
      <c r="X7796" s="19"/>
      <c r="Y7796" s="20"/>
    </row>
    <row r="7797" spans="24:25">
      <c r="X7797" s="19"/>
      <c r="Y7797" s="20"/>
    </row>
    <row r="7798" spans="24:25">
      <c r="X7798" s="19"/>
      <c r="Y7798" s="20"/>
    </row>
    <row r="7799" spans="24:25">
      <c r="X7799" s="19"/>
      <c r="Y7799" s="20"/>
    </row>
    <row r="7800" spans="24:25">
      <c r="X7800" s="19"/>
      <c r="Y7800" s="20"/>
    </row>
    <row r="7801" spans="24:25">
      <c r="X7801" s="19"/>
      <c r="Y7801" s="20"/>
    </row>
    <row r="7802" spans="24:25">
      <c r="X7802" s="19"/>
      <c r="Y7802" s="20"/>
    </row>
    <row r="7803" spans="24:25">
      <c r="X7803" s="19"/>
      <c r="Y7803" s="20"/>
    </row>
    <row r="7804" spans="24:25">
      <c r="X7804" s="19"/>
      <c r="Y7804" s="20"/>
    </row>
    <row r="7805" spans="24:25">
      <c r="X7805" s="19"/>
      <c r="Y7805" s="20"/>
    </row>
    <row r="7806" spans="24:25">
      <c r="X7806" s="19"/>
      <c r="Y7806" s="20"/>
    </row>
    <row r="7807" spans="24:25">
      <c r="X7807" s="19"/>
      <c r="Y7807" s="20"/>
    </row>
    <row r="7808" spans="24:25">
      <c r="X7808" s="19"/>
      <c r="Y7808" s="20"/>
    </row>
    <row r="7809" spans="24:25">
      <c r="X7809" s="19"/>
      <c r="Y7809" s="20"/>
    </row>
    <row r="7810" spans="24:25">
      <c r="X7810" s="19"/>
      <c r="Y7810" s="20"/>
    </row>
    <row r="7811" spans="24:25">
      <c r="X7811" s="19"/>
      <c r="Y7811" s="20"/>
    </row>
    <row r="7812" spans="24:25">
      <c r="X7812" s="19"/>
      <c r="Y7812" s="20"/>
    </row>
    <row r="7813" spans="24:25">
      <c r="X7813" s="19"/>
      <c r="Y7813" s="20"/>
    </row>
    <row r="7814" spans="24:25">
      <c r="X7814" s="19"/>
      <c r="Y7814" s="20"/>
    </row>
    <row r="7815" spans="24:25">
      <c r="X7815" s="19"/>
      <c r="Y7815" s="20"/>
    </row>
    <row r="7816" spans="24:25">
      <c r="X7816" s="19"/>
      <c r="Y7816" s="20"/>
    </row>
    <row r="7817" spans="24:25">
      <c r="X7817" s="19"/>
      <c r="Y7817" s="20"/>
    </row>
    <row r="7818" spans="24:25">
      <c r="X7818" s="19"/>
      <c r="Y7818" s="20"/>
    </row>
    <row r="7819" spans="24:25">
      <c r="X7819" s="19"/>
      <c r="Y7819" s="20"/>
    </row>
    <row r="7820" spans="24:25">
      <c r="X7820" s="19"/>
      <c r="Y7820" s="20"/>
    </row>
    <row r="7821" spans="24:25">
      <c r="X7821" s="19"/>
      <c r="Y7821" s="20"/>
    </row>
    <row r="7822" spans="24:25">
      <c r="X7822" s="19"/>
      <c r="Y7822" s="20"/>
    </row>
    <row r="7823" spans="24:25">
      <c r="X7823" s="19"/>
      <c r="Y7823" s="20"/>
    </row>
    <row r="7824" spans="24:25">
      <c r="X7824" s="19"/>
      <c r="Y7824" s="20"/>
    </row>
    <row r="7825" spans="24:25">
      <c r="X7825" s="19"/>
      <c r="Y7825" s="20"/>
    </row>
    <row r="7826" spans="24:25">
      <c r="X7826" s="19"/>
      <c r="Y7826" s="20"/>
    </row>
    <row r="7827" spans="24:25">
      <c r="X7827" s="19"/>
      <c r="Y7827" s="20"/>
    </row>
    <row r="7828" spans="24:25">
      <c r="X7828" s="19"/>
      <c r="Y7828" s="20"/>
    </row>
    <row r="7829" spans="24:25">
      <c r="X7829" s="19"/>
      <c r="Y7829" s="20"/>
    </row>
    <row r="7830" spans="24:25">
      <c r="X7830" s="19"/>
      <c r="Y7830" s="20"/>
    </row>
    <row r="7831" spans="24:25">
      <c r="X7831" s="19"/>
      <c r="Y7831" s="20"/>
    </row>
    <row r="7832" spans="24:25">
      <c r="X7832" s="19"/>
      <c r="Y7832" s="20"/>
    </row>
    <row r="7833" spans="24:25">
      <c r="X7833" s="19"/>
      <c r="Y7833" s="20"/>
    </row>
    <row r="7834" spans="24:25">
      <c r="X7834" s="19"/>
      <c r="Y7834" s="20"/>
    </row>
    <row r="7835" spans="24:25">
      <c r="X7835" s="19"/>
      <c r="Y7835" s="20"/>
    </row>
    <row r="7836" spans="24:25">
      <c r="X7836" s="19"/>
      <c r="Y7836" s="20"/>
    </row>
    <row r="7837" spans="24:25">
      <c r="X7837" s="19"/>
      <c r="Y7837" s="20"/>
    </row>
    <row r="7838" spans="24:25">
      <c r="X7838" s="19"/>
      <c r="Y7838" s="20"/>
    </row>
    <row r="7839" spans="24:25">
      <c r="X7839" s="19"/>
      <c r="Y7839" s="20"/>
    </row>
    <row r="7840" spans="24:25">
      <c r="X7840" s="19"/>
      <c r="Y7840" s="20"/>
    </row>
    <row r="7841" spans="24:25">
      <c r="X7841" s="19"/>
      <c r="Y7841" s="20"/>
    </row>
    <row r="7842" spans="24:25">
      <c r="X7842" s="19"/>
      <c r="Y7842" s="20"/>
    </row>
    <row r="7843" spans="24:25">
      <c r="X7843" s="19"/>
      <c r="Y7843" s="20"/>
    </row>
    <row r="7844" spans="24:25">
      <c r="X7844" s="19"/>
      <c r="Y7844" s="20"/>
    </row>
    <row r="7845" spans="24:25">
      <c r="X7845" s="19"/>
      <c r="Y7845" s="20"/>
    </row>
    <row r="7846" spans="24:25">
      <c r="X7846" s="19"/>
      <c r="Y7846" s="20"/>
    </row>
    <row r="7847" spans="24:25">
      <c r="X7847" s="19"/>
      <c r="Y7847" s="20"/>
    </row>
    <row r="7848" spans="24:25">
      <c r="X7848" s="19"/>
      <c r="Y7848" s="20"/>
    </row>
    <row r="7849" spans="24:25">
      <c r="X7849" s="19"/>
      <c r="Y7849" s="20"/>
    </row>
    <row r="7850" spans="24:25">
      <c r="X7850" s="19"/>
      <c r="Y7850" s="20"/>
    </row>
    <row r="7851" spans="24:25">
      <c r="X7851" s="19"/>
      <c r="Y7851" s="20"/>
    </row>
    <row r="7852" spans="24:25">
      <c r="X7852" s="19"/>
      <c r="Y7852" s="20"/>
    </row>
    <row r="7853" spans="24:25">
      <c r="X7853" s="19"/>
      <c r="Y7853" s="20"/>
    </row>
    <row r="7854" spans="24:25">
      <c r="X7854" s="19"/>
      <c r="Y7854" s="20"/>
    </row>
    <row r="7855" spans="24:25">
      <c r="X7855" s="19"/>
      <c r="Y7855" s="20"/>
    </row>
    <row r="7856" spans="24:25">
      <c r="X7856" s="19"/>
      <c r="Y7856" s="20"/>
    </row>
    <row r="7857" spans="24:25">
      <c r="X7857" s="19"/>
      <c r="Y7857" s="20"/>
    </row>
    <row r="7858" spans="24:25">
      <c r="X7858" s="19"/>
      <c r="Y7858" s="20"/>
    </row>
    <row r="7859" spans="24:25">
      <c r="X7859" s="19"/>
      <c r="Y7859" s="20"/>
    </row>
    <row r="7860" spans="24:25">
      <c r="X7860" s="19"/>
      <c r="Y7860" s="20"/>
    </row>
    <row r="7861" spans="24:25">
      <c r="X7861" s="19"/>
      <c r="Y7861" s="20"/>
    </row>
    <row r="7862" spans="24:25">
      <c r="X7862" s="19"/>
      <c r="Y7862" s="20"/>
    </row>
    <row r="7863" spans="24:25">
      <c r="X7863" s="19"/>
      <c r="Y7863" s="20"/>
    </row>
    <row r="7864" spans="24:25">
      <c r="X7864" s="19"/>
      <c r="Y7864" s="20"/>
    </row>
    <row r="7865" spans="24:25">
      <c r="X7865" s="19"/>
      <c r="Y7865" s="20"/>
    </row>
    <row r="7866" spans="24:25">
      <c r="X7866" s="19"/>
      <c r="Y7866" s="20"/>
    </row>
    <row r="7867" spans="24:25">
      <c r="X7867" s="19"/>
      <c r="Y7867" s="20"/>
    </row>
    <row r="7868" spans="24:25">
      <c r="X7868" s="19"/>
      <c r="Y7868" s="20"/>
    </row>
    <row r="7869" spans="24:25">
      <c r="X7869" s="19"/>
      <c r="Y7869" s="20"/>
    </row>
    <row r="7870" spans="24:25">
      <c r="X7870" s="19"/>
      <c r="Y7870" s="20"/>
    </row>
    <row r="7871" spans="24:25">
      <c r="X7871" s="19"/>
      <c r="Y7871" s="20"/>
    </row>
    <row r="7872" spans="24:25">
      <c r="X7872" s="19"/>
      <c r="Y7872" s="20"/>
    </row>
    <row r="7873" spans="24:25">
      <c r="X7873" s="19"/>
      <c r="Y7873" s="20"/>
    </row>
    <row r="7874" spans="24:25">
      <c r="X7874" s="19"/>
      <c r="Y7874" s="20"/>
    </row>
    <row r="7875" spans="24:25">
      <c r="X7875" s="19"/>
      <c r="Y7875" s="20"/>
    </row>
    <row r="7876" spans="24:25">
      <c r="X7876" s="19"/>
      <c r="Y7876" s="20"/>
    </row>
    <row r="7877" spans="24:25">
      <c r="X7877" s="19"/>
      <c r="Y7877" s="20"/>
    </row>
    <row r="7878" spans="24:25">
      <c r="X7878" s="19"/>
      <c r="Y7878" s="20"/>
    </row>
    <row r="7879" spans="24:25">
      <c r="X7879" s="19"/>
      <c r="Y7879" s="20"/>
    </row>
    <row r="7880" spans="24:25">
      <c r="X7880" s="19"/>
      <c r="Y7880" s="20"/>
    </row>
    <row r="7881" spans="24:25">
      <c r="X7881" s="19"/>
      <c r="Y7881" s="20"/>
    </row>
    <row r="7882" spans="24:25">
      <c r="X7882" s="19"/>
      <c r="Y7882" s="20"/>
    </row>
    <row r="7883" spans="24:25">
      <c r="X7883" s="19"/>
      <c r="Y7883" s="20"/>
    </row>
    <row r="7884" spans="24:25">
      <c r="X7884" s="19"/>
      <c r="Y7884" s="20"/>
    </row>
    <row r="7885" spans="24:25">
      <c r="X7885" s="19"/>
      <c r="Y7885" s="20"/>
    </row>
    <row r="7886" spans="24:25">
      <c r="X7886" s="19"/>
      <c r="Y7886" s="20"/>
    </row>
    <row r="7887" spans="24:25">
      <c r="X7887" s="19"/>
      <c r="Y7887" s="20"/>
    </row>
    <row r="7888" spans="24:25">
      <c r="X7888" s="19"/>
      <c r="Y7888" s="20"/>
    </row>
    <row r="7889" spans="24:25">
      <c r="X7889" s="19"/>
      <c r="Y7889" s="20"/>
    </row>
    <row r="7890" spans="24:25">
      <c r="X7890" s="19"/>
      <c r="Y7890" s="20"/>
    </row>
    <row r="7891" spans="24:25">
      <c r="X7891" s="19"/>
      <c r="Y7891" s="20"/>
    </row>
    <row r="7892" spans="24:25">
      <c r="X7892" s="19"/>
      <c r="Y7892" s="20"/>
    </row>
    <row r="7893" spans="24:25">
      <c r="X7893" s="19"/>
      <c r="Y7893" s="20"/>
    </row>
    <row r="7894" spans="24:25">
      <c r="X7894" s="19"/>
      <c r="Y7894" s="20"/>
    </row>
    <row r="7895" spans="24:25">
      <c r="X7895" s="19"/>
      <c r="Y7895" s="20"/>
    </row>
    <row r="7896" spans="24:25">
      <c r="X7896" s="19"/>
      <c r="Y7896" s="20"/>
    </row>
    <row r="7897" spans="24:25">
      <c r="X7897" s="19"/>
      <c r="Y7897" s="20"/>
    </row>
    <row r="7898" spans="24:25">
      <c r="X7898" s="19"/>
      <c r="Y7898" s="20"/>
    </row>
    <row r="7899" spans="24:25">
      <c r="X7899" s="19"/>
      <c r="Y7899" s="20"/>
    </row>
    <row r="7900" spans="24:25">
      <c r="X7900" s="19"/>
      <c r="Y7900" s="20"/>
    </row>
    <row r="7901" spans="24:25">
      <c r="X7901" s="19"/>
      <c r="Y7901" s="20"/>
    </row>
    <row r="7902" spans="24:25">
      <c r="X7902" s="19"/>
      <c r="Y7902" s="20"/>
    </row>
    <row r="7903" spans="24:25">
      <c r="X7903" s="19"/>
      <c r="Y7903" s="20"/>
    </row>
    <row r="7904" spans="24:25">
      <c r="X7904" s="19"/>
      <c r="Y7904" s="20"/>
    </row>
    <row r="7905" spans="24:25">
      <c r="X7905" s="19"/>
      <c r="Y7905" s="20"/>
    </row>
    <row r="7906" spans="24:25">
      <c r="X7906" s="19"/>
      <c r="Y7906" s="20"/>
    </row>
    <row r="7907" spans="24:25">
      <c r="X7907" s="19"/>
      <c r="Y7907" s="20"/>
    </row>
    <row r="7908" spans="24:25">
      <c r="X7908" s="19"/>
      <c r="Y7908" s="20"/>
    </row>
    <row r="7909" spans="24:25">
      <c r="X7909" s="19"/>
      <c r="Y7909" s="20"/>
    </row>
    <row r="7910" spans="24:25">
      <c r="X7910" s="19"/>
      <c r="Y7910" s="20"/>
    </row>
    <row r="7911" spans="24:25">
      <c r="X7911" s="19"/>
      <c r="Y7911" s="20"/>
    </row>
    <row r="7912" spans="24:25">
      <c r="X7912" s="19"/>
      <c r="Y7912" s="20"/>
    </row>
    <row r="7913" spans="24:25">
      <c r="X7913" s="19"/>
      <c r="Y7913" s="20"/>
    </row>
    <row r="7914" spans="24:25">
      <c r="X7914" s="19"/>
      <c r="Y7914" s="20"/>
    </row>
    <row r="7915" spans="24:25">
      <c r="X7915" s="19"/>
      <c r="Y7915" s="20"/>
    </row>
    <row r="7916" spans="24:25">
      <c r="X7916" s="19"/>
      <c r="Y7916" s="20"/>
    </row>
    <row r="7917" spans="24:25">
      <c r="X7917" s="19"/>
      <c r="Y7917" s="20"/>
    </row>
    <row r="7918" spans="24:25">
      <c r="X7918" s="19"/>
      <c r="Y7918" s="20"/>
    </row>
    <row r="7919" spans="24:25">
      <c r="X7919" s="19"/>
      <c r="Y7919" s="20"/>
    </row>
    <row r="7920" spans="24:25">
      <c r="X7920" s="19"/>
      <c r="Y7920" s="20"/>
    </row>
    <row r="7921" spans="24:25">
      <c r="X7921" s="19"/>
      <c r="Y7921" s="20"/>
    </row>
    <row r="7922" spans="24:25">
      <c r="X7922" s="19"/>
      <c r="Y7922" s="20"/>
    </row>
    <row r="7923" spans="24:25">
      <c r="X7923" s="19"/>
      <c r="Y7923" s="20"/>
    </row>
    <row r="7924" spans="24:25">
      <c r="X7924" s="19"/>
      <c r="Y7924" s="20"/>
    </row>
    <row r="7925" spans="24:25">
      <c r="X7925" s="19"/>
      <c r="Y7925" s="20"/>
    </row>
    <row r="7926" spans="24:25">
      <c r="X7926" s="19"/>
      <c r="Y7926" s="20"/>
    </row>
    <row r="7927" spans="24:25">
      <c r="X7927" s="19"/>
      <c r="Y7927" s="20"/>
    </row>
    <row r="7928" spans="24:25">
      <c r="X7928" s="19"/>
      <c r="Y7928" s="20"/>
    </row>
    <row r="7929" spans="24:25">
      <c r="X7929" s="19"/>
      <c r="Y7929" s="20"/>
    </row>
    <row r="7930" spans="24:25">
      <c r="X7930" s="19"/>
      <c r="Y7930" s="20"/>
    </row>
    <row r="7931" spans="24:25">
      <c r="X7931" s="19"/>
      <c r="Y7931" s="20"/>
    </row>
    <row r="7932" spans="24:25">
      <c r="X7932" s="19"/>
      <c r="Y7932" s="20"/>
    </row>
    <row r="7933" spans="24:25">
      <c r="X7933" s="19"/>
      <c r="Y7933" s="20"/>
    </row>
    <row r="7934" spans="24:25">
      <c r="X7934" s="19"/>
      <c r="Y7934" s="20"/>
    </row>
    <row r="7935" spans="24:25">
      <c r="X7935" s="19"/>
      <c r="Y7935" s="20"/>
    </row>
    <row r="7936" spans="24:25">
      <c r="X7936" s="19"/>
      <c r="Y7936" s="20"/>
    </row>
    <row r="7937" spans="24:25">
      <c r="X7937" s="19"/>
      <c r="Y7937" s="20"/>
    </row>
    <row r="7938" spans="24:25">
      <c r="X7938" s="19"/>
      <c r="Y7938" s="20"/>
    </row>
    <row r="7939" spans="24:25">
      <c r="X7939" s="19"/>
      <c r="Y7939" s="20"/>
    </row>
    <row r="7940" spans="24:25">
      <c r="X7940" s="19"/>
      <c r="Y7940" s="20"/>
    </row>
    <row r="7941" spans="24:25">
      <c r="X7941" s="19"/>
      <c r="Y7941" s="20"/>
    </row>
    <row r="7942" spans="24:25">
      <c r="X7942" s="19"/>
      <c r="Y7942" s="20"/>
    </row>
    <row r="7943" spans="24:25">
      <c r="X7943" s="19"/>
      <c r="Y7943" s="20"/>
    </row>
    <row r="7944" spans="24:25">
      <c r="X7944" s="19"/>
      <c r="Y7944" s="20"/>
    </row>
    <row r="7945" spans="24:25">
      <c r="X7945" s="19"/>
      <c r="Y7945" s="20"/>
    </row>
    <row r="7946" spans="24:25">
      <c r="X7946" s="19"/>
      <c r="Y7946" s="20"/>
    </row>
    <row r="7947" spans="24:25">
      <c r="X7947" s="19"/>
      <c r="Y7947" s="20"/>
    </row>
    <row r="7948" spans="24:25">
      <c r="X7948" s="19"/>
      <c r="Y7948" s="20"/>
    </row>
    <row r="7949" spans="24:25">
      <c r="X7949" s="19"/>
      <c r="Y7949" s="20"/>
    </row>
    <row r="7950" spans="24:25">
      <c r="X7950" s="19"/>
      <c r="Y7950" s="20"/>
    </row>
    <row r="7951" spans="24:25">
      <c r="X7951" s="19"/>
      <c r="Y7951" s="20"/>
    </row>
    <row r="7952" spans="24:25">
      <c r="X7952" s="19"/>
      <c r="Y7952" s="20"/>
    </row>
    <row r="7953" spans="24:25">
      <c r="X7953" s="19"/>
      <c r="Y7953" s="20"/>
    </row>
    <row r="7954" spans="24:25">
      <c r="X7954" s="19"/>
      <c r="Y7954" s="20"/>
    </row>
    <row r="7955" spans="24:25">
      <c r="X7955" s="19"/>
      <c r="Y7955" s="20"/>
    </row>
    <row r="7956" spans="24:25">
      <c r="X7956" s="19"/>
      <c r="Y7956" s="20"/>
    </row>
    <row r="7957" spans="24:25">
      <c r="X7957" s="19"/>
      <c r="Y7957" s="20"/>
    </row>
    <row r="7958" spans="24:25">
      <c r="X7958" s="19"/>
      <c r="Y7958" s="20"/>
    </row>
    <row r="7959" spans="24:25">
      <c r="X7959" s="19"/>
      <c r="Y7959" s="20"/>
    </row>
    <row r="7960" spans="24:25">
      <c r="X7960" s="19"/>
      <c r="Y7960" s="20"/>
    </row>
    <row r="7961" spans="24:25">
      <c r="X7961" s="19"/>
      <c r="Y7961" s="20"/>
    </row>
    <row r="7962" spans="24:25">
      <c r="X7962" s="19"/>
      <c r="Y7962" s="20"/>
    </row>
    <row r="7963" spans="24:25">
      <c r="X7963" s="19"/>
      <c r="Y7963" s="20"/>
    </row>
    <row r="7964" spans="24:25">
      <c r="X7964" s="19"/>
      <c r="Y7964" s="20"/>
    </row>
    <row r="7965" spans="24:25">
      <c r="X7965" s="19"/>
      <c r="Y7965" s="20"/>
    </row>
    <row r="7966" spans="24:25">
      <c r="X7966" s="19"/>
      <c r="Y7966" s="20"/>
    </row>
    <row r="7967" spans="24:25">
      <c r="X7967" s="19"/>
      <c r="Y7967" s="20"/>
    </row>
    <row r="7968" spans="24:25">
      <c r="X7968" s="19"/>
      <c r="Y7968" s="20"/>
    </row>
    <row r="7969" spans="24:25">
      <c r="X7969" s="19"/>
      <c r="Y7969" s="20"/>
    </row>
    <row r="7970" spans="24:25">
      <c r="X7970" s="19"/>
      <c r="Y7970" s="20"/>
    </row>
    <row r="7971" spans="24:25">
      <c r="X7971" s="19"/>
      <c r="Y7971" s="20"/>
    </row>
    <row r="7972" spans="24:25">
      <c r="X7972" s="19"/>
      <c r="Y7972" s="20"/>
    </row>
    <row r="7973" spans="24:25">
      <c r="X7973" s="19"/>
      <c r="Y7973" s="20"/>
    </row>
    <row r="7974" spans="24:25">
      <c r="X7974" s="19"/>
      <c r="Y7974" s="20"/>
    </row>
    <row r="7975" spans="24:25">
      <c r="X7975" s="19"/>
      <c r="Y7975" s="20"/>
    </row>
    <row r="7976" spans="24:25">
      <c r="X7976" s="19"/>
      <c r="Y7976" s="20"/>
    </row>
    <row r="7977" spans="24:25">
      <c r="X7977" s="19"/>
      <c r="Y7977" s="20"/>
    </row>
    <row r="7978" spans="24:25">
      <c r="X7978" s="19"/>
      <c r="Y7978" s="20"/>
    </row>
    <row r="7979" spans="24:25">
      <c r="X7979" s="19"/>
      <c r="Y7979" s="20"/>
    </row>
    <row r="7980" spans="24:25">
      <c r="X7980" s="19"/>
      <c r="Y7980" s="20"/>
    </row>
    <row r="7981" spans="24:25">
      <c r="X7981" s="19"/>
      <c r="Y7981" s="20"/>
    </row>
    <row r="7982" spans="24:25">
      <c r="X7982" s="19"/>
      <c r="Y7982" s="20"/>
    </row>
    <row r="7983" spans="24:25">
      <c r="X7983" s="19"/>
      <c r="Y7983" s="20"/>
    </row>
    <row r="7984" spans="24:25">
      <c r="X7984" s="19"/>
      <c r="Y7984" s="20"/>
    </row>
    <row r="7985" spans="24:25">
      <c r="X7985" s="19"/>
      <c r="Y7985" s="20"/>
    </row>
    <row r="7986" spans="24:25">
      <c r="X7986" s="19"/>
      <c r="Y7986" s="20"/>
    </row>
    <row r="7987" spans="24:25">
      <c r="X7987" s="19"/>
      <c r="Y7987" s="20"/>
    </row>
    <row r="7988" spans="24:25">
      <c r="X7988" s="19"/>
      <c r="Y7988" s="20"/>
    </row>
    <row r="7989" spans="24:25">
      <c r="X7989" s="19"/>
      <c r="Y7989" s="20"/>
    </row>
    <row r="7990" spans="24:25">
      <c r="X7990" s="19"/>
      <c r="Y7990" s="20"/>
    </row>
    <row r="7991" spans="24:25">
      <c r="X7991" s="19"/>
      <c r="Y7991" s="20"/>
    </row>
    <row r="7992" spans="24:25">
      <c r="X7992" s="19"/>
      <c r="Y7992" s="20"/>
    </row>
    <row r="7993" spans="24:25">
      <c r="X7993" s="19"/>
      <c r="Y7993" s="20"/>
    </row>
    <row r="7994" spans="24:25">
      <c r="X7994" s="19"/>
      <c r="Y7994" s="20"/>
    </row>
    <row r="7995" spans="24:25">
      <c r="X7995" s="19"/>
      <c r="Y7995" s="20"/>
    </row>
    <row r="7996" spans="24:25">
      <c r="X7996" s="19"/>
      <c r="Y7996" s="20"/>
    </row>
    <row r="7997" spans="24:25">
      <c r="X7997" s="19"/>
      <c r="Y7997" s="20"/>
    </row>
    <row r="7998" spans="24:25">
      <c r="X7998" s="19"/>
      <c r="Y7998" s="20"/>
    </row>
    <row r="7999" spans="24:25">
      <c r="X7999" s="19"/>
      <c r="Y7999" s="20"/>
    </row>
    <row r="8000" spans="24:25">
      <c r="X8000" s="19"/>
      <c r="Y8000" s="20"/>
    </row>
    <row r="8001" spans="24:25">
      <c r="X8001" s="19"/>
      <c r="Y8001" s="20"/>
    </row>
    <row r="8002" spans="24:25">
      <c r="X8002" s="19"/>
      <c r="Y8002" s="20"/>
    </row>
    <row r="8003" spans="24:25">
      <c r="X8003" s="19"/>
      <c r="Y8003" s="20"/>
    </row>
    <row r="8004" spans="24:25">
      <c r="X8004" s="19"/>
      <c r="Y8004" s="20"/>
    </row>
    <row r="8005" spans="24:25">
      <c r="X8005" s="19"/>
      <c r="Y8005" s="20"/>
    </row>
    <row r="8006" spans="24:25">
      <c r="X8006" s="19"/>
      <c r="Y8006" s="20"/>
    </row>
    <row r="8007" spans="24:25">
      <c r="X8007" s="19"/>
      <c r="Y8007" s="20"/>
    </row>
    <row r="8008" spans="24:25">
      <c r="X8008" s="19"/>
      <c r="Y8008" s="20"/>
    </row>
    <row r="8009" spans="24:25">
      <c r="X8009" s="19"/>
      <c r="Y8009" s="20"/>
    </row>
    <row r="8010" spans="24:25">
      <c r="X8010" s="19"/>
      <c r="Y8010" s="20"/>
    </row>
    <row r="8011" spans="24:25">
      <c r="X8011" s="19"/>
      <c r="Y8011" s="20"/>
    </row>
    <row r="8012" spans="24:25">
      <c r="X8012" s="19"/>
      <c r="Y8012" s="20"/>
    </row>
    <row r="8013" spans="24:25">
      <c r="X8013" s="19"/>
      <c r="Y8013" s="20"/>
    </row>
    <row r="8014" spans="24:25">
      <c r="X8014" s="19"/>
      <c r="Y8014" s="20"/>
    </row>
    <row r="8015" spans="24:25">
      <c r="X8015" s="19"/>
      <c r="Y8015" s="20"/>
    </row>
    <row r="8016" spans="24:25">
      <c r="X8016" s="19"/>
      <c r="Y8016" s="20"/>
    </row>
    <row r="8017" spans="24:25">
      <c r="X8017" s="19"/>
      <c r="Y8017" s="20"/>
    </row>
    <row r="8018" spans="24:25">
      <c r="X8018" s="19"/>
      <c r="Y8018" s="20"/>
    </row>
    <row r="8019" spans="24:25">
      <c r="X8019" s="19"/>
      <c r="Y8019" s="20"/>
    </row>
    <row r="8020" spans="24:25">
      <c r="X8020" s="19"/>
      <c r="Y8020" s="20"/>
    </row>
    <row r="8021" spans="24:25">
      <c r="X8021" s="19"/>
      <c r="Y8021" s="20"/>
    </row>
    <row r="8022" spans="24:25">
      <c r="X8022" s="19"/>
      <c r="Y8022" s="20"/>
    </row>
    <row r="8023" spans="24:25">
      <c r="X8023" s="19"/>
      <c r="Y8023" s="20"/>
    </row>
    <row r="8024" spans="24:25">
      <c r="X8024" s="19"/>
      <c r="Y8024" s="20"/>
    </row>
    <row r="8025" spans="24:25">
      <c r="X8025" s="19"/>
      <c r="Y8025" s="20"/>
    </row>
    <row r="8026" spans="24:25">
      <c r="X8026" s="19"/>
      <c r="Y8026" s="20"/>
    </row>
    <row r="8027" spans="24:25">
      <c r="X8027" s="19"/>
      <c r="Y8027" s="20"/>
    </row>
    <row r="8028" spans="24:25">
      <c r="X8028" s="19"/>
      <c r="Y8028" s="20"/>
    </row>
    <row r="8029" spans="24:25">
      <c r="X8029" s="19"/>
      <c r="Y8029" s="20"/>
    </row>
    <row r="8030" spans="24:25">
      <c r="X8030" s="19"/>
      <c r="Y8030" s="20"/>
    </row>
    <row r="8031" spans="24:25">
      <c r="X8031" s="19"/>
      <c r="Y8031" s="20"/>
    </row>
    <row r="8032" spans="24:25">
      <c r="X8032" s="19"/>
      <c r="Y8032" s="20"/>
    </row>
    <row r="8033" spans="24:25">
      <c r="X8033" s="19"/>
      <c r="Y8033" s="20"/>
    </row>
    <row r="8034" spans="24:25">
      <c r="X8034" s="19"/>
      <c r="Y8034" s="20"/>
    </row>
    <row r="8035" spans="24:25">
      <c r="X8035" s="19"/>
      <c r="Y8035" s="20"/>
    </row>
    <row r="8036" spans="24:25">
      <c r="X8036" s="19"/>
      <c r="Y8036" s="20"/>
    </row>
    <row r="8037" spans="24:25">
      <c r="X8037" s="19"/>
      <c r="Y8037" s="20"/>
    </row>
    <row r="8038" spans="24:25">
      <c r="X8038" s="19"/>
      <c r="Y8038" s="20"/>
    </row>
    <row r="8039" spans="24:25">
      <c r="X8039" s="19"/>
      <c r="Y8039" s="20"/>
    </row>
    <row r="8040" spans="24:25">
      <c r="X8040" s="19"/>
      <c r="Y8040" s="20"/>
    </row>
    <row r="8041" spans="24:25">
      <c r="X8041" s="19"/>
      <c r="Y8041" s="20"/>
    </row>
    <row r="8042" spans="24:25">
      <c r="X8042" s="19"/>
      <c r="Y8042" s="20"/>
    </row>
    <row r="8043" spans="24:25">
      <c r="X8043" s="19"/>
      <c r="Y8043" s="20"/>
    </row>
    <row r="8044" spans="24:25">
      <c r="X8044" s="19"/>
      <c r="Y8044" s="20"/>
    </row>
    <row r="8045" spans="24:25">
      <c r="X8045" s="19"/>
      <c r="Y8045" s="20"/>
    </row>
    <row r="8046" spans="24:25">
      <c r="X8046" s="19"/>
      <c r="Y8046" s="20"/>
    </row>
    <row r="8047" spans="24:25">
      <c r="X8047" s="19"/>
      <c r="Y8047" s="20"/>
    </row>
    <row r="8048" spans="24:25">
      <c r="X8048" s="19"/>
      <c r="Y8048" s="20"/>
    </row>
    <row r="8049" spans="24:25">
      <c r="X8049" s="19"/>
      <c r="Y8049" s="20"/>
    </row>
    <row r="8050" spans="24:25">
      <c r="X8050" s="19"/>
      <c r="Y8050" s="20"/>
    </row>
    <row r="8051" spans="24:25">
      <c r="X8051" s="19"/>
      <c r="Y8051" s="20"/>
    </row>
    <row r="8052" spans="24:25">
      <c r="X8052" s="19"/>
      <c r="Y8052" s="20"/>
    </row>
    <row r="8053" spans="24:25">
      <c r="X8053" s="19"/>
      <c r="Y8053" s="20"/>
    </row>
    <row r="8054" spans="24:25">
      <c r="X8054" s="19"/>
      <c r="Y8054" s="20"/>
    </row>
    <row r="8055" spans="24:25">
      <c r="X8055" s="19"/>
      <c r="Y8055" s="20"/>
    </row>
    <row r="8056" spans="24:25">
      <c r="X8056" s="19"/>
      <c r="Y8056" s="20"/>
    </row>
    <row r="8057" spans="24:25">
      <c r="X8057" s="19"/>
      <c r="Y8057" s="20"/>
    </row>
    <row r="8058" spans="24:25">
      <c r="X8058" s="19"/>
      <c r="Y8058" s="20"/>
    </row>
    <row r="8059" spans="24:25">
      <c r="X8059" s="19"/>
      <c r="Y8059" s="20"/>
    </row>
    <row r="8060" spans="24:25">
      <c r="X8060" s="19"/>
      <c r="Y8060" s="20"/>
    </row>
    <row r="8061" spans="24:25">
      <c r="X8061" s="19"/>
      <c r="Y8061" s="20"/>
    </row>
    <row r="8062" spans="24:25">
      <c r="X8062" s="19"/>
      <c r="Y8062" s="20"/>
    </row>
    <row r="8063" spans="24:25">
      <c r="X8063" s="19"/>
      <c r="Y8063" s="20"/>
    </row>
    <row r="8064" spans="24:25">
      <c r="X8064" s="19"/>
      <c r="Y8064" s="20"/>
    </row>
    <row r="8065" spans="24:25">
      <c r="X8065" s="19"/>
      <c r="Y8065" s="20"/>
    </row>
    <row r="8066" spans="24:25">
      <c r="X8066" s="19"/>
      <c r="Y8066" s="20"/>
    </row>
    <row r="8067" spans="24:25">
      <c r="X8067" s="19"/>
      <c r="Y8067" s="20"/>
    </row>
    <row r="8068" spans="24:25">
      <c r="X8068" s="19"/>
      <c r="Y8068" s="20"/>
    </row>
    <row r="8069" spans="24:25">
      <c r="X8069" s="19"/>
      <c r="Y8069" s="20"/>
    </row>
    <row r="8070" spans="24:25">
      <c r="X8070" s="19"/>
      <c r="Y8070" s="20"/>
    </row>
    <row r="8071" spans="24:25">
      <c r="X8071" s="19"/>
      <c r="Y8071" s="20"/>
    </row>
    <row r="8072" spans="24:25">
      <c r="X8072" s="19"/>
      <c r="Y8072" s="20"/>
    </row>
    <row r="8073" spans="24:25">
      <c r="X8073" s="19"/>
      <c r="Y8073" s="20"/>
    </row>
    <row r="8074" spans="24:25">
      <c r="X8074" s="19"/>
      <c r="Y8074" s="20"/>
    </row>
    <row r="8075" spans="24:25">
      <c r="X8075" s="19"/>
      <c r="Y8075" s="20"/>
    </row>
    <row r="8076" spans="24:25">
      <c r="X8076" s="19"/>
      <c r="Y8076" s="20"/>
    </row>
    <row r="8077" spans="24:25">
      <c r="X8077" s="19"/>
      <c r="Y8077" s="20"/>
    </row>
    <row r="8078" spans="24:25">
      <c r="X8078" s="19"/>
      <c r="Y8078" s="20"/>
    </row>
    <row r="8079" spans="24:25">
      <c r="X8079" s="19"/>
      <c r="Y8079" s="20"/>
    </row>
    <row r="8080" spans="24:25">
      <c r="X8080" s="19"/>
      <c r="Y8080" s="20"/>
    </row>
    <row r="8081" spans="24:25">
      <c r="X8081" s="19"/>
      <c r="Y8081" s="20"/>
    </row>
    <row r="8082" spans="24:25">
      <c r="X8082" s="19"/>
      <c r="Y8082" s="20"/>
    </row>
    <row r="8083" spans="24:25">
      <c r="X8083" s="19"/>
      <c r="Y8083" s="20"/>
    </row>
    <row r="8084" spans="24:25">
      <c r="X8084" s="19"/>
      <c r="Y8084" s="20"/>
    </row>
    <row r="8085" spans="24:25">
      <c r="X8085" s="19"/>
      <c r="Y8085" s="20"/>
    </row>
    <row r="8086" spans="24:25">
      <c r="X8086" s="19"/>
      <c r="Y8086" s="20"/>
    </row>
    <row r="8087" spans="24:25">
      <c r="X8087" s="19"/>
      <c r="Y8087" s="20"/>
    </row>
    <row r="8088" spans="24:25">
      <c r="X8088" s="19"/>
      <c r="Y8088" s="20"/>
    </row>
    <row r="8089" spans="24:25">
      <c r="X8089" s="19"/>
      <c r="Y8089" s="20"/>
    </row>
    <row r="8090" spans="24:25">
      <c r="X8090" s="19"/>
      <c r="Y8090" s="20"/>
    </row>
    <row r="8091" spans="24:25">
      <c r="X8091" s="19"/>
      <c r="Y8091" s="20"/>
    </row>
    <row r="8092" spans="24:25">
      <c r="X8092" s="19"/>
      <c r="Y8092" s="20"/>
    </row>
    <row r="8093" spans="24:25">
      <c r="X8093" s="19"/>
      <c r="Y8093" s="20"/>
    </row>
    <row r="8094" spans="24:25">
      <c r="X8094" s="19"/>
      <c r="Y8094" s="20"/>
    </row>
    <row r="8095" spans="24:25">
      <c r="X8095" s="19"/>
      <c r="Y8095" s="20"/>
    </row>
    <row r="8096" spans="24:25">
      <c r="X8096" s="19"/>
      <c r="Y8096" s="20"/>
    </row>
    <row r="8097" spans="24:25">
      <c r="X8097" s="19"/>
      <c r="Y8097" s="20"/>
    </row>
    <row r="8098" spans="24:25">
      <c r="X8098" s="19"/>
      <c r="Y8098" s="20"/>
    </row>
    <row r="8099" spans="24:25">
      <c r="X8099" s="19"/>
      <c r="Y8099" s="20"/>
    </row>
    <row r="8100" spans="24:25">
      <c r="X8100" s="19"/>
      <c r="Y8100" s="20"/>
    </row>
    <row r="8101" spans="24:25">
      <c r="X8101" s="19"/>
      <c r="Y8101" s="20"/>
    </row>
    <row r="8102" spans="24:25">
      <c r="X8102" s="19"/>
      <c r="Y8102" s="20"/>
    </row>
    <row r="8103" spans="24:25">
      <c r="X8103" s="19"/>
      <c r="Y8103" s="20"/>
    </row>
    <row r="8104" spans="24:25">
      <c r="X8104" s="19"/>
      <c r="Y8104" s="20"/>
    </row>
    <row r="8105" spans="24:25">
      <c r="X8105" s="19"/>
      <c r="Y8105" s="20"/>
    </row>
    <row r="8106" spans="24:25">
      <c r="X8106" s="19"/>
      <c r="Y8106" s="20"/>
    </row>
    <row r="8107" spans="24:25">
      <c r="X8107" s="19"/>
      <c r="Y8107" s="20"/>
    </row>
    <row r="8108" spans="24:25">
      <c r="X8108" s="19"/>
      <c r="Y8108" s="20"/>
    </row>
    <row r="8109" spans="24:25">
      <c r="X8109" s="19"/>
      <c r="Y8109" s="20"/>
    </row>
    <row r="8110" spans="24:25">
      <c r="X8110" s="19"/>
      <c r="Y8110" s="20"/>
    </row>
    <row r="8111" spans="24:25">
      <c r="X8111" s="19"/>
      <c r="Y8111" s="20"/>
    </row>
    <row r="8112" spans="24:25">
      <c r="X8112" s="19"/>
      <c r="Y8112" s="20"/>
    </row>
    <row r="8113" spans="24:25">
      <c r="X8113" s="19"/>
      <c r="Y8113" s="20"/>
    </row>
    <row r="8114" spans="24:25">
      <c r="X8114" s="19"/>
      <c r="Y8114" s="20"/>
    </row>
    <row r="8115" spans="24:25">
      <c r="X8115" s="19"/>
      <c r="Y8115" s="20"/>
    </row>
    <row r="8116" spans="24:25">
      <c r="X8116" s="19"/>
      <c r="Y8116" s="20"/>
    </row>
    <row r="8117" spans="24:25">
      <c r="X8117" s="19"/>
      <c r="Y8117" s="20"/>
    </row>
    <row r="8118" spans="24:25">
      <c r="X8118" s="19"/>
      <c r="Y8118" s="20"/>
    </row>
    <row r="8119" spans="24:25">
      <c r="X8119" s="19"/>
      <c r="Y8119" s="20"/>
    </row>
    <row r="8120" spans="24:25">
      <c r="X8120" s="19"/>
      <c r="Y8120" s="20"/>
    </row>
    <row r="8121" spans="24:25">
      <c r="X8121" s="19"/>
      <c r="Y8121" s="20"/>
    </row>
    <row r="8122" spans="24:25">
      <c r="X8122" s="19"/>
      <c r="Y8122" s="20"/>
    </row>
    <row r="8123" spans="24:25">
      <c r="X8123" s="19"/>
      <c r="Y8123" s="20"/>
    </row>
    <row r="8124" spans="24:25">
      <c r="X8124" s="19"/>
      <c r="Y8124" s="20"/>
    </row>
    <row r="8125" spans="24:25">
      <c r="X8125" s="19"/>
      <c r="Y8125" s="20"/>
    </row>
    <row r="8126" spans="24:25">
      <c r="X8126" s="19"/>
      <c r="Y8126" s="20"/>
    </row>
    <row r="8127" spans="24:25">
      <c r="X8127" s="19"/>
      <c r="Y8127" s="20"/>
    </row>
    <row r="8128" spans="24:25">
      <c r="X8128" s="19"/>
      <c r="Y8128" s="20"/>
    </row>
    <row r="8129" spans="24:25">
      <c r="X8129" s="19"/>
      <c r="Y8129" s="20"/>
    </row>
    <row r="8130" spans="24:25">
      <c r="X8130" s="19"/>
      <c r="Y8130" s="20"/>
    </row>
    <row r="8131" spans="24:25">
      <c r="X8131" s="19"/>
      <c r="Y8131" s="20"/>
    </row>
    <row r="8132" spans="24:25">
      <c r="X8132" s="19"/>
      <c r="Y8132" s="20"/>
    </row>
    <row r="8133" spans="24:25">
      <c r="X8133" s="19"/>
      <c r="Y8133" s="20"/>
    </row>
    <row r="8134" spans="24:25">
      <c r="X8134" s="19"/>
      <c r="Y8134" s="20"/>
    </row>
    <row r="8135" spans="24:25">
      <c r="X8135" s="19"/>
      <c r="Y8135" s="20"/>
    </row>
    <row r="8136" spans="24:25">
      <c r="X8136" s="19"/>
      <c r="Y8136" s="20"/>
    </row>
    <row r="8137" spans="24:25">
      <c r="X8137" s="19"/>
      <c r="Y8137" s="20"/>
    </row>
    <row r="8138" spans="24:25">
      <c r="X8138" s="19"/>
      <c r="Y8138" s="20"/>
    </row>
    <row r="8139" spans="24:25">
      <c r="X8139" s="19"/>
      <c r="Y8139" s="20"/>
    </row>
    <row r="8140" spans="24:25">
      <c r="X8140" s="19"/>
      <c r="Y8140" s="20"/>
    </row>
    <row r="8141" spans="24:25">
      <c r="X8141" s="19"/>
      <c r="Y8141" s="20"/>
    </row>
    <row r="8142" spans="24:25">
      <c r="X8142" s="19"/>
      <c r="Y8142" s="20"/>
    </row>
    <row r="8143" spans="24:25">
      <c r="X8143" s="19"/>
      <c r="Y8143" s="20"/>
    </row>
    <row r="8144" spans="24:25">
      <c r="X8144" s="19"/>
      <c r="Y8144" s="20"/>
    </row>
    <row r="8145" spans="24:25">
      <c r="X8145" s="19"/>
      <c r="Y8145" s="20"/>
    </row>
    <row r="8146" spans="24:25">
      <c r="X8146" s="19"/>
      <c r="Y8146" s="20"/>
    </row>
    <row r="8147" spans="24:25">
      <c r="X8147" s="19"/>
      <c r="Y8147" s="20"/>
    </row>
    <row r="8148" spans="24:25">
      <c r="X8148" s="19"/>
      <c r="Y8148" s="20"/>
    </row>
    <row r="8149" spans="24:25">
      <c r="X8149" s="19"/>
      <c r="Y8149" s="20"/>
    </row>
    <row r="8150" spans="24:25">
      <c r="X8150" s="19"/>
      <c r="Y8150" s="20"/>
    </row>
    <row r="8151" spans="24:25">
      <c r="X8151" s="19"/>
      <c r="Y8151" s="20"/>
    </row>
    <row r="8152" spans="24:25">
      <c r="X8152" s="19"/>
      <c r="Y8152" s="20"/>
    </row>
    <row r="8153" spans="24:25">
      <c r="X8153" s="19"/>
      <c r="Y8153" s="20"/>
    </row>
    <row r="8154" spans="24:25">
      <c r="X8154" s="19"/>
      <c r="Y8154" s="20"/>
    </row>
    <row r="8155" spans="24:25">
      <c r="X8155" s="19"/>
      <c r="Y8155" s="20"/>
    </row>
    <row r="8156" spans="24:25">
      <c r="X8156" s="19"/>
      <c r="Y8156" s="20"/>
    </row>
    <row r="8157" spans="24:25">
      <c r="X8157" s="19"/>
      <c r="Y8157" s="20"/>
    </row>
    <row r="8158" spans="24:25">
      <c r="X8158" s="19"/>
      <c r="Y8158" s="20"/>
    </row>
    <row r="8159" spans="24:25">
      <c r="X8159" s="19"/>
      <c r="Y8159" s="20"/>
    </row>
    <row r="8160" spans="24:25">
      <c r="X8160" s="19"/>
      <c r="Y8160" s="20"/>
    </row>
    <row r="8161" spans="24:25">
      <c r="X8161" s="19"/>
      <c r="Y8161" s="20"/>
    </row>
    <row r="8162" spans="24:25">
      <c r="X8162" s="19"/>
      <c r="Y8162" s="20"/>
    </row>
    <row r="8163" spans="24:25">
      <c r="X8163" s="19"/>
      <c r="Y8163" s="20"/>
    </row>
    <row r="8164" spans="24:25">
      <c r="X8164" s="19"/>
      <c r="Y8164" s="20"/>
    </row>
    <row r="8165" spans="24:25">
      <c r="X8165" s="19"/>
      <c r="Y8165" s="20"/>
    </row>
    <row r="8166" spans="24:25">
      <c r="X8166" s="19"/>
      <c r="Y8166" s="20"/>
    </row>
    <row r="8167" spans="24:25">
      <c r="X8167" s="19"/>
      <c r="Y8167" s="20"/>
    </row>
    <row r="8168" spans="24:25">
      <c r="X8168" s="19"/>
      <c r="Y8168" s="20"/>
    </row>
    <row r="8169" spans="24:25">
      <c r="X8169" s="19"/>
      <c r="Y8169" s="20"/>
    </row>
    <row r="8170" spans="24:25">
      <c r="X8170" s="19"/>
      <c r="Y8170" s="20"/>
    </row>
    <row r="8171" spans="24:25">
      <c r="X8171" s="19"/>
      <c r="Y8171" s="20"/>
    </row>
    <row r="8172" spans="24:25">
      <c r="X8172" s="19"/>
      <c r="Y8172" s="20"/>
    </row>
    <row r="8173" spans="24:25">
      <c r="X8173" s="19"/>
      <c r="Y8173" s="20"/>
    </row>
    <row r="8174" spans="24:25">
      <c r="X8174" s="19"/>
      <c r="Y8174" s="20"/>
    </row>
    <row r="8175" spans="24:25">
      <c r="X8175" s="19"/>
      <c r="Y8175" s="20"/>
    </row>
    <row r="8176" spans="24:25">
      <c r="X8176" s="19"/>
      <c r="Y8176" s="20"/>
    </row>
    <row r="8177" spans="24:25">
      <c r="X8177" s="19"/>
      <c r="Y8177" s="20"/>
    </row>
    <row r="8178" spans="24:25">
      <c r="X8178" s="19"/>
      <c r="Y8178" s="20"/>
    </row>
    <row r="8179" spans="24:25">
      <c r="X8179" s="19"/>
      <c r="Y8179" s="20"/>
    </row>
    <row r="8180" spans="24:25">
      <c r="X8180" s="19"/>
      <c r="Y8180" s="20"/>
    </row>
    <row r="8181" spans="24:25">
      <c r="X8181" s="19"/>
      <c r="Y8181" s="20"/>
    </row>
    <row r="8182" spans="24:25">
      <c r="X8182" s="19"/>
      <c r="Y8182" s="20"/>
    </row>
    <row r="8183" spans="24:25">
      <c r="X8183" s="19"/>
      <c r="Y8183" s="20"/>
    </row>
    <row r="8184" spans="24:25">
      <c r="X8184" s="19"/>
      <c r="Y8184" s="20"/>
    </row>
    <row r="8185" spans="24:25">
      <c r="X8185" s="19"/>
      <c r="Y8185" s="20"/>
    </row>
    <row r="8186" spans="24:25">
      <c r="X8186" s="19"/>
      <c r="Y8186" s="20"/>
    </row>
    <row r="8187" spans="24:25">
      <c r="X8187" s="19"/>
      <c r="Y8187" s="20"/>
    </row>
    <row r="8188" spans="24:25">
      <c r="X8188" s="19"/>
      <c r="Y8188" s="20"/>
    </row>
    <row r="8189" spans="24:25">
      <c r="X8189" s="19"/>
      <c r="Y8189" s="20"/>
    </row>
    <row r="8190" spans="24:25">
      <c r="X8190" s="19"/>
      <c r="Y8190" s="20"/>
    </row>
    <row r="8191" spans="24:25">
      <c r="X8191" s="19"/>
      <c r="Y8191" s="20"/>
    </row>
    <row r="8192" spans="24:25">
      <c r="X8192" s="19"/>
      <c r="Y8192" s="20"/>
    </row>
    <row r="8193" spans="24:25">
      <c r="X8193" s="19"/>
      <c r="Y8193" s="20"/>
    </row>
    <row r="8194" spans="24:25">
      <c r="X8194" s="19"/>
      <c r="Y8194" s="20"/>
    </row>
    <row r="8195" spans="24:25">
      <c r="X8195" s="19"/>
      <c r="Y8195" s="20"/>
    </row>
    <row r="8196" spans="24:25">
      <c r="X8196" s="19"/>
      <c r="Y8196" s="20"/>
    </row>
    <row r="8197" spans="24:25">
      <c r="X8197" s="19"/>
      <c r="Y8197" s="20"/>
    </row>
    <row r="8198" spans="24:25">
      <c r="X8198" s="19"/>
      <c r="Y8198" s="20"/>
    </row>
    <row r="8199" spans="24:25">
      <c r="X8199" s="19"/>
      <c r="Y8199" s="20"/>
    </row>
    <row r="8200" spans="24:25">
      <c r="X8200" s="19"/>
      <c r="Y8200" s="20"/>
    </row>
    <row r="8201" spans="24:25">
      <c r="X8201" s="19"/>
      <c r="Y8201" s="20"/>
    </row>
    <row r="8202" spans="24:25">
      <c r="X8202" s="19"/>
      <c r="Y8202" s="20"/>
    </row>
    <row r="8203" spans="24:25">
      <c r="X8203" s="19"/>
      <c r="Y8203" s="20"/>
    </row>
    <row r="8204" spans="24:25">
      <c r="X8204" s="19"/>
      <c r="Y8204" s="20"/>
    </row>
    <row r="8205" spans="24:25">
      <c r="X8205" s="19"/>
      <c r="Y8205" s="20"/>
    </row>
    <row r="8206" spans="24:25">
      <c r="X8206" s="19"/>
      <c r="Y8206" s="20"/>
    </row>
    <row r="8207" spans="24:25">
      <c r="X8207" s="19"/>
      <c r="Y8207" s="20"/>
    </row>
    <row r="8208" spans="24:25">
      <c r="X8208" s="19"/>
      <c r="Y8208" s="20"/>
    </row>
    <row r="8209" spans="24:25">
      <c r="X8209" s="19"/>
      <c r="Y8209" s="20"/>
    </row>
    <row r="8210" spans="24:25">
      <c r="X8210" s="19"/>
      <c r="Y8210" s="20"/>
    </row>
    <row r="8211" spans="24:25">
      <c r="X8211" s="19"/>
      <c r="Y8211" s="20"/>
    </row>
    <row r="8212" spans="24:25">
      <c r="X8212" s="19"/>
      <c r="Y8212" s="20"/>
    </row>
    <row r="8213" spans="24:25">
      <c r="X8213" s="19"/>
      <c r="Y8213" s="20"/>
    </row>
    <row r="8214" spans="24:25">
      <c r="X8214" s="19"/>
      <c r="Y8214" s="20"/>
    </row>
    <row r="8215" spans="24:25">
      <c r="X8215" s="19"/>
      <c r="Y8215" s="20"/>
    </row>
    <row r="8216" spans="24:25">
      <c r="X8216" s="19"/>
      <c r="Y8216" s="20"/>
    </row>
    <row r="8217" spans="24:25">
      <c r="X8217" s="19"/>
      <c r="Y8217" s="20"/>
    </row>
    <row r="8218" spans="24:25">
      <c r="X8218" s="19"/>
      <c r="Y8218" s="20"/>
    </row>
    <row r="8219" spans="24:25">
      <c r="X8219" s="19"/>
      <c r="Y8219" s="20"/>
    </row>
    <row r="8220" spans="24:25">
      <c r="X8220" s="19"/>
      <c r="Y8220" s="20"/>
    </row>
    <row r="8221" spans="24:25">
      <c r="X8221" s="19"/>
      <c r="Y8221" s="20"/>
    </row>
    <row r="8222" spans="24:25">
      <c r="X8222" s="19"/>
      <c r="Y8222" s="20"/>
    </row>
    <row r="8223" spans="24:25">
      <c r="X8223" s="19"/>
      <c r="Y8223" s="20"/>
    </row>
    <row r="8224" spans="24:25">
      <c r="X8224" s="19"/>
      <c r="Y8224" s="20"/>
    </row>
    <row r="8225" spans="24:25">
      <c r="X8225" s="19"/>
      <c r="Y8225" s="20"/>
    </row>
    <row r="8226" spans="24:25">
      <c r="X8226" s="19"/>
      <c r="Y8226" s="20"/>
    </row>
    <row r="8227" spans="24:25">
      <c r="X8227" s="19"/>
      <c r="Y8227" s="20"/>
    </row>
    <row r="8228" spans="24:25">
      <c r="X8228" s="19"/>
      <c r="Y8228" s="20"/>
    </row>
    <row r="8229" spans="24:25">
      <c r="X8229" s="19"/>
      <c r="Y8229" s="20"/>
    </row>
    <row r="8230" spans="24:25">
      <c r="X8230" s="19"/>
      <c r="Y8230" s="20"/>
    </row>
    <row r="8231" spans="24:25">
      <c r="X8231" s="19"/>
      <c r="Y8231" s="20"/>
    </row>
    <row r="8232" spans="24:25">
      <c r="X8232" s="19"/>
      <c r="Y8232" s="20"/>
    </row>
    <row r="8233" spans="24:25">
      <c r="X8233" s="19"/>
      <c r="Y8233" s="20"/>
    </row>
    <row r="8234" spans="24:25">
      <c r="X8234" s="19"/>
      <c r="Y8234" s="20"/>
    </row>
    <row r="8235" spans="24:25">
      <c r="X8235" s="19"/>
      <c r="Y8235" s="20"/>
    </row>
    <row r="8236" spans="24:25">
      <c r="X8236" s="19"/>
      <c r="Y8236" s="20"/>
    </row>
    <row r="8237" spans="24:25">
      <c r="X8237" s="19"/>
      <c r="Y8237" s="20"/>
    </row>
    <row r="8238" spans="24:25">
      <c r="X8238" s="19"/>
      <c r="Y8238" s="20"/>
    </row>
    <row r="8239" spans="24:25">
      <c r="X8239" s="19"/>
      <c r="Y8239" s="20"/>
    </row>
    <row r="8240" spans="24:25">
      <c r="X8240" s="19"/>
      <c r="Y8240" s="20"/>
    </row>
    <row r="8241" spans="24:25">
      <c r="X8241" s="19"/>
      <c r="Y8241" s="20"/>
    </row>
    <row r="8242" spans="24:25">
      <c r="X8242" s="19"/>
      <c r="Y8242" s="20"/>
    </row>
    <row r="8243" spans="24:25">
      <c r="X8243" s="19"/>
      <c r="Y8243" s="20"/>
    </row>
    <row r="8244" spans="24:25">
      <c r="X8244" s="19"/>
      <c r="Y8244" s="20"/>
    </row>
    <row r="8245" spans="24:25">
      <c r="X8245" s="19"/>
      <c r="Y8245" s="20"/>
    </row>
    <row r="8246" spans="24:25">
      <c r="X8246" s="19"/>
      <c r="Y8246" s="20"/>
    </row>
    <row r="8247" spans="24:25">
      <c r="X8247" s="19"/>
      <c r="Y8247" s="20"/>
    </row>
    <row r="8248" spans="24:25">
      <c r="X8248" s="19"/>
      <c r="Y8248" s="20"/>
    </row>
    <row r="8249" spans="24:25">
      <c r="X8249" s="19"/>
      <c r="Y8249" s="20"/>
    </row>
    <row r="8250" spans="24:25">
      <c r="X8250" s="19"/>
      <c r="Y8250" s="20"/>
    </row>
    <row r="8251" spans="24:25">
      <c r="X8251" s="19"/>
      <c r="Y8251" s="20"/>
    </row>
    <row r="8252" spans="24:25">
      <c r="X8252" s="19"/>
      <c r="Y8252" s="20"/>
    </row>
    <row r="8253" spans="24:25">
      <c r="X8253" s="19"/>
      <c r="Y8253" s="20"/>
    </row>
    <row r="8254" spans="24:25">
      <c r="X8254" s="19"/>
      <c r="Y8254" s="20"/>
    </row>
    <row r="8255" spans="24:25">
      <c r="X8255" s="19"/>
      <c r="Y8255" s="20"/>
    </row>
    <row r="8256" spans="24:25">
      <c r="X8256" s="19"/>
      <c r="Y8256" s="20"/>
    </row>
    <row r="8257" spans="24:25">
      <c r="X8257" s="19"/>
      <c r="Y8257" s="20"/>
    </row>
    <row r="8258" spans="24:25">
      <c r="X8258" s="19"/>
      <c r="Y8258" s="20"/>
    </row>
    <row r="8259" spans="24:25">
      <c r="X8259" s="19"/>
      <c r="Y8259" s="20"/>
    </row>
    <row r="8260" spans="24:25">
      <c r="X8260" s="19"/>
      <c r="Y8260" s="20"/>
    </row>
    <row r="8261" spans="24:25">
      <c r="X8261" s="19"/>
      <c r="Y8261" s="20"/>
    </row>
    <row r="8262" spans="24:25">
      <c r="X8262" s="19"/>
      <c r="Y8262" s="20"/>
    </row>
    <row r="8263" spans="24:25">
      <c r="X8263" s="19"/>
      <c r="Y8263" s="20"/>
    </row>
    <row r="8264" spans="24:25">
      <c r="X8264" s="19"/>
      <c r="Y8264" s="20"/>
    </row>
    <row r="8265" spans="24:25">
      <c r="X8265" s="19"/>
      <c r="Y8265" s="20"/>
    </row>
    <row r="8266" spans="24:25">
      <c r="X8266" s="19"/>
      <c r="Y8266" s="20"/>
    </row>
    <row r="8267" spans="24:25">
      <c r="X8267" s="19"/>
      <c r="Y8267" s="20"/>
    </row>
    <row r="8268" spans="24:25">
      <c r="X8268" s="19"/>
      <c r="Y8268" s="20"/>
    </row>
    <row r="8269" spans="24:25">
      <c r="X8269" s="19"/>
      <c r="Y8269" s="20"/>
    </row>
    <row r="8270" spans="24:25">
      <c r="X8270" s="19"/>
      <c r="Y8270" s="20"/>
    </row>
    <row r="8271" spans="24:25">
      <c r="X8271" s="19"/>
      <c r="Y8271" s="20"/>
    </row>
    <row r="8272" spans="24:25">
      <c r="X8272" s="19"/>
      <c r="Y8272" s="20"/>
    </row>
    <row r="8273" spans="24:25">
      <c r="X8273" s="19"/>
      <c r="Y8273" s="20"/>
    </row>
    <row r="8274" spans="24:25">
      <c r="X8274" s="19"/>
      <c r="Y8274" s="20"/>
    </row>
    <row r="8275" spans="24:25">
      <c r="X8275" s="19"/>
      <c r="Y8275" s="20"/>
    </row>
    <row r="8276" spans="24:25">
      <c r="X8276" s="19"/>
      <c r="Y8276" s="20"/>
    </row>
    <row r="8277" spans="24:25">
      <c r="X8277" s="19"/>
      <c r="Y8277" s="20"/>
    </row>
    <row r="8278" spans="24:25">
      <c r="X8278" s="19"/>
      <c r="Y8278" s="20"/>
    </row>
    <row r="8279" spans="24:25">
      <c r="X8279" s="19"/>
      <c r="Y8279" s="20"/>
    </row>
    <row r="8280" spans="24:25">
      <c r="X8280" s="19"/>
      <c r="Y8280" s="20"/>
    </row>
    <row r="8281" spans="24:25">
      <c r="X8281" s="19"/>
      <c r="Y8281" s="20"/>
    </row>
    <row r="8282" spans="24:25">
      <c r="X8282" s="19"/>
      <c r="Y8282" s="20"/>
    </row>
    <row r="8283" spans="24:25">
      <c r="X8283" s="19"/>
      <c r="Y8283" s="20"/>
    </row>
    <row r="8284" spans="24:25">
      <c r="X8284" s="19"/>
      <c r="Y8284" s="20"/>
    </row>
    <row r="8285" spans="24:25">
      <c r="X8285" s="19"/>
      <c r="Y8285" s="20"/>
    </row>
    <row r="8286" spans="24:25">
      <c r="X8286" s="19"/>
      <c r="Y8286" s="20"/>
    </row>
    <row r="8287" spans="24:25">
      <c r="X8287" s="19"/>
      <c r="Y8287" s="20"/>
    </row>
    <row r="8288" spans="24:25">
      <c r="X8288" s="19"/>
      <c r="Y8288" s="20"/>
    </row>
    <row r="8289" spans="24:25">
      <c r="X8289" s="19"/>
      <c r="Y8289" s="20"/>
    </row>
    <row r="8290" spans="24:25">
      <c r="X8290" s="19"/>
      <c r="Y8290" s="20"/>
    </row>
    <row r="8291" spans="24:25">
      <c r="X8291" s="19"/>
      <c r="Y8291" s="20"/>
    </row>
    <row r="8292" spans="24:25">
      <c r="X8292" s="19"/>
      <c r="Y8292" s="20"/>
    </row>
    <row r="8293" spans="24:25">
      <c r="X8293" s="19"/>
      <c r="Y8293" s="20"/>
    </row>
    <row r="8294" spans="24:25">
      <c r="X8294" s="19"/>
      <c r="Y8294" s="20"/>
    </row>
    <row r="8295" spans="24:25">
      <c r="X8295" s="19"/>
      <c r="Y8295" s="20"/>
    </row>
    <row r="8296" spans="24:25">
      <c r="X8296" s="19"/>
      <c r="Y8296" s="20"/>
    </row>
    <row r="8297" spans="24:25">
      <c r="X8297" s="19"/>
      <c r="Y8297" s="20"/>
    </row>
    <row r="8298" spans="24:25">
      <c r="X8298" s="19"/>
      <c r="Y8298" s="20"/>
    </row>
    <row r="8299" spans="24:25">
      <c r="X8299" s="19"/>
      <c r="Y8299" s="20"/>
    </row>
    <row r="8300" spans="24:25">
      <c r="X8300" s="19"/>
      <c r="Y8300" s="20"/>
    </row>
    <row r="8301" spans="24:25">
      <c r="X8301" s="19"/>
      <c r="Y8301" s="20"/>
    </row>
    <row r="8302" spans="24:25">
      <c r="X8302" s="19"/>
      <c r="Y8302" s="20"/>
    </row>
    <row r="8303" spans="24:25">
      <c r="X8303" s="19"/>
      <c r="Y8303" s="20"/>
    </row>
    <row r="8304" spans="24:25">
      <c r="X8304" s="19"/>
      <c r="Y8304" s="20"/>
    </row>
    <row r="8305" spans="24:25">
      <c r="X8305" s="19"/>
      <c r="Y8305" s="20"/>
    </row>
    <row r="8306" spans="24:25">
      <c r="X8306" s="19"/>
      <c r="Y8306" s="20"/>
    </row>
    <row r="8307" spans="24:25">
      <c r="X8307" s="19"/>
      <c r="Y8307" s="20"/>
    </row>
    <row r="8308" spans="24:25">
      <c r="X8308" s="19"/>
      <c r="Y8308" s="20"/>
    </row>
    <row r="8309" spans="24:25">
      <c r="X8309" s="19"/>
      <c r="Y8309" s="20"/>
    </row>
    <row r="8310" spans="24:25">
      <c r="X8310" s="19"/>
      <c r="Y8310" s="20"/>
    </row>
    <row r="8311" spans="24:25">
      <c r="X8311" s="19"/>
      <c r="Y8311" s="20"/>
    </row>
    <row r="8312" spans="24:25">
      <c r="X8312" s="19"/>
      <c r="Y8312" s="20"/>
    </row>
    <row r="8313" spans="24:25">
      <c r="X8313" s="19"/>
      <c r="Y8313" s="20"/>
    </row>
    <row r="8314" spans="24:25">
      <c r="X8314" s="19"/>
      <c r="Y8314" s="20"/>
    </row>
    <row r="8315" spans="24:25">
      <c r="X8315" s="19"/>
      <c r="Y8315" s="20"/>
    </row>
    <row r="8316" spans="24:25">
      <c r="X8316" s="19"/>
      <c r="Y8316" s="20"/>
    </row>
    <row r="8317" spans="24:25">
      <c r="X8317" s="19"/>
      <c r="Y8317" s="20"/>
    </row>
    <row r="8318" spans="24:25">
      <c r="X8318" s="19"/>
      <c r="Y8318" s="20"/>
    </row>
    <row r="8319" spans="24:25">
      <c r="X8319" s="19"/>
      <c r="Y8319" s="20"/>
    </row>
    <row r="8320" spans="24:25">
      <c r="X8320" s="19"/>
      <c r="Y8320" s="20"/>
    </row>
    <row r="8321" spans="24:25">
      <c r="X8321" s="19"/>
      <c r="Y8321" s="20"/>
    </row>
    <row r="8322" spans="24:25">
      <c r="X8322" s="19"/>
      <c r="Y8322" s="20"/>
    </row>
    <row r="8323" spans="24:25">
      <c r="X8323" s="19"/>
      <c r="Y8323" s="20"/>
    </row>
    <row r="8324" spans="24:25">
      <c r="X8324" s="19"/>
      <c r="Y8324" s="20"/>
    </row>
    <row r="8325" spans="24:25">
      <c r="X8325" s="19"/>
      <c r="Y8325" s="20"/>
    </row>
    <row r="8326" spans="24:25">
      <c r="X8326" s="19"/>
      <c r="Y8326" s="20"/>
    </row>
    <row r="8327" spans="24:25">
      <c r="X8327" s="19"/>
      <c r="Y8327" s="20"/>
    </row>
    <row r="8328" spans="24:25">
      <c r="X8328" s="19"/>
      <c r="Y8328" s="20"/>
    </row>
    <row r="8329" spans="24:25">
      <c r="X8329" s="19"/>
      <c r="Y8329" s="20"/>
    </row>
    <row r="8330" spans="24:25">
      <c r="X8330" s="19"/>
      <c r="Y8330" s="20"/>
    </row>
    <row r="8331" spans="24:25">
      <c r="X8331" s="19"/>
      <c r="Y8331" s="20"/>
    </row>
    <row r="8332" spans="24:25">
      <c r="X8332" s="19"/>
      <c r="Y8332" s="20"/>
    </row>
    <row r="8333" spans="24:25">
      <c r="X8333" s="19"/>
      <c r="Y8333" s="20"/>
    </row>
    <row r="8334" spans="24:25">
      <c r="X8334" s="19"/>
      <c r="Y8334" s="20"/>
    </row>
    <row r="8335" spans="24:25">
      <c r="X8335" s="19"/>
      <c r="Y8335" s="20"/>
    </row>
    <row r="8336" spans="24:25">
      <c r="X8336" s="19"/>
      <c r="Y8336" s="20"/>
    </row>
    <row r="8337" spans="24:25">
      <c r="X8337" s="19"/>
      <c r="Y8337" s="20"/>
    </row>
    <row r="8338" spans="24:25">
      <c r="X8338" s="19"/>
      <c r="Y8338" s="20"/>
    </row>
    <row r="8339" spans="24:25">
      <c r="X8339" s="19"/>
      <c r="Y8339" s="20"/>
    </row>
    <row r="8340" spans="24:25">
      <c r="X8340" s="19"/>
      <c r="Y8340" s="20"/>
    </row>
    <row r="8341" spans="24:25">
      <c r="X8341" s="19"/>
      <c r="Y8341" s="20"/>
    </row>
    <row r="8342" spans="24:25">
      <c r="X8342" s="19"/>
      <c r="Y8342" s="20"/>
    </row>
    <row r="8343" spans="24:25">
      <c r="X8343" s="19"/>
      <c r="Y8343" s="20"/>
    </row>
    <row r="8344" spans="24:25">
      <c r="X8344" s="19"/>
      <c r="Y8344" s="20"/>
    </row>
    <row r="8345" spans="24:25">
      <c r="X8345" s="19"/>
      <c r="Y8345" s="20"/>
    </row>
    <row r="8346" spans="24:25">
      <c r="X8346" s="19"/>
      <c r="Y8346" s="20"/>
    </row>
    <row r="8347" spans="24:25">
      <c r="X8347" s="19"/>
      <c r="Y8347" s="20"/>
    </row>
    <row r="8348" spans="24:25">
      <c r="X8348" s="19"/>
      <c r="Y8348" s="20"/>
    </row>
    <row r="8349" spans="24:25">
      <c r="X8349" s="19"/>
      <c r="Y8349" s="20"/>
    </row>
    <row r="8350" spans="24:25">
      <c r="X8350" s="19"/>
      <c r="Y8350" s="20"/>
    </row>
    <row r="8351" spans="24:25">
      <c r="X8351" s="19"/>
      <c r="Y8351" s="20"/>
    </row>
    <row r="8352" spans="24:25">
      <c r="X8352" s="19"/>
      <c r="Y8352" s="20"/>
    </row>
    <row r="8353" spans="24:25">
      <c r="X8353" s="19"/>
      <c r="Y8353" s="20"/>
    </row>
    <row r="8354" spans="24:25">
      <c r="X8354" s="19"/>
      <c r="Y8354" s="20"/>
    </row>
    <row r="8355" spans="24:25">
      <c r="X8355" s="19"/>
      <c r="Y8355" s="20"/>
    </row>
    <row r="8356" spans="24:25">
      <c r="X8356" s="19"/>
      <c r="Y8356" s="20"/>
    </row>
    <row r="8357" spans="24:25">
      <c r="X8357" s="19"/>
      <c r="Y8357" s="20"/>
    </row>
    <row r="8358" spans="24:25">
      <c r="X8358" s="19"/>
      <c r="Y8358" s="20"/>
    </row>
    <row r="8359" spans="24:25">
      <c r="X8359" s="19"/>
      <c r="Y8359" s="20"/>
    </row>
    <row r="8360" spans="24:25">
      <c r="X8360" s="19"/>
      <c r="Y8360" s="20"/>
    </row>
    <row r="8361" spans="24:25">
      <c r="X8361" s="19"/>
      <c r="Y8361" s="20"/>
    </row>
    <row r="8362" spans="24:25">
      <c r="X8362" s="19"/>
      <c r="Y8362" s="20"/>
    </row>
    <row r="8363" spans="24:25">
      <c r="X8363" s="19"/>
      <c r="Y8363" s="20"/>
    </row>
    <row r="8364" spans="24:25">
      <c r="X8364" s="19"/>
      <c r="Y8364" s="20"/>
    </row>
    <row r="8365" spans="24:25">
      <c r="X8365" s="19"/>
      <c r="Y8365" s="20"/>
    </row>
    <row r="8366" spans="24:25">
      <c r="X8366" s="19"/>
      <c r="Y8366" s="20"/>
    </row>
    <row r="8367" spans="24:25">
      <c r="X8367" s="19"/>
      <c r="Y8367" s="20"/>
    </row>
    <row r="8368" spans="24:25">
      <c r="X8368" s="19"/>
      <c r="Y8368" s="20"/>
    </row>
    <row r="8369" spans="24:25">
      <c r="X8369" s="19"/>
      <c r="Y8369" s="20"/>
    </row>
    <row r="8370" spans="24:25">
      <c r="X8370" s="19"/>
      <c r="Y8370" s="20"/>
    </row>
    <row r="8371" spans="24:25">
      <c r="X8371" s="19"/>
      <c r="Y8371" s="20"/>
    </row>
    <row r="8372" spans="24:25">
      <c r="X8372" s="19"/>
      <c r="Y8372" s="20"/>
    </row>
    <row r="8373" spans="24:25">
      <c r="X8373" s="19"/>
      <c r="Y8373" s="20"/>
    </row>
    <row r="8374" spans="24:25">
      <c r="X8374" s="19"/>
      <c r="Y8374" s="20"/>
    </row>
    <row r="8375" spans="24:25">
      <c r="X8375" s="19"/>
      <c r="Y8375" s="20"/>
    </row>
    <row r="8376" spans="24:25">
      <c r="X8376" s="19"/>
      <c r="Y8376" s="20"/>
    </row>
    <row r="8377" spans="24:25">
      <c r="X8377" s="19"/>
      <c r="Y8377" s="20"/>
    </row>
    <row r="8378" spans="24:25">
      <c r="X8378" s="19"/>
      <c r="Y8378" s="20"/>
    </row>
    <row r="8379" spans="24:25">
      <c r="X8379" s="19"/>
      <c r="Y8379" s="20"/>
    </row>
    <row r="8380" spans="24:25">
      <c r="X8380" s="19"/>
      <c r="Y8380" s="20"/>
    </row>
    <row r="8381" spans="24:25">
      <c r="X8381" s="19"/>
      <c r="Y8381" s="20"/>
    </row>
    <row r="8382" spans="24:25">
      <c r="X8382" s="19"/>
      <c r="Y8382" s="20"/>
    </row>
    <row r="8383" spans="24:25">
      <c r="X8383" s="19"/>
      <c r="Y8383" s="20"/>
    </row>
    <row r="8384" spans="24:25">
      <c r="X8384" s="19"/>
      <c r="Y8384" s="20"/>
    </row>
    <row r="8385" spans="24:25">
      <c r="X8385" s="19"/>
      <c r="Y8385" s="20"/>
    </row>
    <row r="8386" spans="24:25">
      <c r="X8386" s="19"/>
      <c r="Y8386" s="20"/>
    </row>
    <row r="8387" spans="24:25">
      <c r="X8387" s="19"/>
      <c r="Y8387" s="20"/>
    </row>
    <row r="8388" spans="24:25">
      <c r="X8388" s="19"/>
      <c r="Y8388" s="20"/>
    </row>
    <row r="8389" spans="24:25">
      <c r="X8389" s="19"/>
      <c r="Y8389" s="20"/>
    </row>
    <row r="8390" spans="24:25">
      <c r="X8390" s="19"/>
      <c r="Y8390" s="20"/>
    </row>
    <row r="8391" spans="24:25">
      <c r="X8391" s="19"/>
      <c r="Y8391" s="20"/>
    </row>
    <row r="8392" spans="24:25">
      <c r="X8392" s="19"/>
      <c r="Y8392" s="20"/>
    </row>
    <row r="8393" spans="24:25">
      <c r="X8393" s="19"/>
      <c r="Y8393" s="20"/>
    </row>
    <row r="8394" spans="24:25">
      <c r="X8394" s="19"/>
      <c r="Y8394" s="20"/>
    </row>
    <row r="8395" spans="24:25">
      <c r="X8395" s="19"/>
      <c r="Y8395" s="20"/>
    </row>
    <row r="8396" spans="24:25">
      <c r="X8396" s="19"/>
      <c r="Y8396" s="20"/>
    </row>
    <row r="8397" spans="24:25">
      <c r="X8397" s="19"/>
      <c r="Y8397" s="20"/>
    </row>
    <row r="8398" spans="24:25">
      <c r="X8398" s="19"/>
      <c r="Y8398" s="20"/>
    </row>
    <row r="8399" spans="24:25">
      <c r="X8399" s="19"/>
      <c r="Y8399" s="20"/>
    </row>
    <row r="8400" spans="24:25">
      <c r="X8400" s="19"/>
      <c r="Y8400" s="20"/>
    </row>
    <row r="8401" spans="24:25">
      <c r="X8401" s="19"/>
      <c r="Y8401" s="20"/>
    </row>
    <row r="8402" spans="24:25">
      <c r="X8402" s="19"/>
      <c r="Y8402" s="20"/>
    </row>
    <row r="8403" spans="24:25">
      <c r="X8403" s="19"/>
      <c r="Y8403" s="20"/>
    </row>
    <row r="8404" spans="24:25">
      <c r="X8404" s="19"/>
      <c r="Y8404" s="20"/>
    </row>
    <row r="8405" spans="24:25">
      <c r="X8405" s="19"/>
      <c r="Y8405" s="20"/>
    </row>
    <row r="8406" spans="24:25">
      <c r="X8406" s="19"/>
      <c r="Y8406" s="20"/>
    </row>
    <row r="8407" spans="24:25">
      <c r="X8407" s="19"/>
      <c r="Y8407" s="20"/>
    </row>
    <row r="8408" spans="24:25">
      <c r="X8408" s="19"/>
      <c r="Y8408" s="20"/>
    </row>
    <row r="8409" spans="24:25">
      <c r="X8409" s="19"/>
      <c r="Y8409" s="20"/>
    </row>
    <row r="8410" spans="24:25">
      <c r="X8410" s="19"/>
      <c r="Y8410" s="20"/>
    </row>
    <row r="8411" spans="24:25">
      <c r="X8411" s="19"/>
      <c r="Y8411" s="20"/>
    </row>
    <row r="8412" spans="24:25">
      <c r="X8412" s="19"/>
      <c r="Y8412" s="20"/>
    </row>
    <row r="8413" spans="24:25">
      <c r="X8413" s="19"/>
      <c r="Y8413" s="20"/>
    </row>
    <row r="8414" spans="24:25">
      <c r="X8414" s="19"/>
      <c r="Y8414" s="20"/>
    </row>
    <row r="8415" spans="24:25">
      <c r="X8415" s="19"/>
      <c r="Y8415" s="20"/>
    </row>
    <row r="8416" spans="24:25">
      <c r="X8416" s="19"/>
      <c r="Y8416" s="20"/>
    </row>
    <row r="8417" spans="24:25">
      <c r="X8417" s="19"/>
      <c r="Y8417" s="20"/>
    </row>
    <row r="8418" spans="24:25">
      <c r="X8418" s="19"/>
      <c r="Y8418" s="20"/>
    </row>
    <row r="8419" spans="24:25">
      <c r="X8419" s="19"/>
      <c r="Y8419" s="20"/>
    </row>
    <row r="8420" spans="24:25">
      <c r="X8420" s="19"/>
      <c r="Y8420" s="20"/>
    </row>
    <row r="8421" spans="24:25">
      <c r="X8421" s="19"/>
      <c r="Y8421" s="20"/>
    </row>
    <row r="8422" spans="24:25">
      <c r="X8422" s="19"/>
      <c r="Y8422" s="20"/>
    </row>
    <row r="8423" spans="24:25">
      <c r="X8423" s="19"/>
      <c r="Y8423" s="20"/>
    </row>
    <row r="8424" spans="24:25">
      <c r="X8424" s="19"/>
      <c r="Y8424" s="20"/>
    </row>
    <row r="8425" spans="24:25">
      <c r="X8425" s="19"/>
      <c r="Y8425" s="20"/>
    </row>
    <row r="8426" spans="24:25">
      <c r="X8426" s="19"/>
      <c r="Y8426" s="20"/>
    </row>
    <row r="8427" spans="24:25">
      <c r="X8427" s="19"/>
      <c r="Y8427" s="20"/>
    </row>
    <row r="8428" spans="24:25">
      <c r="X8428" s="19"/>
      <c r="Y8428" s="20"/>
    </row>
    <row r="8429" spans="24:25">
      <c r="X8429" s="19"/>
      <c r="Y8429" s="20"/>
    </row>
    <row r="8430" spans="24:25">
      <c r="X8430" s="19"/>
      <c r="Y8430" s="20"/>
    </row>
    <row r="8431" spans="24:25">
      <c r="X8431" s="19"/>
      <c r="Y8431" s="20"/>
    </row>
    <row r="8432" spans="24:25">
      <c r="X8432" s="19"/>
      <c r="Y8432" s="20"/>
    </row>
    <row r="8433" spans="24:25">
      <c r="X8433" s="19"/>
      <c r="Y8433" s="20"/>
    </row>
    <row r="8434" spans="24:25">
      <c r="X8434" s="19"/>
      <c r="Y8434" s="20"/>
    </row>
    <row r="8435" spans="24:25">
      <c r="X8435" s="19"/>
      <c r="Y8435" s="20"/>
    </row>
    <row r="8436" spans="24:25">
      <c r="X8436" s="19"/>
      <c r="Y8436" s="20"/>
    </row>
    <row r="8437" spans="24:25">
      <c r="X8437" s="19"/>
      <c r="Y8437" s="20"/>
    </row>
    <row r="8438" spans="24:25">
      <c r="X8438" s="19"/>
      <c r="Y8438" s="20"/>
    </row>
    <row r="8439" spans="24:25">
      <c r="X8439" s="19"/>
      <c r="Y8439" s="20"/>
    </row>
    <row r="8440" spans="24:25">
      <c r="X8440" s="19"/>
      <c r="Y8440" s="20"/>
    </row>
    <row r="8441" spans="24:25">
      <c r="X8441" s="19"/>
      <c r="Y8441" s="20"/>
    </row>
    <row r="8442" spans="24:25">
      <c r="X8442" s="19"/>
      <c r="Y8442" s="20"/>
    </row>
    <row r="8443" spans="24:25">
      <c r="X8443" s="19"/>
      <c r="Y8443" s="20"/>
    </row>
    <row r="8444" spans="24:25">
      <c r="X8444" s="19"/>
      <c r="Y8444" s="20"/>
    </row>
    <row r="8445" spans="24:25">
      <c r="X8445" s="19"/>
      <c r="Y8445" s="20"/>
    </row>
    <row r="8446" spans="24:25">
      <c r="X8446" s="19"/>
      <c r="Y8446" s="20"/>
    </row>
    <row r="8447" spans="24:25">
      <c r="X8447" s="19"/>
      <c r="Y8447" s="20"/>
    </row>
    <row r="8448" spans="24:25">
      <c r="X8448" s="19"/>
      <c r="Y8448" s="20"/>
    </row>
    <row r="8449" spans="24:25">
      <c r="X8449" s="19"/>
      <c r="Y8449" s="20"/>
    </row>
    <row r="8450" spans="24:25">
      <c r="X8450" s="19"/>
      <c r="Y8450" s="20"/>
    </row>
    <row r="8451" spans="24:25">
      <c r="X8451" s="19"/>
      <c r="Y8451" s="20"/>
    </row>
    <row r="8452" spans="24:25">
      <c r="X8452" s="19"/>
      <c r="Y8452" s="20"/>
    </row>
    <row r="8453" spans="24:25">
      <c r="X8453" s="19"/>
      <c r="Y8453" s="20"/>
    </row>
    <row r="8454" spans="24:25">
      <c r="X8454" s="19"/>
      <c r="Y8454" s="20"/>
    </row>
    <row r="8455" spans="24:25">
      <c r="X8455" s="19"/>
      <c r="Y8455" s="20"/>
    </row>
    <row r="8456" spans="24:25">
      <c r="X8456" s="19"/>
      <c r="Y8456" s="20"/>
    </row>
    <row r="8457" spans="24:25">
      <c r="X8457" s="19"/>
      <c r="Y8457" s="20"/>
    </row>
    <row r="8458" spans="24:25">
      <c r="X8458" s="19"/>
      <c r="Y8458" s="20"/>
    </row>
    <row r="8459" spans="24:25">
      <c r="X8459" s="19"/>
      <c r="Y8459" s="20"/>
    </row>
    <row r="8460" spans="24:25">
      <c r="X8460" s="19"/>
      <c r="Y8460" s="20"/>
    </row>
    <row r="8461" spans="24:25">
      <c r="X8461" s="19"/>
      <c r="Y8461" s="20"/>
    </row>
    <row r="8462" spans="24:25">
      <c r="X8462" s="19"/>
      <c r="Y8462" s="20"/>
    </row>
    <row r="8463" spans="24:25">
      <c r="X8463" s="19"/>
      <c r="Y8463" s="20"/>
    </row>
    <row r="8464" spans="24:25">
      <c r="X8464" s="19"/>
      <c r="Y8464" s="20"/>
    </row>
    <row r="8465" spans="24:25">
      <c r="X8465" s="19"/>
      <c r="Y8465" s="20"/>
    </row>
    <row r="8466" spans="24:25">
      <c r="X8466" s="19"/>
      <c r="Y8466" s="20"/>
    </row>
    <row r="8467" spans="24:25">
      <c r="X8467" s="19"/>
      <c r="Y8467" s="20"/>
    </row>
    <row r="8468" spans="24:25">
      <c r="X8468" s="19"/>
      <c r="Y8468" s="20"/>
    </row>
    <row r="8469" spans="24:25">
      <c r="X8469" s="19"/>
      <c r="Y8469" s="20"/>
    </row>
    <row r="8470" spans="24:25">
      <c r="X8470" s="19"/>
      <c r="Y8470" s="20"/>
    </row>
    <row r="8471" spans="24:25">
      <c r="X8471" s="19"/>
      <c r="Y8471" s="20"/>
    </row>
    <row r="8472" spans="24:25">
      <c r="X8472" s="19"/>
      <c r="Y8472" s="20"/>
    </row>
    <row r="8473" spans="24:25">
      <c r="X8473" s="19"/>
      <c r="Y8473" s="20"/>
    </row>
    <row r="8474" spans="24:25">
      <c r="X8474" s="19"/>
      <c r="Y8474" s="20"/>
    </row>
    <row r="8475" spans="24:25">
      <c r="X8475" s="19"/>
      <c r="Y8475" s="20"/>
    </row>
    <row r="8476" spans="24:25">
      <c r="X8476" s="19"/>
      <c r="Y8476" s="20"/>
    </row>
    <row r="8477" spans="24:25">
      <c r="X8477" s="19"/>
      <c r="Y8477" s="20"/>
    </row>
    <row r="8478" spans="24:25">
      <c r="X8478" s="19"/>
      <c r="Y8478" s="20"/>
    </row>
    <row r="8479" spans="24:25">
      <c r="X8479" s="19"/>
      <c r="Y8479" s="20"/>
    </row>
    <row r="8480" spans="24:25">
      <c r="X8480" s="19"/>
      <c r="Y8480" s="20"/>
    </row>
    <row r="8481" spans="24:25">
      <c r="X8481" s="19"/>
      <c r="Y8481" s="20"/>
    </row>
    <row r="8482" spans="24:25">
      <c r="X8482" s="19"/>
      <c r="Y8482" s="20"/>
    </row>
    <row r="8483" spans="24:25">
      <c r="X8483" s="19"/>
      <c r="Y8483" s="20"/>
    </row>
    <row r="8484" spans="24:25">
      <c r="X8484" s="19"/>
      <c r="Y8484" s="20"/>
    </row>
    <row r="8485" spans="24:25">
      <c r="X8485" s="19"/>
      <c r="Y8485" s="20"/>
    </row>
    <row r="8486" spans="24:25">
      <c r="X8486" s="19"/>
      <c r="Y8486" s="20"/>
    </row>
    <row r="8487" spans="24:25">
      <c r="X8487" s="19"/>
      <c r="Y8487" s="20"/>
    </row>
    <row r="8488" spans="24:25">
      <c r="X8488" s="19"/>
      <c r="Y8488" s="20"/>
    </row>
    <row r="8489" spans="24:25">
      <c r="X8489" s="19"/>
      <c r="Y8489" s="20"/>
    </row>
    <row r="8490" spans="24:25">
      <c r="X8490" s="19"/>
      <c r="Y8490" s="20"/>
    </row>
    <row r="8491" spans="24:25">
      <c r="X8491" s="19"/>
      <c r="Y8491" s="20"/>
    </row>
    <row r="8492" spans="24:25">
      <c r="X8492" s="19"/>
      <c r="Y8492" s="20"/>
    </row>
    <row r="8493" spans="24:25">
      <c r="X8493" s="19"/>
      <c r="Y8493" s="20"/>
    </row>
    <row r="8494" spans="24:25">
      <c r="X8494" s="19"/>
      <c r="Y8494" s="20"/>
    </row>
    <row r="8495" spans="24:25">
      <c r="X8495" s="19"/>
      <c r="Y8495" s="20"/>
    </row>
    <row r="8496" spans="24:25">
      <c r="X8496" s="19"/>
      <c r="Y8496" s="20"/>
    </row>
    <row r="8497" spans="24:25">
      <c r="X8497" s="19"/>
      <c r="Y8497" s="20"/>
    </row>
    <row r="8498" spans="24:25">
      <c r="X8498" s="19"/>
      <c r="Y8498" s="20"/>
    </row>
    <row r="8499" spans="24:25">
      <c r="X8499" s="19"/>
      <c r="Y8499" s="20"/>
    </row>
    <row r="8500" spans="24:25">
      <c r="X8500" s="19"/>
      <c r="Y8500" s="20"/>
    </row>
    <row r="8501" spans="24:25">
      <c r="X8501" s="19"/>
      <c r="Y8501" s="20"/>
    </row>
    <row r="8502" spans="24:25">
      <c r="X8502" s="19"/>
      <c r="Y8502" s="20"/>
    </row>
    <row r="8503" spans="24:25">
      <c r="X8503" s="19"/>
      <c r="Y8503" s="20"/>
    </row>
    <row r="8504" spans="24:25">
      <c r="X8504" s="19"/>
      <c r="Y8504" s="20"/>
    </row>
    <row r="8505" spans="24:25">
      <c r="X8505" s="19"/>
      <c r="Y8505" s="20"/>
    </row>
    <row r="8506" spans="24:25">
      <c r="X8506" s="19"/>
      <c r="Y8506" s="20"/>
    </row>
    <row r="8507" spans="24:25">
      <c r="X8507" s="19"/>
      <c r="Y8507" s="20"/>
    </row>
    <row r="8508" spans="24:25">
      <c r="X8508" s="19"/>
      <c r="Y8508" s="20"/>
    </row>
    <row r="8509" spans="24:25">
      <c r="X8509" s="19"/>
      <c r="Y8509" s="20"/>
    </row>
    <row r="8510" spans="24:25">
      <c r="X8510" s="19"/>
      <c r="Y8510" s="20"/>
    </row>
    <row r="8511" spans="24:25">
      <c r="X8511" s="19"/>
      <c r="Y8511" s="20"/>
    </row>
    <row r="8512" spans="24:25">
      <c r="X8512" s="19"/>
      <c r="Y8512" s="20"/>
    </row>
    <row r="8513" spans="24:25">
      <c r="X8513" s="19"/>
      <c r="Y8513" s="20"/>
    </row>
    <row r="8514" spans="24:25">
      <c r="X8514" s="19"/>
      <c r="Y8514" s="20"/>
    </row>
    <row r="8515" spans="24:25">
      <c r="X8515" s="19"/>
      <c r="Y8515" s="20"/>
    </row>
    <row r="8516" spans="24:25">
      <c r="X8516" s="19"/>
      <c r="Y8516" s="20"/>
    </row>
    <row r="8517" spans="24:25">
      <c r="X8517" s="19"/>
      <c r="Y8517" s="20"/>
    </row>
    <row r="8518" spans="24:25">
      <c r="X8518" s="19"/>
      <c r="Y8518" s="20"/>
    </row>
    <row r="8519" spans="24:25">
      <c r="X8519" s="19"/>
      <c r="Y8519" s="20"/>
    </row>
    <row r="8520" spans="24:25">
      <c r="X8520" s="19"/>
      <c r="Y8520" s="20"/>
    </row>
    <row r="8521" spans="24:25">
      <c r="X8521" s="19"/>
      <c r="Y8521" s="20"/>
    </row>
    <row r="8522" spans="24:25">
      <c r="X8522" s="19"/>
      <c r="Y8522" s="20"/>
    </row>
    <row r="8523" spans="24:25">
      <c r="X8523" s="19"/>
      <c r="Y8523" s="20"/>
    </row>
    <row r="8524" spans="24:25">
      <c r="X8524" s="19"/>
      <c r="Y8524" s="20"/>
    </row>
    <row r="8525" spans="24:25">
      <c r="X8525" s="19"/>
      <c r="Y8525" s="20"/>
    </row>
    <row r="8526" spans="24:25">
      <c r="X8526" s="19"/>
      <c r="Y8526" s="20"/>
    </row>
    <row r="8527" spans="24:25">
      <c r="X8527" s="19"/>
      <c r="Y8527" s="20"/>
    </row>
    <row r="8528" spans="24:25">
      <c r="X8528" s="19"/>
      <c r="Y8528" s="20"/>
    </row>
    <row r="8529" spans="24:25">
      <c r="X8529" s="19"/>
      <c r="Y8529" s="20"/>
    </row>
    <row r="8530" spans="24:25">
      <c r="X8530" s="19"/>
      <c r="Y8530" s="20"/>
    </row>
    <row r="8531" spans="24:25">
      <c r="X8531" s="19"/>
      <c r="Y8531" s="20"/>
    </row>
    <row r="8532" spans="24:25">
      <c r="X8532" s="19"/>
      <c r="Y8532" s="20"/>
    </row>
    <row r="8533" spans="24:25">
      <c r="X8533" s="19"/>
      <c r="Y8533" s="20"/>
    </row>
    <row r="8534" spans="24:25">
      <c r="X8534" s="19"/>
      <c r="Y8534" s="20"/>
    </row>
    <row r="8535" spans="24:25">
      <c r="X8535" s="19"/>
      <c r="Y8535" s="20"/>
    </row>
    <row r="8536" spans="24:25">
      <c r="X8536" s="19"/>
      <c r="Y8536" s="20"/>
    </row>
    <row r="8537" spans="24:25">
      <c r="X8537" s="19"/>
      <c r="Y8537" s="20"/>
    </row>
    <row r="8538" spans="24:25">
      <c r="X8538" s="19"/>
      <c r="Y8538" s="20"/>
    </row>
    <row r="8539" spans="24:25">
      <c r="X8539" s="19"/>
      <c r="Y8539" s="20"/>
    </row>
    <row r="8540" spans="24:25">
      <c r="X8540" s="19"/>
      <c r="Y8540" s="20"/>
    </row>
    <row r="8541" spans="24:25">
      <c r="X8541" s="19"/>
      <c r="Y8541" s="20"/>
    </row>
    <row r="8542" spans="24:25">
      <c r="X8542" s="19"/>
      <c r="Y8542" s="20"/>
    </row>
    <row r="8543" spans="24:25">
      <c r="X8543" s="19"/>
      <c r="Y8543" s="20"/>
    </row>
    <row r="8544" spans="24:25">
      <c r="X8544" s="19"/>
      <c r="Y8544" s="20"/>
    </row>
    <row r="8545" spans="24:25">
      <c r="X8545" s="19"/>
      <c r="Y8545" s="20"/>
    </row>
    <row r="8546" spans="24:25">
      <c r="X8546" s="19"/>
      <c r="Y8546" s="20"/>
    </row>
    <row r="8547" spans="24:25">
      <c r="X8547" s="19"/>
      <c r="Y8547" s="20"/>
    </row>
    <row r="8548" spans="24:25">
      <c r="X8548" s="19"/>
      <c r="Y8548" s="20"/>
    </row>
    <row r="8549" spans="24:25">
      <c r="X8549" s="19"/>
      <c r="Y8549" s="20"/>
    </row>
    <row r="8550" spans="24:25">
      <c r="X8550" s="19"/>
      <c r="Y8550" s="20"/>
    </row>
    <row r="8551" spans="24:25">
      <c r="X8551" s="19"/>
      <c r="Y8551" s="20"/>
    </row>
    <row r="8552" spans="24:25">
      <c r="X8552" s="19"/>
      <c r="Y8552" s="20"/>
    </row>
    <row r="8553" spans="24:25">
      <c r="X8553" s="19"/>
      <c r="Y8553" s="20"/>
    </row>
    <row r="8554" spans="24:25">
      <c r="X8554" s="19"/>
      <c r="Y8554" s="20"/>
    </row>
    <row r="8555" spans="24:25">
      <c r="X8555" s="19"/>
      <c r="Y8555" s="20"/>
    </row>
    <row r="8556" spans="24:25">
      <c r="X8556" s="19"/>
      <c r="Y8556" s="20"/>
    </row>
    <row r="8557" spans="24:25">
      <c r="X8557" s="19"/>
      <c r="Y8557" s="20"/>
    </row>
    <row r="8558" spans="24:25">
      <c r="X8558" s="19"/>
      <c r="Y8558" s="20"/>
    </row>
    <row r="8559" spans="24:25">
      <c r="X8559" s="19"/>
      <c r="Y8559" s="20"/>
    </row>
    <row r="8560" spans="24:25">
      <c r="X8560" s="19"/>
      <c r="Y8560" s="20"/>
    </row>
    <row r="8561" spans="24:25">
      <c r="X8561" s="19"/>
      <c r="Y8561" s="20"/>
    </row>
    <row r="8562" spans="24:25">
      <c r="X8562" s="19"/>
      <c r="Y8562" s="20"/>
    </row>
    <row r="8563" spans="24:25">
      <c r="X8563" s="19"/>
      <c r="Y8563" s="20"/>
    </row>
    <row r="8564" spans="24:25">
      <c r="X8564" s="19"/>
      <c r="Y8564" s="20"/>
    </row>
    <row r="8565" spans="24:25">
      <c r="X8565" s="19"/>
      <c r="Y8565" s="20"/>
    </row>
    <row r="8566" spans="24:25">
      <c r="X8566" s="19"/>
      <c r="Y8566" s="20"/>
    </row>
    <row r="8567" spans="24:25">
      <c r="X8567" s="19"/>
      <c r="Y8567" s="20"/>
    </row>
    <row r="8568" spans="24:25">
      <c r="X8568" s="19"/>
      <c r="Y8568" s="20"/>
    </row>
    <row r="8569" spans="24:25">
      <c r="X8569" s="19"/>
      <c r="Y8569" s="20"/>
    </row>
    <row r="8570" spans="24:25">
      <c r="X8570" s="19"/>
      <c r="Y8570" s="20"/>
    </row>
    <row r="8571" spans="24:25">
      <c r="X8571" s="19"/>
      <c r="Y8571" s="20"/>
    </row>
    <row r="8572" spans="24:25">
      <c r="X8572" s="19"/>
      <c r="Y8572" s="20"/>
    </row>
    <row r="8573" spans="24:25">
      <c r="X8573" s="19"/>
      <c r="Y8573" s="20"/>
    </row>
    <row r="8574" spans="24:25">
      <c r="X8574" s="19"/>
      <c r="Y8574" s="20"/>
    </row>
    <row r="8575" spans="24:25">
      <c r="X8575" s="19"/>
      <c r="Y8575" s="20"/>
    </row>
    <row r="8576" spans="24:25">
      <c r="X8576" s="19"/>
      <c r="Y8576" s="20"/>
    </row>
    <row r="8577" spans="24:25">
      <c r="X8577" s="19"/>
      <c r="Y8577" s="20"/>
    </row>
    <row r="8578" spans="24:25">
      <c r="X8578" s="19"/>
      <c r="Y8578" s="20"/>
    </row>
    <row r="8579" spans="24:25">
      <c r="X8579" s="19"/>
      <c r="Y8579" s="20"/>
    </row>
    <row r="8580" spans="24:25">
      <c r="X8580" s="19"/>
      <c r="Y8580" s="20"/>
    </row>
    <row r="8581" spans="24:25">
      <c r="X8581" s="19"/>
      <c r="Y8581" s="20"/>
    </row>
    <row r="8582" spans="24:25">
      <c r="X8582" s="19"/>
      <c r="Y8582" s="20"/>
    </row>
    <row r="8583" spans="24:25">
      <c r="X8583" s="19"/>
      <c r="Y8583" s="20"/>
    </row>
    <row r="8584" spans="24:25">
      <c r="X8584" s="19"/>
      <c r="Y8584" s="20"/>
    </row>
    <row r="8585" spans="24:25">
      <c r="X8585" s="19"/>
      <c r="Y8585" s="20"/>
    </row>
    <row r="8586" spans="24:25">
      <c r="X8586" s="19"/>
      <c r="Y8586" s="20"/>
    </row>
    <row r="8587" spans="24:25">
      <c r="X8587" s="19"/>
      <c r="Y8587" s="20"/>
    </row>
    <row r="8588" spans="24:25">
      <c r="X8588" s="19"/>
      <c r="Y8588" s="20"/>
    </row>
    <row r="8589" spans="24:25">
      <c r="X8589" s="19"/>
      <c r="Y8589" s="20"/>
    </row>
    <row r="8590" spans="24:25">
      <c r="X8590" s="19"/>
      <c r="Y8590" s="20"/>
    </row>
    <row r="8591" spans="24:25">
      <c r="X8591" s="19"/>
      <c r="Y8591" s="20"/>
    </row>
    <row r="8592" spans="24:25">
      <c r="X8592" s="19"/>
      <c r="Y8592" s="20"/>
    </row>
    <row r="8593" spans="24:25">
      <c r="X8593" s="19"/>
      <c r="Y8593" s="20"/>
    </row>
    <row r="8594" spans="24:25">
      <c r="X8594" s="19"/>
      <c r="Y8594" s="20"/>
    </row>
    <row r="8595" spans="24:25">
      <c r="X8595" s="19"/>
      <c r="Y8595" s="20"/>
    </row>
    <row r="8596" spans="24:25">
      <c r="X8596" s="19"/>
      <c r="Y8596" s="20"/>
    </row>
    <row r="8597" spans="24:25">
      <c r="X8597" s="19"/>
      <c r="Y8597" s="20"/>
    </row>
    <row r="8598" spans="24:25">
      <c r="X8598" s="19"/>
      <c r="Y8598" s="20"/>
    </row>
    <row r="8599" spans="24:25">
      <c r="X8599" s="19"/>
      <c r="Y8599" s="20"/>
    </row>
    <row r="8600" spans="24:25">
      <c r="X8600" s="19"/>
      <c r="Y8600" s="20"/>
    </row>
    <row r="8601" spans="24:25">
      <c r="X8601" s="19"/>
      <c r="Y8601" s="20"/>
    </row>
    <row r="8602" spans="24:25">
      <c r="X8602" s="19"/>
      <c r="Y8602" s="20"/>
    </row>
    <row r="8603" spans="24:25">
      <c r="X8603" s="19"/>
      <c r="Y8603" s="20"/>
    </row>
    <row r="8604" spans="24:25">
      <c r="X8604" s="19"/>
      <c r="Y8604" s="20"/>
    </row>
    <row r="8605" spans="24:25">
      <c r="X8605" s="19"/>
      <c r="Y8605" s="20"/>
    </row>
    <row r="8606" spans="24:25">
      <c r="X8606" s="19"/>
      <c r="Y8606" s="20"/>
    </row>
    <row r="8607" spans="24:25">
      <c r="X8607" s="19"/>
      <c r="Y8607" s="20"/>
    </row>
    <row r="8608" spans="24:25">
      <c r="X8608" s="19"/>
      <c r="Y8608" s="20"/>
    </row>
    <row r="8609" spans="24:25">
      <c r="X8609" s="19"/>
      <c r="Y8609" s="20"/>
    </row>
    <row r="8610" spans="24:25">
      <c r="X8610" s="19"/>
      <c r="Y8610" s="20"/>
    </row>
    <row r="8611" spans="24:25">
      <c r="X8611" s="19"/>
      <c r="Y8611" s="20"/>
    </row>
    <row r="8612" spans="24:25">
      <c r="X8612" s="19"/>
      <c r="Y8612" s="20"/>
    </row>
    <row r="8613" spans="24:25">
      <c r="X8613" s="19"/>
      <c r="Y8613" s="20"/>
    </row>
    <row r="8614" spans="24:25">
      <c r="X8614" s="19"/>
      <c r="Y8614" s="20"/>
    </row>
    <row r="8615" spans="24:25">
      <c r="X8615" s="19"/>
      <c r="Y8615" s="20"/>
    </row>
    <row r="8616" spans="24:25">
      <c r="X8616" s="19"/>
      <c r="Y8616" s="20"/>
    </row>
    <row r="8617" spans="24:25">
      <c r="X8617" s="19"/>
      <c r="Y8617" s="20"/>
    </row>
    <row r="8618" spans="24:25">
      <c r="X8618" s="19"/>
      <c r="Y8618" s="20"/>
    </row>
    <row r="8619" spans="24:25">
      <c r="X8619" s="19"/>
      <c r="Y8619" s="20"/>
    </row>
    <row r="8620" spans="24:25">
      <c r="X8620" s="19"/>
      <c r="Y8620" s="20"/>
    </row>
    <row r="8621" spans="24:25">
      <c r="X8621" s="19"/>
      <c r="Y8621" s="20"/>
    </row>
    <row r="8622" spans="24:25">
      <c r="X8622" s="19"/>
      <c r="Y8622" s="20"/>
    </row>
    <row r="8623" spans="24:25">
      <c r="X8623" s="19"/>
      <c r="Y8623" s="20"/>
    </row>
    <row r="8624" spans="24:25">
      <c r="X8624" s="19"/>
      <c r="Y8624" s="20"/>
    </row>
    <row r="8625" spans="24:25">
      <c r="X8625" s="19"/>
      <c r="Y8625" s="20"/>
    </row>
    <row r="8626" spans="24:25">
      <c r="X8626" s="19"/>
      <c r="Y8626" s="20"/>
    </row>
    <row r="8627" spans="24:25">
      <c r="X8627" s="19"/>
      <c r="Y8627" s="20"/>
    </row>
    <row r="8628" spans="24:25">
      <c r="X8628" s="19"/>
      <c r="Y8628" s="20"/>
    </row>
    <row r="8629" spans="24:25">
      <c r="X8629" s="19"/>
      <c r="Y8629" s="20"/>
    </row>
    <row r="8630" spans="24:25">
      <c r="X8630" s="19"/>
      <c r="Y8630" s="20"/>
    </row>
    <row r="8631" spans="24:25">
      <c r="X8631" s="19"/>
      <c r="Y8631" s="20"/>
    </row>
    <row r="8632" spans="24:25">
      <c r="X8632" s="19"/>
      <c r="Y8632" s="20"/>
    </row>
    <row r="8633" spans="24:25">
      <c r="X8633" s="19"/>
      <c r="Y8633" s="20"/>
    </row>
    <row r="8634" spans="24:25">
      <c r="X8634" s="19"/>
      <c r="Y8634" s="20"/>
    </row>
    <row r="8635" spans="24:25">
      <c r="X8635" s="19"/>
      <c r="Y8635" s="20"/>
    </row>
    <row r="8636" spans="24:25">
      <c r="X8636" s="19"/>
      <c r="Y8636" s="20"/>
    </row>
    <row r="8637" spans="24:25">
      <c r="X8637" s="19"/>
      <c r="Y8637" s="20"/>
    </row>
    <row r="8638" spans="24:25">
      <c r="X8638" s="19"/>
      <c r="Y8638" s="20"/>
    </row>
    <row r="8639" spans="24:25">
      <c r="X8639" s="19"/>
      <c r="Y8639" s="20"/>
    </row>
    <row r="8640" spans="24:25">
      <c r="X8640" s="19"/>
      <c r="Y8640" s="20"/>
    </row>
    <row r="8641" spans="24:25">
      <c r="X8641" s="19"/>
      <c r="Y8641" s="20"/>
    </row>
    <row r="8642" spans="24:25">
      <c r="X8642" s="19"/>
      <c r="Y8642" s="20"/>
    </row>
    <row r="8643" spans="24:25">
      <c r="X8643" s="19"/>
      <c r="Y8643" s="20"/>
    </row>
    <row r="8644" spans="24:25">
      <c r="X8644" s="19"/>
      <c r="Y8644" s="20"/>
    </row>
    <row r="8645" spans="24:25">
      <c r="X8645" s="19"/>
      <c r="Y8645" s="20"/>
    </row>
    <row r="8646" spans="24:25">
      <c r="X8646" s="19"/>
      <c r="Y8646" s="20"/>
    </row>
    <row r="8647" spans="24:25">
      <c r="X8647" s="19"/>
      <c r="Y8647" s="20"/>
    </row>
    <row r="8648" spans="24:25">
      <c r="X8648" s="19"/>
      <c r="Y8648" s="20"/>
    </row>
    <row r="8649" spans="24:25">
      <c r="X8649" s="19"/>
      <c r="Y8649" s="20"/>
    </row>
    <row r="8650" spans="24:25">
      <c r="X8650" s="19"/>
      <c r="Y8650" s="20"/>
    </row>
    <row r="8651" spans="24:25">
      <c r="X8651" s="19"/>
      <c r="Y8651" s="20"/>
    </row>
    <row r="8652" spans="24:25">
      <c r="X8652" s="19"/>
      <c r="Y8652" s="20"/>
    </row>
    <row r="8653" spans="24:25">
      <c r="X8653" s="19"/>
      <c r="Y8653" s="20"/>
    </row>
    <row r="8654" spans="24:25">
      <c r="X8654" s="19"/>
      <c r="Y8654" s="20"/>
    </row>
    <row r="8655" spans="24:25">
      <c r="X8655" s="19"/>
      <c r="Y8655" s="20"/>
    </row>
    <row r="8656" spans="24:25">
      <c r="X8656" s="19"/>
      <c r="Y8656" s="20"/>
    </row>
    <row r="8657" spans="24:25">
      <c r="X8657" s="19"/>
      <c r="Y8657" s="20"/>
    </row>
    <row r="8658" spans="24:25">
      <c r="X8658" s="19"/>
      <c r="Y8658" s="20"/>
    </row>
    <row r="8659" spans="24:25">
      <c r="X8659" s="19"/>
      <c r="Y8659" s="20"/>
    </row>
    <row r="8660" spans="24:25">
      <c r="X8660" s="19"/>
      <c r="Y8660" s="20"/>
    </row>
    <row r="8661" spans="24:25">
      <c r="X8661" s="19"/>
      <c r="Y8661" s="20"/>
    </row>
    <row r="8662" spans="24:25">
      <c r="X8662" s="19"/>
      <c r="Y8662" s="20"/>
    </row>
    <row r="8663" spans="24:25">
      <c r="X8663" s="19"/>
      <c r="Y8663" s="20"/>
    </row>
    <row r="8664" spans="24:25">
      <c r="X8664" s="19"/>
      <c r="Y8664" s="20"/>
    </row>
    <row r="8665" spans="24:25">
      <c r="X8665" s="19"/>
      <c r="Y8665" s="20"/>
    </row>
    <row r="8666" spans="24:25">
      <c r="X8666" s="19"/>
      <c r="Y8666" s="20"/>
    </row>
    <row r="8667" spans="24:25">
      <c r="X8667" s="19"/>
      <c r="Y8667" s="20"/>
    </row>
    <row r="8668" spans="24:25">
      <c r="X8668" s="19"/>
      <c r="Y8668" s="20"/>
    </row>
    <row r="8669" spans="24:25">
      <c r="X8669" s="19"/>
      <c r="Y8669" s="20"/>
    </row>
    <row r="8670" spans="24:25">
      <c r="X8670" s="19"/>
      <c r="Y8670" s="20"/>
    </row>
    <row r="8671" spans="24:25">
      <c r="X8671" s="19"/>
      <c r="Y8671" s="20"/>
    </row>
    <row r="8672" spans="24:25">
      <c r="X8672" s="19"/>
      <c r="Y8672" s="20"/>
    </row>
    <row r="8673" spans="24:25">
      <c r="X8673" s="19"/>
      <c r="Y8673" s="20"/>
    </row>
    <row r="8674" spans="24:25">
      <c r="X8674" s="19"/>
      <c r="Y8674" s="20"/>
    </row>
    <row r="8675" spans="24:25">
      <c r="X8675" s="19"/>
      <c r="Y8675" s="20"/>
    </row>
    <row r="8676" spans="24:25">
      <c r="X8676" s="19"/>
      <c r="Y8676" s="20"/>
    </row>
    <row r="8677" spans="24:25">
      <c r="X8677" s="19"/>
      <c r="Y8677" s="20"/>
    </row>
    <row r="8678" spans="24:25">
      <c r="X8678" s="19"/>
      <c r="Y8678" s="20"/>
    </row>
    <row r="8679" spans="24:25">
      <c r="X8679" s="19"/>
      <c r="Y8679" s="20"/>
    </row>
    <row r="8680" spans="24:25">
      <c r="X8680" s="19"/>
      <c r="Y8680" s="20"/>
    </row>
    <row r="8681" spans="24:25">
      <c r="X8681" s="19"/>
      <c r="Y8681" s="20"/>
    </row>
    <row r="8682" spans="24:25">
      <c r="X8682" s="19"/>
      <c r="Y8682" s="20"/>
    </row>
    <row r="8683" spans="24:25">
      <c r="X8683" s="19"/>
      <c r="Y8683" s="20"/>
    </row>
    <row r="8684" spans="24:25">
      <c r="X8684" s="19"/>
      <c r="Y8684" s="20"/>
    </row>
    <row r="8685" spans="24:25">
      <c r="X8685" s="19"/>
      <c r="Y8685" s="20"/>
    </row>
    <row r="8686" spans="24:25">
      <c r="X8686" s="19"/>
      <c r="Y8686" s="20"/>
    </row>
    <row r="8687" spans="24:25">
      <c r="X8687" s="19"/>
      <c r="Y8687" s="20"/>
    </row>
    <row r="8688" spans="24:25">
      <c r="X8688" s="19"/>
      <c r="Y8688" s="20"/>
    </row>
    <row r="8689" spans="24:25">
      <c r="X8689" s="19"/>
      <c r="Y8689" s="20"/>
    </row>
    <row r="8690" spans="24:25">
      <c r="X8690" s="19"/>
      <c r="Y8690" s="20"/>
    </row>
    <row r="8691" spans="24:25">
      <c r="X8691" s="19"/>
      <c r="Y8691" s="20"/>
    </row>
    <row r="8692" spans="24:25">
      <c r="X8692" s="19"/>
      <c r="Y8692" s="20"/>
    </row>
    <row r="8693" spans="24:25">
      <c r="X8693" s="19"/>
      <c r="Y8693" s="20"/>
    </row>
    <row r="8694" spans="24:25">
      <c r="X8694" s="19"/>
      <c r="Y8694" s="20"/>
    </row>
    <row r="8695" spans="24:25">
      <c r="X8695" s="19"/>
      <c r="Y8695" s="20"/>
    </row>
    <row r="8696" spans="24:25">
      <c r="X8696" s="19"/>
      <c r="Y8696" s="20"/>
    </row>
    <row r="8697" spans="24:25">
      <c r="X8697" s="19"/>
      <c r="Y8697" s="20"/>
    </row>
    <row r="8698" spans="24:25">
      <c r="X8698" s="19"/>
      <c r="Y8698" s="20"/>
    </row>
    <row r="8699" spans="24:25">
      <c r="X8699" s="19"/>
      <c r="Y8699" s="20"/>
    </row>
    <row r="8700" spans="24:25">
      <c r="X8700" s="19"/>
      <c r="Y8700" s="20"/>
    </row>
    <row r="8701" spans="24:25">
      <c r="X8701" s="19"/>
      <c r="Y8701" s="20"/>
    </row>
    <row r="8702" spans="24:25">
      <c r="X8702" s="19"/>
      <c r="Y8702" s="20"/>
    </row>
    <row r="8703" spans="24:25">
      <c r="X8703" s="19"/>
      <c r="Y8703" s="20"/>
    </row>
    <row r="8704" spans="24:25">
      <c r="X8704" s="19"/>
      <c r="Y8704" s="20"/>
    </row>
    <row r="8705" spans="24:25">
      <c r="X8705" s="19"/>
      <c r="Y8705" s="20"/>
    </row>
    <row r="8706" spans="24:25">
      <c r="X8706" s="19"/>
      <c r="Y8706" s="20"/>
    </row>
    <row r="8707" spans="24:25">
      <c r="X8707" s="19"/>
      <c r="Y8707" s="20"/>
    </row>
    <row r="8708" spans="24:25">
      <c r="X8708" s="19"/>
      <c r="Y8708" s="20"/>
    </row>
    <row r="8709" spans="24:25">
      <c r="X8709" s="19"/>
      <c r="Y8709" s="20"/>
    </row>
    <row r="8710" spans="24:25">
      <c r="X8710" s="19"/>
      <c r="Y8710" s="20"/>
    </row>
    <row r="8711" spans="24:25">
      <c r="X8711" s="19"/>
      <c r="Y8711" s="20"/>
    </row>
    <row r="8712" spans="24:25">
      <c r="X8712" s="19"/>
      <c r="Y8712" s="20"/>
    </row>
    <row r="8713" spans="24:25">
      <c r="X8713" s="19"/>
      <c r="Y8713" s="20"/>
    </row>
    <row r="8714" spans="24:25">
      <c r="X8714" s="19"/>
      <c r="Y8714" s="20"/>
    </row>
    <row r="8715" spans="24:25">
      <c r="X8715" s="19"/>
      <c r="Y8715" s="20"/>
    </row>
    <row r="8716" spans="24:25">
      <c r="X8716" s="19"/>
      <c r="Y8716" s="20"/>
    </row>
    <row r="8717" spans="24:25">
      <c r="X8717" s="19"/>
      <c r="Y8717" s="20"/>
    </row>
    <row r="8718" spans="24:25">
      <c r="X8718" s="19"/>
      <c r="Y8718" s="20"/>
    </row>
    <row r="8719" spans="24:25">
      <c r="X8719" s="19"/>
      <c r="Y8719" s="20"/>
    </row>
    <row r="8720" spans="24:25">
      <c r="X8720" s="19"/>
      <c r="Y8720" s="20"/>
    </row>
    <row r="8721" spans="24:25">
      <c r="X8721" s="19"/>
      <c r="Y8721" s="20"/>
    </row>
    <row r="8722" spans="24:25">
      <c r="X8722" s="19"/>
      <c r="Y8722" s="20"/>
    </row>
    <row r="8723" spans="24:25">
      <c r="X8723" s="19"/>
      <c r="Y8723" s="20"/>
    </row>
    <row r="8724" spans="24:25">
      <c r="X8724" s="19"/>
      <c r="Y8724" s="20"/>
    </row>
    <row r="8725" spans="24:25">
      <c r="X8725" s="19"/>
      <c r="Y8725" s="20"/>
    </row>
    <row r="8726" spans="24:25">
      <c r="X8726" s="19"/>
      <c r="Y8726" s="20"/>
    </row>
    <row r="8727" spans="24:25">
      <c r="X8727" s="19"/>
      <c r="Y8727" s="20"/>
    </row>
    <row r="8728" spans="24:25">
      <c r="X8728" s="19"/>
      <c r="Y8728" s="20"/>
    </row>
    <row r="8729" spans="24:25">
      <c r="X8729" s="19"/>
      <c r="Y8729" s="20"/>
    </row>
    <row r="8730" spans="24:25">
      <c r="X8730" s="19"/>
      <c r="Y8730" s="20"/>
    </row>
    <row r="8731" spans="24:25">
      <c r="X8731" s="19"/>
      <c r="Y8731" s="20"/>
    </row>
    <row r="8732" spans="24:25">
      <c r="X8732" s="19"/>
      <c r="Y8732" s="20"/>
    </row>
    <row r="8733" spans="24:25">
      <c r="X8733" s="19"/>
      <c r="Y8733" s="20"/>
    </row>
    <row r="8734" spans="24:25">
      <c r="X8734" s="19"/>
      <c r="Y8734" s="20"/>
    </row>
    <row r="8735" spans="24:25">
      <c r="X8735" s="19"/>
      <c r="Y8735" s="20"/>
    </row>
    <row r="8736" spans="24:25">
      <c r="X8736" s="19"/>
      <c r="Y8736" s="20"/>
    </row>
    <row r="8737" spans="24:25">
      <c r="X8737" s="19"/>
      <c r="Y8737" s="20"/>
    </row>
    <row r="8738" spans="24:25">
      <c r="X8738" s="19"/>
      <c r="Y8738" s="20"/>
    </row>
    <row r="8739" spans="24:25">
      <c r="X8739" s="19"/>
      <c r="Y8739" s="20"/>
    </row>
    <row r="8740" spans="24:25">
      <c r="X8740" s="19"/>
      <c r="Y8740" s="20"/>
    </row>
    <row r="8741" spans="24:25">
      <c r="X8741" s="19"/>
      <c r="Y8741" s="20"/>
    </row>
    <row r="8742" spans="24:25">
      <c r="X8742" s="19"/>
      <c r="Y8742" s="20"/>
    </row>
    <row r="8743" spans="24:25">
      <c r="X8743" s="19"/>
      <c r="Y8743" s="20"/>
    </row>
    <row r="8744" spans="24:25">
      <c r="X8744" s="19"/>
      <c r="Y8744" s="20"/>
    </row>
    <row r="8745" spans="24:25">
      <c r="X8745" s="19"/>
      <c r="Y8745" s="20"/>
    </row>
    <row r="8746" spans="24:25">
      <c r="X8746" s="19"/>
      <c r="Y8746" s="20"/>
    </row>
    <row r="8747" spans="24:25">
      <c r="X8747" s="19"/>
      <c r="Y8747" s="20"/>
    </row>
    <row r="8748" spans="24:25">
      <c r="X8748" s="19"/>
      <c r="Y8748" s="20"/>
    </row>
    <row r="8749" spans="24:25">
      <c r="X8749" s="19"/>
      <c r="Y8749" s="20"/>
    </row>
    <row r="8750" spans="24:25">
      <c r="X8750" s="19"/>
      <c r="Y8750" s="20"/>
    </row>
    <row r="8751" spans="24:25">
      <c r="X8751" s="19"/>
      <c r="Y8751" s="20"/>
    </row>
    <row r="8752" spans="24:25">
      <c r="X8752" s="19"/>
      <c r="Y8752" s="20"/>
    </row>
    <row r="8753" spans="24:25">
      <c r="X8753" s="19"/>
      <c r="Y8753" s="20"/>
    </row>
    <row r="8754" spans="24:25">
      <c r="X8754" s="19"/>
      <c r="Y8754" s="20"/>
    </row>
    <row r="8755" spans="24:25">
      <c r="X8755" s="19"/>
      <c r="Y8755" s="20"/>
    </row>
    <row r="8756" spans="24:25">
      <c r="X8756" s="19"/>
      <c r="Y8756" s="20"/>
    </row>
    <row r="8757" spans="24:25">
      <c r="X8757" s="19"/>
      <c r="Y8757" s="20"/>
    </row>
    <row r="8758" spans="24:25">
      <c r="X8758" s="19"/>
      <c r="Y8758" s="20"/>
    </row>
    <row r="8759" spans="24:25">
      <c r="X8759" s="19"/>
      <c r="Y8759" s="20"/>
    </row>
    <row r="8760" spans="24:25">
      <c r="X8760" s="19"/>
      <c r="Y8760" s="20"/>
    </row>
    <row r="8761" spans="24:25">
      <c r="X8761" s="19"/>
      <c r="Y8761" s="20"/>
    </row>
    <row r="8762" spans="24:25">
      <c r="X8762" s="19"/>
      <c r="Y8762" s="20"/>
    </row>
    <row r="8763" spans="24:25">
      <c r="X8763" s="19"/>
      <c r="Y8763" s="20"/>
    </row>
    <row r="8764" spans="24:25">
      <c r="X8764" s="19"/>
      <c r="Y8764" s="20"/>
    </row>
    <row r="8765" spans="24:25">
      <c r="X8765" s="19"/>
      <c r="Y8765" s="20"/>
    </row>
    <row r="8766" spans="24:25">
      <c r="X8766" s="19"/>
      <c r="Y8766" s="20"/>
    </row>
    <row r="8767" spans="24:25">
      <c r="X8767" s="19"/>
      <c r="Y8767" s="20"/>
    </row>
    <row r="8768" spans="24:25">
      <c r="X8768" s="19"/>
      <c r="Y8768" s="20"/>
    </row>
    <row r="8769" spans="24:25">
      <c r="X8769" s="19"/>
      <c r="Y8769" s="20"/>
    </row>
    <row r="8770" spans="24:25">
      <c r="X8770" s="19"/>
      <c r="Y8770" s="20"/>
    </row>
    <row r="8771" spans="24:25">
      <c r="X8771" s="19"/>
      <c r="Y8771" s="20"/>
    </row>
    <row r="8772" spans="24:25">
      <c r="X8772" s="19"/>
      <c r="Y8772" s="20"/>
    </row>
    <row r="8773" spans="24:25">
      <c r="X8773" s="19"/>
      <c r="Y8773" s="20"/>
    </row>
    <row r="8774" spans="24:25">
      <c r="X8774" s="19"/>
      <c r="Y8774" s="20"/>
    </row>
    <row r="8775" spans="24:25">
      <c r="X8775" s="19"/>
      <c r="Y8775" s="20"/>
    </row>
    <row r="8776" spans="24:25">
      <c r="X8776" s="19"/>
      <c r="Y8776" s="20"/>
    </row>
    <row r="8777" spans="24:25">
      <c r="X8777" s="19"/>
      <c r="Y8777" s="20"/>
    </row>
    <row r="8778" spans="24:25">
      <c r="X8778" s="19"/>
      <c r="Y8778" s="20"/>
    </row>
    <row r="8779" spans="24:25">
      <c r="X8779" s="19"/>
      <c r="Y8779" s="20"/>
    </row>
    <row r="8780" spans="24:25">
      <c r="X8780" s="19"/>
      <c r="Y8780" s="20"/>
    </row>
    <row r="8781" spans="24:25">
      <c r="X8781" s="19"/>
      <c r="Y8781" s="20"/>
    </row>
    <row r="8782" spans="24:25">
      <c r="X8782" s="19"/>
      <c r="Y8782" s="20"/>
    </row>
    <row r="8783" spans="24:25">
      <c r="X8783" s="19"/>
      <c r="Y8783" s="20"/>
    </row>
    <row r="8784" spans="24:25">
      <c r="X8784" s="19"/>
      <c r="Y8784" s="20"/>
    </row>
    <row r="8785" spans="24:25">
      <c r="X8785" s="19"/>
      <c r="Y8785" s="20"/>
    </row>
    <row r="8786" spans="24:25">
      <c r="X8786" s="19"/>
      <c r="Y8786" s="20"/>
    </row>
    <row r="8787" spans="24:25">
      <c r="X8787" s="19"/>
      <c r="Y8787" s="20"/>
    </row>
    <row r="8788" spans="24:25">
      <c r="X8788" s="19"/>
      <c r="Y8788" s="20"/>
    </row>
    <row r="8789" spans="24:25">
      <c r="X8789" s="19"/>
      <c r="Y8789" s="20"/>
    </row>
    <row r="8790" spans="24:25">
      <c r="X8790" s="19"/>
      <c r="Y8790" s="20"/>
    </row>
    <row r="8791" spans="24:25">
      <c r="X8791" s="19"/>
      <c r="Y8791" s="20"/>
    </row>
    <row r="8792" spans="24:25">
      <c r="X8792" s="19"/>
      <c r="Y8792" s="20"/>
    </row>
    <row r="8793" spans="24:25">
      <c r="X8793" s="19"/>
      <c r="Y8793" s="20"/>
    </row>
    <row r="8794" spans="24:25">
      <c r="X8794" s="19"/>
      <c r="Y8794" s="20"/>
    </row>
    <row r="8795" spans="24:25">
      <c r="X8795" s="19"/>
      <c r="Y8795" s="20"/>
    </row>
    <row r="8796" spans="24:25">
      <c r="X8796" s="19"/>
      <c r="Y8796" s="20"/>
    </row>
    <row r="8797" spans="24:25">
      <c r="X8797" s="19"/>
      <c r="Y8797" s="20"/>
    </row>
    <row r="8798" spans="24:25">
      <c r="X8798" s="19"/>
      <c r="Y8798" s="20"/>
    </row>
    <row r="8799" spans="24:25">
      <c r="X8799" s="19"/>
      <c r="Y8799" s="20"/>
    </row>
    <row r="8800" spans="24:25">
      <c r="X8800" s="19"/>
      <c r="Y8800" s="20"/>
    </row>
    <row r="8801" spans="24:25">
      <c r="X8801" s="19"/>
      <c r="Y8801" s="20"/>
    </row>
    <row r="8802" spans="24:25">
      <c r="X8802" s="19"/>
      <c r="Y8802" s="20"/>
    </row>
    <row r="8803" spans="24:25">
      <c r="X8803" s="19"/>
      <c r="Y8803" s="20"/>
    </row>
    <row r="8804" spans="24:25">
      <c r="X8804" s="19"/>
      <c r="Y8804" s="20"/>
    </row>
    <row r="8805" spans="24:25">
      <c r="X8805" s="19"/>
      <c r="Y8805" s="20"/>
    </row>
    <row r="8806" spans="24:25">
      <c r="X8806" s="19"/>
      <c r="Y8806" s="20"/>
    </row>
    <row r="8807" spans="24:25">
      <c r="X8807" s="19"/>
      <c r="Y8807" s="20"/>
    </row>
    <row r="8808" spans="24:25">
      <c r="X8808" s="19"/>
      <c r="Y8808" s="20"/>
    </row>
    <row r="8809" spans="24:25">
      <c r="X8809" s="19"/>
      <c r="Y8809" s="20"/>
    </row>
    <row r="8810" spans="24:25">
      <c r="X8810" s="19"/>
      <c r="Y8810" s="20"/>
    </row>
    <row r="8811" spans="24:25">
      <c r="X8811" s="19"/>
      <c r="Y8811" s="20"/>
    </row>
    <row r="8812" spans="24:25">
      <c r="X8812" s="19"/>
      <c r="Y8812" s="20"/>
    </row>
    <row r="8813" spans="24:25">
      <c r="X8813" s="19"/>
      <c r="Y8813" s="20"/>
    </row>
    <row r="8814" spans="24:25">
      <c r="X8814" s="19"/>
      <c r="Y8814" s="20"/>
    </row>
    <row r="8815" spans="24:25">
      <c r="X8815" s="19"/>
      <c r="Y8815" s="20"/>
    </row>
    <row r="8816" spans="24:25">
      <c r="X8816" s="19"/>
      <c r="Y8816" s="20"/>
    </row>
    <row r="8817" spans="24:25">
      <c r="X8817" s="19"/>
      <c r="Y8817" s="20"/>
    </row>
    <row r="8818" spans="24:25">
      <c r="X8818" s="19"/>
      <c r="Y8818" s="20"/>
    </row>
    <row r="8819" spans="24:25">
      <c r="X8819" s="19"/>
      <c r="Y8819" s="20"/>
    </row>
    <row r="8820" spans="24:25">
      <c r="X8820" s="19"/>
      <c r="Y8820" s="20"/>
    </row>
    <row r="8821" spans="24:25">
      <c r="X8821" s="19"/>
      <c r="Y8821" s="20"/>
    </row>
    <row r="8822" spans="24:25">
      <c r="X8822" s="19"/>
      <c r="Y8822" s="20"/>
    </row>
    <row r="8823" spans="24:25">
      <c r="X8823" s="19"/>
      <c r="Y8823" s="20"/>
    </row>
    <row r="8824" spans="24:25">
      <c r="X8824" s="19"/>
      <c r="Y8824" s="20"/>
    </row>
    <row r="8825" spans="24:25">
      <c r="X8825" s="19"/>
      <c r="Y8825" s="20"/>
    </row>
    <row r="8826" spans="24:25">
      <c r="X8826" s="19"/>
      <c r="Y8826" s="20"/>
    </row>
    <row r="8827" spans="24:25">
      <c r="X8827" s="19"/>
      <c r="Y8827" s="20"/>
    </row>
    <row r="8828" spans="24:25">
      <c r="X8828" s="19"/>
      <c r="Y8828" s="20"/>
    </row>
    <row r="8829" spans="24:25">
      <c r="X8829" s="19"/>
      <c r="Y8829" s="20"/>
    </row>
    <row r="8830" spans="24:25">
      <c r="X8830" s="19"/>
      <c r="Y8830" s="20"/>
    </row>
    <row r="8831" spans="24:25">
      <c r="X8831" s="19"/>
      <c r="Y8831" s="20"/>
    </row>
    <row r="8832" spans="24:25">
      <c r="X8832" s="19"/>
      <c r="Y8832" s="20"/>
    </row>
    <row r="8833" spans="24:25">
      <c r="X8833" s="19"/>
      <c r="Y8833" s="20"/>
    </row>
    <row r="8834" spans="24:25">
      <c r="X8834" s="19"/>
      <c r="Y8834" s="20"/>
    </row>
    <row r="8835" spans="24:25">
      <c r="X8835" s="19"/>
      <c r="Y8835" s="20"/>
    </row>
    <row r="8836" spans="24:25">
      <c r="X8836" s="19"/>
      <c r="Y8836" s="20"/>
    </row>
    <row r="8837" spans="24:25">
      <c r="X8837" s="19"/>
      <c r="Y8837" s="20"/>
    </row>
    <row r="8838" spans="24:25">
      <c r="X8838" s="19"/>
      <c r="Y8838" s="20"/>
    </row>
    <row r="8839" spans="24:25">
      <c r="X8839" s="19"/>
      <c r="Y8839" s="20"/>
    </row>
    <row r="8840" spans="24:25">
      <c r="X8840" s="19"/>
      <c r="Y8840" s="20"/>
    </row>
    <row r="8841" spans="24:25">
      <c r="X8841" s="19"/>
      <c r="Y8841" s="20"/>
    </row>
    <row r="8842" spans="24:25">
      <c r="X8842" s="19"/>
      <c r="Y8842" s="20"/>
    </row>
    <row r="8843" spans="24:25">
      <c r="X8843" s="19"/>
      <c r="Y8843" s="20"/>
    </row>
    <row r="8844" spans="24:25">
      <c r="X8844" s="19"/>
      <c r="Y8844" s="20"/>
    </row>
    <row r="8845" spans="24:25">
      <c r="X8845" s="19"/>
      <c r="Y8845" s="20"/>
    </row>
    <row r="8846" spans="24:25">
      <c r="X8846" s="19"/>
      <c r="Y8846" s="20"/>
    </row>
    <row r="8847" spans="24:25">
      <c r="X8847" s="19"/>
      <c r="Y8847" s="20"/>
    </row>
    <row r="8848" spans="24:25">
      <c r="X8848" s="19"/>
      <c r="Y8848" s="20"/>
    </row>
    <row r="8849" spans="24:25">
      <c r="X8849" s="19"/>
      <c r="Y8849" s="20"/>
    </row>
    <row r="8850" spans="24:25">
      <c r="X8850" s="19"/>
      <c r="Y8850" s="20"/>
    </row>
    <row r="8851" spans="24:25">
      <c r="X8851" s="19"/>
      <c r="Y8851" s="20"/>
    </row>
    <row r="8852" spans="24:25">
      <c r="X8852" s="19"/>
      <c r="Y8852" s="20"/>
    </row>
    <row r="8853" spans="24:25">
      <c r="X8853" s="19"/>
      <c r="Y8853" s="20"/>
    </row>
    <row r="8854" spans="24:25">
      <c r="X8854" s="19"/>
      <c r="Y8854" s="20"/>
    </row>
    <row r="8855" spans="24:25">
      <c r="X8855" s="19"/>
      <c r="Y8855" s="20"/>
    </row>
    <row r="8856" spans="24:25">
      <c r="X8856" s="19"/>
      <c r="Y8856" s="20"/>
    </row>
    <row r="8857" spans="24:25">
      <c r="X8857" s="19"/>
      <c r="Y8857" s="20"/>
    </row>
    <row r="8858" spans="24:25">
      <c r="X8858" s="19"/>
      <c r="Y8858" s="20"/>
    </row>
    <row r="8859" spans="24:25">
      <c r="X8859" s="19"/>
      <c r="Y8859" s="20"/>
    </row>
    <row r="8860" spans="24:25">
      <c r="X8860" s="19"/>
      <c r="Y8860" s="20"/>
    </row>
    <row r="8861" spans="24:25">
      <c r="X8861" s="19"/>
      <c r="Y8861" s="20"/>
    </row>
    <row r="8862" spans="24:25">
      <c r="X8862" s="19"/>
      <c r="Y8862" s="20"/>
    </row>
    <row r="8863" spans="24:25">
      <c r="X8863" s="19"/>
      <c r="Y8863" s="20"/>
    </row>
    <row r="8864" spans="24:25">
      <c r="X8864" s="19"/>
      <c r="Y8864" s="20"/>
    </row>
    <row r="8865" spans="24:25">
      <c r="X8865" s="19"/>
      <c r="Y8865" s="20"/>
    </row>
    <row r="8866" spans="24:25">
      <c r="X8866" s="19"/>
      <c r="Y8866" s="20"/>
    </row>
    <row r="8867" spans="24:25">
      <c r="X8867" s="19"/>
      <c r="Y8867" s="20"/>
    </row>
    <row r="8868" spans="24:25">
      <c r="X8868" s="19"/>
      <c r="Y8868" s="20"/>
    </row>
    <row r="8869" spans="24:25">
      <c r="X8869" s="19"/>
      <c r="Y8869" s="20"/>
    </row>
    <row r="8870" spans="24:25">
      <c r="X8870" s="19"/>
      <c r="Y8870" s="20"/>
    </row>
    <row r="8871" spans="24:25">
      <c r="X8871" s="19"/>
      <c r="Y8871" s="20"/>
    </row>
    <row r="8872" spans="24:25">
      <c r="X8872" s="19"/>
      <c r="Y8872" s="20"/>
    </row>
    <row r="8873" spans="24:25">
      <c r="X8873" s="19"/>
      <c r="Y8873" s="20"/>
    </row>
    <row r="8874" spans="24:25">
      <c r="X8874" s="19"/>
      <c r="Y8874" s="20"/>
    </row>
    <row r="8875" spans="24:25">
      <c r="X8875" s="19"/>
      <c r="Y8875" s="20"/>
    </row>
    <row r="8876" spans="24:25">
      <c r="X8876" s="19"/>
      <c r="Y8876" s="20"/>
    </row>
    <row r="8877" spans="24:25">
      <c r="X8877" s="19"/>
      <c r="Y8877" s="20"/>
    </row>
    <row r="8878" spans="24:25">
      <c r="X8878" s="19"/>
      <c r="Y8878" s="20"/>
    </row>
    <row r="8879" spans="24:25">
      <c r="X8879" s="19"/>
      <c r="Y8879" s="20"/>
    </row>
    <row r="8880" spans="24:25">
      <c r="X8880" s="19"/>
      <c r="Y8880" s="20"/>
    </row>
    <row r="8881" spans="24:25">
      <c r="X8881" s="19"/>
      <c r="Y8881" s="20"/>
    </row>
    <row r="8882" spans="24:25">
      <c r="X8882" s="19"/>
      <c r="Y8882" s="20"/>
    </row>
    <row r="8883" spans="24:25">
      <c r="X8883" s="19"/>
      <c r="Y8883" s="20"/>
    </row>
    <row r="8884" spans="24:25">
      <c r="X8884" s="19"/>
      <c r="Y8884" s="20"/>
    </row>
    <row r="8885" spans="24:25">
      <c r="X8885" s="19"/>
      <c r="Y8885" s="20"/>
    </row>
    <row r="8886" spans="24:25">
      <c r="X8886" s="19"/>
      <c r="Y8886" s="20"/>
    </row>
    <row r="8887" spans="24:25">
      <c r="X8887" s="19"/>
      <c r="Y8887" s="20"/>
    </row>
    <row r="8888" spans="24:25">
      <c r="X8888" s="19"/>
      <c r="Y8888" s="20"/>
    </row>
    <row r="8889" spans="24:25">
      <c r="X8889" s="19"/>
      <c r="Y8889" s="20"/>
    </row>
    <row r="8890" spans="24:25">
      <c r="X8890" s="19"/>
      <c r="Y8890" s="20"/>
    </row>
    <row r="8891" spans="24:25">
      <c r="X8891" s="19"/>
      <c r="Y8891" s="20"/>
    </row>
    <row r="8892" spans="24:25">
      <c r="X8892" s="19"/>
      <c r="Y8892" s="20"/>
    </row>
    <row r="8893" spans="24:25">
      <c r="X8893" s="19"/>
      <c r="Y8893" s="20"/>
    </row>
    <row r="8894" spans="24:25">
      <c r="X8894" s="19"/>
      <c r="Y8894" s="20"/>
    </row>
    <row r="8895" spans="24:25">
      <c r="X8895" s="19"/>
      <c r="Y8895" s="20"/>
    </row>
    <row r="8896" spans="24:25">
      <c r="X8896" s="19"/>
      <c r="Y8896" s="20"/>
    </row>
    <row r="8897" spans="24:25">
      <c r="X8897" s="19"/>
      <c r="Y8897" s="20"/>
    </row>
    <row r="8898" spans="24:25">
      <c r="X8898" s="19"/>
      <c r="Y8898" s="20"/>
    </row>
    <row r="8899" spans="24:25">
      <c r="X8899" s="19"/>
      <c r="Y8899" s="20"/>
    </row>
    <row r="8900" spans="24:25">
      <c r="X8900" s="19"/>
      <c r="Y8900" s="20"/>
    </row>
    <row r="8901" spans="24:25">
      <c r="X8901" s="19"/>
      <c r="Y8901" s="20"/>
    </row>
    <row r="8902" spans="24:25">
      <c r="X8902" s="19"/>
      <c r="Y8902" s="20"/>
    </row>
    <row r="8903" spans="24:25">
      <c r="X8903" s="19"/>
      <c r="Y8903" s="20"/>
    </row>
    <row r="8904" spans="24:25">
      <c r="X8904" s="19"/>
      <c r="Y8904" s="20"/>
    </row>
    <row r="8905" spans="24:25">
      <c r="X8905" s="19"/>
      <c r="Y8905" s="20"/>
    </row>
    <row r="8906" spans="24:25">
      <c r="X8906" s="19"/>
      <c r="Y8906" s="20"/>
    </row>
    <row r="8907" spans="24:25">
      <c r="X8907" s="19"/>
      <c r="Y8907" s="20"/>
    </row>
    <row r="8908" spans="24:25">
      <c r="X8908" s="19"/>
      <c r="Y8908" s="20"/>
    </row>
    <row r="8909" spans="24:25">
      <c r="X8909" s="19"/>
      <c r="Y8909" s="20"/>
    </row>
    <row r="8910" spans="24:25">
      <c r="X8910" s="19"/>
      <c r="Y8910" s="20"/>
    </row>
    <row r="8911" spans="24:25">
      <c r="X8911" s="19"/>
      <c r="Y8911" s="20"/>
    </row>
    <row r="8912" spans="24:25">
      <c r="X8912" s="19"/>
      <c r="Y8912" s="20"/>
    </row>
    <row r="8913" spans="24:25">
      <c r="X8913" s="19"/>
      <c r="Y8913" s="20"/>
    </row>
    <row r="8914" spans="24:25">
      <c r="X8914" s="19"/>
      <c r="Y8914" s="20"/>
    </row>
    <row r="8915" spans="24:25">
      <c r="X8915" s="19"/>
      <c r="Y8915" s="20"/>
    </row>
    <row r="8916" spans="24:25">
      <c r="X8916" s="19"/>
      <c r="Y8916" s="20"/>
    </row>
    <row r="8917" spans="24:25">
      <c r="X8917" s="19"/>
      <c r="Y8917" s="20"/>
    </row>
    <row r="8918" spans="24:25">
      <c r="X8918" s="19"/>
      <c r="Y8918" s="20"/>
    </row>
    <row r="8919" spans="24:25">
      <c r="X8919" s="19"/>
      <c r="Y8919" s="20"/>
    </row>
    <row r="8920" spans="24:25">
      <c r="X8920" s="19"/>
      <c r="Y8920" s="20"/>
    </row>
    <row r="8921" spans="24:25">
      <c r="X8921" s="19"/>
      <c r="Y8921" s="20"/>
    </row>
    <row r="8922" spans="24:25">
      <c r="X8922" s="19"/>
      <c r="Y8922" s="20"/>
    </row>
    <row r="8923" spans="24:25">
      <c r="X8923" s="19"/>
      <c r="Y8923" s="20"/>
    </row>
    <row r="8924" spans="24:25">
      <c r="X8924" s="19"/>
      <c r="Y8924" s="20"/>
    </row>
    <row r="8925" spans="24:25">
      <c r="X8925" s="19"/>
      <c r="Y8925" s="20"/>
    </row>
    <row r="8926" spans="24:25">
      <c r="X8926" s="19"/>
      <c r="Y8926" s="20"/>
    </row>
    <row r="8927" spans="24:25">
      <c r="X8927" s="19"/>
      <c r="Y8927" s="20"/>
    </row>
    <row r="8928" spans="24:25">
      <c r="X8928" s="19"/>
      <c r="Y8928" s="20"/>
    </row>
    <row r="8929" spans="24:25">
      <c r="X8929" s="19"/>
      <c r="Y8929" s="20"/>
    </row>
    <row r="8930" spans="24:25">
      <c r="X8930" s="19"/>
      <c r="Y8930" s="20"/>
    </row>
    <row r="8931" spans="24:25">
      <c r="X8931" s="19"/>
      <c r="Y8931" s="20"/>
    </row>
    <row r="8932" spans="24:25">
      <c r="X8932" s="19"/>
      <c r="Y8932" s="20"/>
    </row>
    <row r="8933" spans="24:25">
      <c r="X8933" s="19"/>
      <c r="Y8933" s="20"/>
    </row>
    <row r="8934" spans="24:25">
      <c r="X8934" s="19"/>
      <c r="Y8934" s="20"/>
    </row>
    <row r="8935" spans="24:25">
      <c r="X8935" s="19"/>
      <c r="Y8935" s="20"/>
    </row>
    <row r="8936" spans="24:25">
      <c r="X8936" s="19"/>
      <c r="Y8936" s="20"/>
    </row>
    <row r="8937" spans="24:25">
      <c r="X8937" s="19"/>
      <c r="Y8937" s="20"/>
    </row>
    <row r="8938" spans="24:25">
      <c r="X8938" s="19"/>
      <c r="Y8938" s="20"/>
    </row>
    <row r="8939" spans="24:25">
      <c r="X8939" s="19"/>
      <c r="Y8939" s="20"/>
    </row>
    <row r="8940" spans="24:25">
      <c r="X8940" s="19"/>
      <c r="Y8940" s="20"/>
    </row>
    <row r="8941" spans="24:25">
      <c r="X8941" s="19"/>
      <c r="Y8941" s="20"/>
    </row>
    <row r="8942" spans="24:25">
      <c r="X8942" s="19"/>
      <c r="Y8942" s="20"/>
    </row>
    <row r="8943" spans="24:25">
      <c r="X8943" s="19"/>
      <c r="Y8943" s="20"/>
    </row>
    <row r="8944" spans="24:25">
      <c r="X8944" s="19"/>
      <c r="Y8944" s="20"/>
    </row>
    <row r="8945" spans="24:25">
      <c r="X8945" s="19"/>
      <c r="Y8945" s="20"/>
    </row>
    <row r="8946" spans="24:25">
      <c r="X8946" s="19"/>
      <c r="Y8946" s="20"/>
    </row>
    <row r="8947" spans="24:25">
      <c r="X8947" s="19"/>
      <c r="Y8947" s="20"/>
    </row>
    <row r="8948" spans="24:25">
      <c r="X8948" s="19"/>
      <c r="Y8948" s="20"/>
    </row>
    <row r="8949" spans="24:25">
      <c r="X8949" s="19"/>
      <c r="Y8949" s="20"/>
    </row>
    <row r="8950" spans="24:25">
      <c r="X8950" s="19"/>
      <c r="Y8950" s="20"/>
    </row>
    <row r="8951" spans="24:25">
      <c r="X8951" s="19"/>
      <c r="Y8951" s="20"/>
    </row>
    <row r="8952" spans="24:25">
      <c r="X8952" s="19"/>
      <c r="Y8952" s="20"/>
    </row>
    <row r="8953" spans="24:25">
      <c r="X8953" s="19"/>
      <c r="Y8953" s="20"/>
    </row>
    <row r="8954" spans="24:25">
      <c r="X8954" s="19"/>
      <c r="Y8954" s="20"/>
    </row>
    <row r="8955" spans="24:25">
      <c r="X8955" s="19"/>
      <c r="Y8955" s="20"/>
    </row>
    <row r="8956" spans="24:25">
      <c r="X8956" s="19"/>
      <c r="Y8956" s="20"/>
    </row>
    <row r="8957" spans="24:25">
      <c r="X8957" s="19"/>
      <c r="Y8957" s="20"/>
    </row>
    <row r="8958" spans="24:25">
      <c r="X8958" s="19"/>
      <c r="Y8958" s="20"/>
    </row>
    <row r="8959" spans="24:25">
      <c r="X8959" s="19"/>
      <c r="Y8959" s="20"/>
    </row>
    <row r="8960" spans="24:25">
      <c r="X8960" s="19"/>
      <c r="Y8960" s="20"/>
    </row>
    <row r="8961" spans="24:25">
      <c r="X8961" s="19"/>
      <c r="Y8961" s="20"/>
    </row>
    <row r="8962" spans="24:25">
      <c r="X8962" s="19"/>
      <c r="Y8962" s="20"/>
    </row>
    <row r="8963" spans="24:25">
      <c r="X8963" s="19"/>
      <c r="Y8963" s="20"/>
    </row>
    <row r="8964" spans="24:25">
      <c r="X8964" s="19"/>
      <c r="Y8964" s="20"/>
    </row>
    <row r="8965" spans="24:25">
      <c r="X8965" s="19"/>
      <c r="Y8965" s="20"/>
    </row>
    <row r="8966" spans="24:25">
      <c r="X8966" s="19"/>
      <c r="Y8966" s="20"/>
    </row>
    <row r="8967" spans="24:25">
      <c r="X8967" s="19"/>
      <c r="Y8967" s="20"/>
    </row>
    <row r="8968" spans="24:25">
      <c r="X8968" s="19"/>
      <c r="Y8968" s="20"/>
    </row>
    <row r="8969" spans="24:25">
      <c r="X8969" s="19"/>
      <c r="Y8969" s="20"/>
    </row>
    <row r="8970" spans="24:25">
      <c r="X8970" s="19"/>
      <c r="Y8970" s="20"/>
    </row>
    <row r="8971" spans="24:25">
      <c r="X8971" s="19"/>
      <c r="Y8971" s="20"/>
    </row>
    <row r="8972" spans="24:25">
      <c r="X8972" s="19"/>
      <c r="Y8972" s="20"/>
    </row>
    <row r="8973" spans="24:25">
      <c r="X8973" s="19"/>
      <c r="Y8973" s="20"/>
    </row>
    <row r="8974" spans="24:25">
      <c r="X8974" s="19"/>
      <c r="Y8974" s="20"/>
    </row>
    <row r="8975" spans="24:25">
      <c r="X8975" s="19"/>
      <c r="Y8975" s="20"/>
    </row>
    <row r="8976" spans="24:25">
      <c r="X8976" s="19"/>
      <c r="Y8976" s="20"/>
    </row>
    <row r="8977" spans="24:25">
      <c r="X8977" s="19"/>
      <c r="Y8977" s="20"/>
    </row>
    <row r="8978" spans="24:25">
      <c r="X8978" s="19"/>
      <c r="Y8978" s="20"/>
    </row>
    <row r="8979" spans="24:25">
      <c r="X8979" s="19"/>
      <c r="Y8979" s="20"/>
    </row>
    <row r="8980" spans="24:25">
      <c r="X8980" s="19"/>
      <c r="Y8980" s="20"/>
    </row>
    <row r="8981" spans="24:25">
      <c r="X8981" s="19"/>
      <c r="Y8981" s="20"/>
    </row>
    <row r="8982" spans="24:25">
      <c r="X8982" s="19"/>
      <c r="Y8982" s="20"/>
    </row>
    <row r="8983" spans="24:25">
      <c r="X8983" s="19"/>
      <c r="Y8983" s="20"/>
    </row>
    <row r="8984" spans="24:25">
      <c r="X8984" s="19"/>
      <c r="Y8984" s="20"/>
    </row>
    <row r="8985" spans="24:25">
      <c r="X8985" s="19"/>
      <c r="Y8985" s="20"/>
    </row>
    <row r="8986" spans="24:25">
      <c r="X8986" s="19"/>
      <c r="Y8986" s="20"/>
    </row>
    <row r="8987" spans="24:25">
      <c r="X8987" s="19"/>
      <c r="Y8987" s="20"/>
    </row>
    <row r="8988" spans="24:25">
      <c r="X8988" s="19"/>
      <c r="Y8988" s="20"/>
    </row>
    <row r="8989" spans="24:25">
      <c r="X8989" s="19"/>
      <c r="Y8989" s="20"/>
    </row>
    <row r="8990" spans="24:25">
      <c r="X8990" s="19"/>
      <c r="Y8990" s="20"/>
    </row>
    <row r="8991" spans="24:25">
      <c r="X8991" s="19"/>
      <c r="Y8991" s="20"/>
    </row>
    <row r="8992" spans="24:25">
      <c r="X8992" s="19"/>
      <c r="Y8992" s="20"/>
    </row>
    <row r="8993" spans="24:25">
      <c r="X8993" s="19"/>
      <c r="Y8993" s="20"/>
    </row>
    <row r="8994" spans="24:25">
      <c r="X8994" s="19"/>
      <c r="Y8994" s="20"/>
    </row>
    <row r="8995" spans="24:25">
      <c r="X8995" s="19"/>
      <c r="Y8995" s="20"/>
    </row>
    <row r="8996" spans="24:25">
      <c r="X8996" s="19"/>
      <c r="Y8996" s="20"/>
    </row>
    <row r="8997" spans="24:25">
      <c r="X8997" s="19"/>
      <c r="Y8997" s="20"/>
    </row>
    <row r="8998" spans="24:25">
      <c r="X8998" s="19"/>
      <c r="Y8998" s="20"/>
    </row>
    <row r="8999" spans="24:25">
      <c r="X8999" s="19"/>
      <c r="Y8999" s="20"/>
    </row>
    <row r="9000" spans="24:25">
      <c r="X9000" s="19"/>
      <c r="Y9000" s="20"/>
    </row>
    <row r="9001" spans="24:25">
      <c r="X9001" s="19"/>
      <c r="Y9001" s="20"/>
    </row>
    <row r="9002" spans="24:25">
      <c r="X9002" s="19"/>
      <c r="Y9002" s="20"/>
    </row>
    <row r="9003" spans="24:25">
      <c r="X9003" s="19"/>
      <c r="Y9003" s="20"/>
    </row>
    <row r="9004" spans="24:25">
      <c r="X9004" s="19"/>
      <c r="Y9004" s="20"/>
    </row>
    <row r="9005" spans="24:25">
      <c r="X9005" s="19"/>
      <c r="Y9005" s="20"/>
    </row>
    <row r="9006" spans="24:25">
      <c r="X9006" s="19"/>
      <c r="Y9006" s="20"/>
    </row>
    <row r="9007" spans="24:25">
      <c r="X9007" s="19"/>
      <c r="Y9007" s="20"/>
    </row>
    <row r="9008" spans="24:25">
      <c r="X9008" s="19"/>
      <c r="Y9008" s="20"/>
    </row>
    <row r="9009" spans="24:25">
      <c r="X9009" s="19"/>
      <c r="Y9009" s="20"/>
    </row>
    <row r="9010" spans="24:25">
      <c r="X9010" s="19"/>
      <c r="Y9010" s="20"/>
    </row>
    <row r="9011" spans="24:25">
      <c r="X9011" s="19"/>
      <c r="Y9011" s="20"/>
    </row>
    <row r="9012" spans="24:25">
      <c r="X9012" s="19"/>
      <c r="Y9012" s="20"/>
    </row>
    <row r="9013" spans="24:25">
      <c r="X9013" s="19"/>
      <c r="Y9013" s="20"/>
    </row>
    <row r="9014" spans="24:25">
      <c r="X9014" s="19"/>
      <c r="Y9014" s="20"/>
    </row>
    <row r="9015" spans="24:25">
      <c r="X9015" s="19"/>
      <c r="Y9015" s="20"/>
    </row>
    <row r="9016" spans="24:25">
      <c r="X9016" s="19"/>
      <c r="Y9016" s="20"/>
    </row>
    <row r="9017" spans="24:25">
      <c r="X9017" s="19"/>
      <c r="Y9017" s="20"/>
    </row>
    <row r="9018" spans="24:25">
      <c r="X9018" s="19"/>
      <c r="Y9018" s="20"/>
    </row>
    <row r="9019" spans="24:25">
      <c r="X9019" s="19"/>
      <c r="Y9019" s="20"/>
    </row>
    <row r="9020" spans="24:25">
      <c r="X9020" s="19"/>
      <c r="Y9020" s="20"/>
    </row>
    <row r="9021" spans="24:25">
      <c r="X9021" s="19"/>
      <c r="Y9021" s="20"/>
    </row>
    <row r="9022" spans="24:25">
      <c r="X9022" s="19"/>
      <c r="Y9022" s="20"/>
    </row>
    <row r="9023" spans="24:25">
      <c r="X9023" s="19"/>
      <c r="Y9023" s="20"/>
    </row>
    <row r="9024" spans="24:25">
      <c r="X9024" s="19"/>
      <c r="Y9024" s="20"/>
    </row>
    <row r="9025" spans="24:25">
      <c r="X9025" s="19"/>
      <c r="Y9025" s="20"/>
    </row>
    <row r="9026" spans="24:25">
      <c r="X9026" s="19"/>
      <c r="Y9026" s="20"/>
    </row>
    <row r="9027" spans="24:25">
      <c r="X9027" s="19"/>
      <c r="Y9027" s="20"/>
    </row>
    <row r="9028" spans="24:25">
      <c r="X9028" s="19"/>
      <c r="Y9028" s="20"/>
    </row>
    <row r="9029" spans="24:25">
      <c r="X9029" s="19"/>
      <c r="Y9029" s="20"/>
    </row>
    <row r="9030" spans="24:25">
      <c r="X9030" s="19"/>
      <c r="Y9030" s="20"/>
    </row>
    <row r="9031" spans="24:25">
      <c r="X9031" s="19"/>
      <c r="Y9031" s="20"/>
    </row>
    <row r="9032" spans="24:25">
      <c r="X9032" s="19"/>
      <c r="Y9032" s="20"/>
    </row>
    <row r="9033" spans="24:25">
      <c r="X9033" s="19"/>
      <c r="Y9033" s="20"/>
    </row>
    <row r="9034" spans="24:25">
      <c r="X9034" s="19"/>
      <c r="Y9034" s="20"/>
    </row>
    <row r="9035" spans="24:25">
      <c r="X9035" s="19"/>
      <c r="Y9035" s="20"/>
    </row>
    <row r="9036" spans="24:25">
      <c r="X9036" s="19"/>
      <c r="Y9036" s="20"/>
    </row>
    <row r="9037" spans="24:25">
      <c r="X9037" s="19"/>
      <c r="Y9037" s="20"/>
    </row>
    <row r="9038" spans="24:25">
      <c r="X9038" s="19"/>
      <c r="Y9038" s="20"/>
    </row>
    <row r="9039" spans="24:25">
      <c r="X9039" s="19"/>
      <c r="Y9039" s="20"/>
    </row>
    <row r="9040" spans="24:25">
      <c r="X9040" s="19"/>
      <c r="Y9040" s="20"/>
    </row>
    <row r="9041" spans="24:25">
      <c r="X9041" s="19"/>
      <c r="Y9041" s="20"/>
    </row>
    <row r="9042" spans="24:25">
      <c r="X9042" s="19"/>
      <c r="Y9042" s="20"/>
    </row>
    <row r="9043" spans="24:25">
      <c r="X9043" s="19"/>
      <c r="Y9043" s="20"/>
    </row>
    <row r="9044" spans="24:25">
      <c r="X9044" s="19"/>
      <c r="Y9044" s="20"/>
    </row>
    <row r="9045" spans="24:25">
      <c r="X9045" s="19"/>
      <c r="Y9045" s="20"/>
    </row>
    <row r="9046" spans="24:25">
      <c r="X9046" s="19"/>
      <c r="Y9046" s="20"/>
    </row>
    <row r="9047" spans="24:25">
      <c r="X9047" s="19"/>
      <c r="Y9047" s="20"/>
    </row>
    <row r="9048" spans="24:25">
      <c r="X9048" s="19"/>
      <c r="Y9048" s="20"/>
    </row>
    <row r="9049" spans="24:25">
      <c r="X9049" s="19"/>
      <c r="Y9049" s="20"/>
    </row>
    <row r="9050" spans="24:25">
      <c r="X9050" s="19"/>
      <c r="Y9050" s="20"/>
    </row>
    <row r="9051" spans="24:25">
      <c r="X9051" s="19"/>
      <c r="Y9051" s="20"/>
    </row>
    <row r="9052" spans="24:25">
      <c r="X9052" s="19"/>
      <c r="Y9052" s="20"/>
    </row>
    <row r="9053" spans="24:25">
      <c r="X9053" s="19"/>
      <c r="Y9053" s="20"/>
    </row>
    <row r="9054" spans="24:25">
      <c r="X9054" s="19"/>
      <c r="Y9054" s="20"/>
    </row>
    <row r="9055" spans="24:25">
      <c r="X9055" s="19"/>
      <c r="Y9055" s="20"/>
    </row>
    <row r="9056" spans="24:25">
      <c r="X9056" s="19"/>
      <c r="Y9056" s="20"/>
    </row>
    <row r="9057" spans="24:25">
      <c r="X9057" s="19"/>
      <c r="Y9057" s="20"/>
    </row>
    <row r="9058" spans="24:25">
      <c r="X9058" s="19"/>
      <c r="Y9058" s="20"/>
    </row>
    <row r="9059" spans="24:25">
      <c r="X9059" s="19"/>
      <c r="Y9059" s="20"/>
    </row>
    <row r="9060" spans="24:25">
      <c r="X9060" s="19"/>
      <c r="Y9060" s="20"/>
    </row>
    <row r="9061" spans="24:25">
      <c r="X9061" s="19"/>
      <c r="Y9061" s="20"/>
    </row>
    <row r="9062" spans="24:25">
      <c r="X9062" s="19"/>
      <c r="Y9062" s="20"/>
    </row>
    <row r="9063" spans="24:25">
      <c r="X9063" s="19"/>
      <c r="Y9063" s="20"/>
    </row>
    <row r="9064" spans="24:25">
      <c r="X9064" s="19"/>
      <c r="Y9064" s="20"/>
    </row>
    <row r="9065" spans="24:25">
      <c r="X9065" s="19"/>
      <c r="Y9065" s="20"/>
    </row>
    <row r="9066" spans="24:25">
      <c r="X9066" s="19"/>
      <c r="Y9066" s="20"/>
    </row>
    <row r="9067" spans="24:25">
      <c r="X9067" s="19"/>
      <c r="Y9067" s="20"/>
    </row>
    <row r="9068" spans="24:25">
      <c r="X9068" s="19"/>
      <c r="Y9068" s="20"/>
    </row>
    <row r="9069" spans="24:25">
      <c r="X9069" s="19"/>
      <c r="Y9069" s="20"/>
    </row>
    <row r="9070" spans="24:25">
      <c r="X9070" s="19"/>
      <c r="Y9070" s="20"/>
    </row>
    <row r="9071" spans="24:25">
      <c r="X9071" s="19"/>
      <c r="Y9071" s="20"/>
    </row>
    <row r="9072" spans="24:25">
      <c r="X9072" s="19"/>
      <c r="Y9072" s="20"/>
    </row>
    <row r="9073" spans="24:25">
      <c r="X9073" s="19"/>
      <c r="Y9073" s="20"/>
    </row>
    <row r="9074" spans="24:25">
      <c r="X9074" s="19"/>
      <c r="Y9074" s="20"/>
    </row>
    <row r="9075" spans="24:25">
      <c r="X9075" s="19"/>
      <c r="Y9075" s="20"/>
    </row>
    <row r="9076" spans="24:25">
      <c r="X9076" s="19"/>
      <c r="Y9076" s="20"/>
    </row>
    <row r="9077" spans="24:25">
      <c r="X9077" s="19"/>
      <c r="Y9077" s="20"/>
    </row>
    <row r="9078" spans="24:25">
      <c r="X9078" s="19"/>
      <c r="Y9078" s="20"/>
    </row>
    <row r="9079" spans="24:25">
      <c r="X9079" s="19"/>
      <c r="Y9079" s="20"/>
    </row>
    <row r="9080" spans="24:25">
      <c r="X9080" s="19"/>
      <c r="Y9080" s="20"/>
    </row>
    <row r="9081" spans="24:25">
      <c r="X9081" s="19"/>
      <c r="Y9081" s="20"/>
    </row>
    <row r="9082" spans="24:25">
      <c r="X9082" s="19"/>
      <c r="Y9082" s="20"/>
    </row>
    <row r="9083" spans="24:25">
      <c r="X9083" s="19"/>
      <c r="Y9083" s="20"/>
    </row>
    <row r="9084" spans="24:25">
      <c r="X9084" s="19"/>
      <c r="Y9084" s="20"/>
    </row>
    <row r="9085" spans="24:25">
      <c r="X9085" s="19"/>
      <c r="Y9085" s="20"/>
    </row>
    <row r="9086" spans="24:25">
      <c r="X9086" s="19"/>
      <c r="Y9086" s="20"/>
    </row>
    <row r="9087" spans="24:25">
      <c r="X9087" s="19"/>
      <c r="Y9087" s="20"/>
    </row>
    <row r="9088" spans="24:25">
      <c r="X9088" s="19"/>
      <c r="Y9088" s="20"/>
    </row>
    <row r="9089" spans="24:25">
      <c r="X9089" s="19"/>
      <c r="Y9089" s="20"/>
    </row>
    <row r="9090" spans="24:25">
      <c r="X9090" s="19"/>
      <c r="Y9090" s="20"/>
    </row>
    <row r="9091" spans="24:25">
      <c r="X9091" s="19"/>
      <c r="Y9091" s="20"/>
    </row>
    <row r="9092" spans="24:25">
      <c r="X9092" s="19"/>
      <c r="Y9092" s="20"/>
    </row>
    <row r="9093" spans="24:25">
      <c r="X9093" s="19"/>
      <c r="Y9093" s="20"/>
    </row>
    <row r="9094" spans="24:25">
      <c r="X9094" s="19"/>
      <c r="Y9094" s="20"/>
    </row>
    <row r="9095" spans="24:25">
      <c r="X9095" s="19"/>
      <c r="Y9095" s="20"/>
    </row>
    <row r="9096" spans="24:25">
      <c r="X9096" s="19"/>
      <c r="Y9096" s="20"/>
    </row>
    <row r="9097" spans="24:25">
      <c r="X9097" s="19"/>
      <c r="Y9097" s="20"/>
    </row>
    <row r="9098" spans="24:25">
      <c r="X9098" s="19"/>
      <c r="Y9098" s="20"/>
    </row>
    <row r="9099" spans="24:25">
      <c r="X9099" s="19"/>
      <c r="Y9099" s="20"/>
    </row>
    <row r="9100" spans="24:25">
      <c r="X9100" s="19"/>
      <c r="Y9100" s="20"/>
    </row>
    <row r="9101" spans="24:25">
      <c r="X9101" s="19"/>
      <c r="Y9101" s="20"/>
    </row>
    <row r="9102" spans="24:25">
      <c r="X9102" s="19"/>
      <c r="Y9102" s="20"/>
    </row>
    <row r="9103" spans="24:25">
      <c r="X9103" s="19"/>
      <c r="Y9103" s="20"/>
    </row>
    <row r="9104" spans="24:25">
      <c r="X9104" s="19"/>
      <c r="Y9104" s="20"/>
    </row>
    <row r="9105" spans="24:25">
      <c r="X9105" s="19"/>
      <c r="Y9105" s="20"/>
    </row>
    <row r="9106" spans="24:25">
      <c r="X9106" s="19"/>
      <c r="Y9106" s="20"/>
    </row>
    <row r="9107" spans="24:25">
      <c r="X9107" s="19"/>
      <c r="Y9107" s="20"/>
    </row>
    <row r="9108" spans="24:25">
      <c r="X9108" s="19"/>
      <c r="Y9108" s="20"/>
    </row>
    <row r="9109" spans="24:25">
      <c r="X9109" s="19"/>
      <c r="Y9109" s="20"/>
    </row>
    <row r="9110" spans="24:25">
      <c r="X9110" s="19"/>
      <c r="Y9110" s="20"/>
    </row>
    <row r="9111" spans="24:25">
      <c r="X9111" s="19"/>
      <c r="Y9111" s="20"/>
    </row>
    <row r="9112" spans="24:25">
      <c r="X9112" s="19"/>
      <c r="Y9112" s="20"/>
    </row>
    <row r="9113" spans="24:25">
      <c r="X9113" s="19"/>
      <c r="Y9113" s="20"/>
    </row>
    <row r="9114" spans="24:25">
      <c r="X9114" s="19"/>
      <c r="Y9114" s="20"/>
    </row>
    <row r="9115" spans="24:25">
      <c r="X9115" s="19"/>
      <c r="Y9115" s="20"/>
    </row>
    <row r="9116" spans="24:25">
      <c r="X9116" s="19"/>
      <c r="Y9116" s="20"/>
    </row>
    <row r="9117" spans="24:25">
      <c r="X9117" s="19"/>
      <c r="Y9117" s="20"/>
    </row>
    <row r="9118" spans="24:25">
      <c r="X9118" s="19"/>
      <c r="Y9118" s="20"/>
    </row>
    <row r="9119" spans="24:25">
      <c r="X9119" s="19"/>
      <c r="Y9119" s="20"/>
    </row>
    <row r="9120" spans="24:25">
      <c r="X9120" s="19"/>
      <c r="Y9120" s="20"/>
    </row>
    <row r="9121" spans="24:25">
      <c r="X9121" s="19"/>
      <c r="Y9121" s="20"/>
    </row>
    <row r="9122" spans="24:25">
      <c r="X9122" s="19"/>
      <c r="Y9122" s="20"/>
    </row>
    <row r="9123" spans="24:25">
      <c r="X9123" s="19"/>
      <c r="Y9123" s="20"/>
    </row>
    <row r="9124" spans="24:25">
      <c r="X9124" s="19"/>
      <c r="Y9124" s="20"/>
    </row>
    <row r="9125" spans="24:25">
      <c r="X9125" s="19"/>
      <c r="Y9125" s="20"/>
    </row>
    <row r="9126" spans="24:25">
      <c r="X9126" s="19"/>
      <c r="Y9126" s="20"/>
    </row>
    <row r="9127" spans="24:25">
      <c r="X9127" s="19"/>
      <c r="Y9127" s="20"/>
    </row>
    <row r="9128" spans="24:25">
      <c r="X9128" s="19"/>
      <c r="Y9128" s="20"/>
    </row>
    <row r="9129" spans="24:25">
      <c r="X9129" s="19"/>
      <c r="Y9129" s="20"/>
    </row>
    <row r="9130" spans="24:25">
      <c r="X9130" s="19"/>
      <c r="Y9130" s="20"/>
    </row>
    <row r="9131" spans="24:25">
      <c r="X9131" s="19"/>
      <c r="Y9131" s="20"/>
    </row>
    <row r="9132" spans="24:25">
      <c r="X9132" s="19"/>
      <c r="Y9132" s="20"/>
    </row>
    <row r="9133" spans="24:25">
      <c r="X9133" s="19"/>
      <c r="Y9133" s="20"/>
    </row>
    <row r="9134" spans="24:25">
      <c r="X9134" s="19"/>
      <c r="Y9134" s="20"/>
    </row>
    <row r="9135" spans="24:25">
      <c r="X9135" s="19"/>
      <c r="Y9135" s="20"/>
    </row>
    <row r="9136" spans="24:25">
      <c r="X9136" s="19"/>
      <c r="Y9136" s="20"/>
    </row>
    <row r="9137" spans="24:25">
      <c r="X9137" s="19"/>
      <c r="Y9137" s="20"/>
    </row>
    <row r="9138" spans="24:25">
      <c r="X9138" s="19"/>
      <c r="Y9138" s="20"/>
    </row>
    <row r="9139" spans="24:25">
      <c r="X9139" s="19"/>
      <c r="Y9139" s="20"/>
    </row>
    <row r="9140" spans="24:25">
      <c r="X9140" s="19"/>
      <c r="Y9140" s="20"/>
    </row>
    <row r="9141" spans="24:25">
      <c r="X9141" s="19"/>
      <c r="Y9141" s="20"/>
    </row>
    <row r="9142" spans="24:25">
      <c r="X9142" s="19"/>
      <c r="Y9142" s="20"/>
    </row>
    <row r="9143" spans="24:25">
      <c r="X9143" s="19"/>
      <c r="Y9143" s="20"/>
    </row>
    <row r="9144" spans="24:25">
      <c r="X9144" s="19"/>
      <c r="Y9144" s="20"/>
    </row>
    <row r="9145" spans="24:25">
      <c r="X9145" s="19"/>
      <c r="Y9145" s="20"/>
    </row>
    <row r="9146" spans="24:25">
      <c r="X9146" s="19"/>
      <c r="Y9146" s="20"/>
    </row>
    <row r="9147" spans="24:25">
      <c r="X9147" s="19"/>
      <c r="Y9147" s="20"/>
    </row>
    <row r="9148" spans="24:25">
      <c r="X9148" s="19"/>
      <c r="Y9148" s="20"/>
    </row>
    <row r="9149" spans="24:25">
      <c r="X9149" s="19"/>
      <c r="Y9149" s="20"/>
    </row>
    <row r="9150" spans="24:25">
      <c r="X9150" s="19"/>
      <c r="Y9150" s="20"/>
    </row>
    <row r="9151" spans="24:25">
      <c r="X9151" s="19"/>
      <c r="Y9151" s="20"/>
    </row>
    <row r="9152" spans="24:25">
      <c r="X9152" s="19"/>
      <c r="Y9152" s="20"/>
    </row>
    <row r="9153" spans="24:25">
      <c r="X9153" s="19"/>
      <c r="Y9153" s="20"/>
    </row>
    <row r="9154" spans="24:25">
      <c r="X9154" s="19"/>
      <c r="Y9154" s="20"/>
    </row>
    <row r="9155" spans="24:25">
      <c r="X9155" s="19"/>
      <c r="Y9155" s="20"/>
    </row>
    <row r="9156" spans="24:25">
      <c r="X9156" s="19"/>
      <c r="Y9156" s="20"/>
    </row>
    <row r="9157" spans="24:25">
      <c r="X9157" s="19"/>
      <c r="Y9157" s="20"/>
    </row>
    <row r="9158" spans="24:25">
      <c r="X9158" s="19"/>
      <c r="Y9158" s="20"/>
    </row>
    <row r="9159" spans="24:25">
      <c r="X9159" s="19"/>
      <c r="Y9159" s="20"/>
    </row>
    <row r="9160" spans="24:25">
      <c r="X9160" s="19"/>
      <c r="Y9160" s="20"/>
    </row>
    <row r="9161" spans="24:25">
      <c r="X9161" s="19"/>
      <c r="Y9161" s="20"/>
    </row>
    <row r="9162" spans="24:25">
      <c r="X9162" s="19"/>
      <c r="Y9162" s="20"/>
    </row>
    <row r="9163" spans="24:25">
      <c r="X9163" s="19"/>
      <c r="Y9163" s="20"/>
    </row>
    <row r="9164" spans="24:25">
      <c r="X9164" s="19"/>
      <c r="Y9164" s="20"/>
    </row>
    <row r="9165" spans="24:25">
      <c r="X9165" s="19"/>
      <c r="Y9165" s="20"/>
    </row>
    <row r="9166" spans="24:25">
      <c r="X9166" s="19"/>
      <c r="Y9166" s="20"/>
    </row>
    <row r="9167" spans="24:25">
      <c r="X9167" s="19"/>
      <c r="Y9167" s="20"/>
    </row>
    <row r="9168" spans="24:25">
      <c r="X9168" s="19"/>
      <c r="Y9168" s="20"/>
    </row>
    <row r="9169" spans="24:25">
      <c r="X9169" s="19"/>
      <c r="Y9169" s="20"/>
    </row>
    <row r="9170" spans="24:25">
      <c r="X9170" s="19"/>
      <c r="Y9170" s="20"/>
    </row>
    <row r="9171" spans="24:25">
      <c r="X9171" s="19"/>
      <c r="Y9171" s="20"/>
    </row>
    <row r="9172" spans="24:25">
      <c r="X9172" s="19"/>
      <c r="Y9172" s="20"/>
    </row>
    <row r="9173" spans="24:25">
      <c r="X9173" s="19"/>
      <c r="Y9173" s="20"/>
    </row>
    <row r="9174" spans="24:25">
      <c r="X9174" s="19"/>
      <c r="Y9174" s="20"/>
    </row>
    <row r="9175" spans="24:25">
      <c r="X9175" s="19"/>
      <c r="Y9175" s="20"/>
    </row>
    <row r="9176" spans="24:25">
      <c r="X9176" s="19"/>
      <c r="Y9176" s="20"/>
    </row>
    <row r="9177" spans="24:25">
      <c r="X9177" s="19"/>
      <c r="Y9177" s="20"/>
    </row>
    <row r="9178" spans="24:25">
      <c r="X9178" s="19"/>
      <c r="Y9178" s="20"/>
    </row>
    <row r="9179" spans="24:25">
      <c r="X9179" s="19"/>
      <c r="Y9179" s="20"/>
    </row>
    <row r="9180" spans="24:25">
      <c r="X9180" s="19"/>
      <c r="Y9180" s="20"/>
    </row>
    <row r="9181" spans="24:25">
      <c r="X9181" s="19"/>
      <c r="Y9181" s="20"/>
    </row>
    <row r="9182" spans="24:25">
      <c r="X9182" s="19"/>
      <c r="Y9182" s="20"/>
    </row>
    <row r="9183" spans="24:25">
      <c r="X9183" s="19"/>
      <c r="Y9183" s="20"/>
    </row>
    <row r="9184" spans="24:25">
      <c r="X9184" s="19"/>
      <c r="Y9184" s="20"/>
    </row>
    <row r="9185" spans="24:25">
      <c r="X9185" s="19"/>
      <c r="Y9185" s="20"/>
    </row>
    <row r="9186" spans="24:25">
      <c r="X9186" s="19"/>
      <c r="Y9186" s="20"/>
    </row>
    <row r="9187" spans="24:25">
      <c r="X9187" s="19"/>
      <c r="Y9187" s="20"/>
    </row>
    <row r="9188" spans="24:25">
      <c r="X9188" s="19"/>
      <c r="Y9188" s="20"/>
    </row>
    <row r="9189" spans="24:25">
      <c r="X9189" s="19"/>
      <c r="Y9189" s="20"/>
    </row>
    <row r="9190" spans="24:25">
      <c r="X9190" s="19"/>
      <c r="Y9190" s="20"/>
    </row>
    <row r="9191" spans="24:25">
      <c r="X9191" s="19"/>
      <c r="Y9191" s="20"/>
    </row>
    <row r="9192" spans="24:25">
      <c r="X9192" s="19"/>
      <c r="Y9192" s="20"/>
    </row>
    <row r="9193" spans="24:25">
      <c r="X9193" s="19"/>
      <c r="Y9193" s="20"/>
    </row>
    <row r="9194" spans="24:25">
      <c r="X9194" s="19"/>
      <c r="Y9194" s="20"/>
    </row>
    <row r="9195" spans="24:25">
      <c r="X9195" s="19"/>
      <c r="Y9195" s="20"/>
    </row>
    <row r="9196" spans="24:25">
      <c r="X9196" s="19"/>
      <c r="Y9196" s="20"/>
    </row>
    <row r="9197" spans="24:25">
      <c r="X9197" s="19"/>
      <c r="Y9197" s="20"/>
    </row>
    <row r="9198" spans="24:25">
      <c r="X9198" s="19"/>
      <c r="Y9198" s="20"/>
    </row>
    <row r="9199" spans="24:25">
      <c r="X9199" s="19"/>
      <c r="Y9199" s="20"/>
    </row>
    <row r="9200" spans="24:25">
      <c r="X9200" s="19"/>
      <c r="Y9200" s="20"/>
    </row>
    <row r="9201" spans="24:25">
      <c r="X9201" s="19"/>
      <c r="Y9201" s="20"/>
    </row>
    <row r="9202" spans="24:25">
      <c r="X9202" s="19"/>
      <c r="Y9202" s="20"/>
    </row>
    <row r="9203" spans="24:25">
      <c r="X9203" s="19"/>
      <c r="Y9203" s="20"/>
    </row>
    <row r="9204" spans="24:25">
      <c r="X9204" s="19"/>
      <c r="Y9204" s="20"/>
    </row>
    <row r="9205" spans="24:25">
      <c r="X9205" s="19"/>
      <c r="Y9205" s="20"/>
    </row>
    <row r="9206" spans="24:25">
      <c r="X9206" s="19"/>
      <c r="Y9206" s="20"/>
    </row>
    <row r="9207" spans="24:25">
      <c r="X9207" s="19"/>
      <c r="Y9207" s="20"/>
    </row>
    <row r="9208" spans="24:25">
      <c r="X9208" s="19"/>
      <c r="Y9208" s="20"/>
    </row>
    <row r="9209" spans="24:25">
      <c r="X9209" s="19"/>
      <c r="Y9209" s="20"/>
    </row>
    <row r="9210" spans="24:25">
      <c r="X9210" s="19"/>
      <c r="Y9210" s="20"/>
    </row>
    <row r="9211" spans="24:25">
      <c r="X9211" s="19"/>
      <c r="Y9211" s="20"/>
    </row>
    <row r="9212" spans="24:25">
      <c r="X9212" s="19"/>
      <c r="Y9212" s="20"/>
    </row>
    <row r="9213" spans="24:25">
      <c r="X9213" s="19"/>
      <c r="Y9213" s="20"/>
    </row>
    <row r="9214" spans="24:25">
      <c r="X9214" s="19"/>
      <c r="Y9214" s="20"/>
    </row>
    <row r="9215" spans="24:25">
      <c r="X9215" s="19"/>
      <c r="Y9215" s="20"/>
    </row>
    <row r="9216" spans="24:25">
      <c r="X9216" s="19"/>
      <c r="Y9216" s="20"/>
    </row>
    <row r="9217" spans="24:25">
      <c r="X9217" s="19"/>
      <c r="Y9217" s="20"/>
    </row>
    <row r="9218" spans="24:25">
      <c r="X9218" s="19"/>
      <c r="Y9218" s="20"/>
    </row>
    <row r="9219" spans="24:25">
      <c r="X9219" s="19"/>
      <c r="Y9219" s="20"/>
    </row>
    <row r="9220" spans="24:25">
      <c r="X9220" s="19"/>
      <c r="Y9220" s="20"/>
    </row>
    <row r="9221" spans="24:25">
      <c r="X9221" s="19"/>
      <c r="Y9221" s="20"/>
    </row>
    <row r="9222" spans="24:25">
      <c r="X9222" s="19"/>
      <c r="Y9222" s="20"/>
    </row>
    <row r="9223" spans="24:25">
      <c r="X9223" s="19"/>
      <c r="Y9223" s="20"/>
    </row>
    <row r="9224" spans="24:25">
      <c r="X9224" s="19"/>
      <c r="Y9224" s="20"/>
    </row>
    <row r="9225" spans="24:25">
      <c r="X9225" s="19"/>
      <c r="Y9225" s="20"/>
    </row>
    <row r="9226" spans="24:25">
      <c r="X9226" s="19"/>
      <c r="Y9226" s="20"/>
    </row>
    <row r="9227" spans="24:25">
      <c r="X9227" s="19"/>
      <c r="Y9227" s="20"/>
    </row>
    <row r="9228" spans="24:25">
      <c r="X9228" s="19"/>
      <c r="Y9228" s="20"/>
    </row>
    <row r="9229" spans="24:25">
      <c r="X9229" s="19"/>
      <c r="Y9229" s="20"/>
    </row>
    <row r="9230" spans="24:25">
      <c r="X9230" s="19"/>
      <c r="Y9230" s="20"/>
    </row>
    <row r="9231" spans="24:25">
      <c r="X9231" s="19"/>
      <c r="Y9231" s="20"/>
    </row>
    <row r="9232" spans="24:25">
      <c r="X9232" s="19"/>
      <c r="Y9232" s="20"/>
    </row>
    <row r="9233" spans="24:25">
      <c r="X9233" s="19"/>
      <c r="Y9233" s="20"/>
    </row>
    <row r="9234" spans="24:25">
      <c r="X9234" s="19"/>
      <c r="Y9234" s="20"/>
    </row>
    <row r="9235" spans="24:25">
      <c r="X9235" s="19"/>
      <c r="Y9235" s="20"/>
    </row>
    <row r="9236" spans="24:25">
      <c r="X9236" s="19"/>
      <c r="Y9236" s="20"/>
    </row>
    <row r="9237" spans="24:25">
      <c r="X9237" s="19"/>
      <c r="Y9237" s="20"/>
    </row>
    <row r="9238" spans="24:25">
      <c r="X9238" s="19"/>
      <c r="Y9238" s="20"/>
    </row>
    <row r="9239" spans="24:25">
      <c r="X9239" s="19"/>
      <c r="Y9239" s="20"/>
    </row>
    <row r="9240" spans="24:25">
      <c r="X9240" s="19"/>
      <c r="Y9240" s="20"/>
    </row>
    <row r="9241" spans="24:25">
      <c r="X9241" s="19"/>
      <c r="Y9241" s="20"/>
    </row>
    <row r="9242" spans="24:25">
      <c r="X9242" s="19"/>
      <c r="Y9242" s="20"/>
    </row>
    <row r="9243" spans="24:25">
      <c r="X9243" s="19"/>
      <c r="Y9243" s="20"/>
    </row>
    <row r="9244" spans="24:25">
      <c r="X9244" s="19"/>
      <c r="Y9244" s="20"/>
    </row>
    <row r="9245" spans="24:25">
      <c r="X9245" s="19"/>
      <c r="Y9245" s="20"/>
    </row>
    <row r="9246" spans="24:25">
      <c r="X9246" s="19"/>
      <c r="Y9246" s="20"/>
    </row>
    <row r="9247" spans="24:25">
      <c r="X9247" s="19"/>
      <c r="Y9247" s="20"/>
    </row>
    <row r="9248" spans="24:25">
      <c r="X9248" s="19"/>
      <c r="Y9248" s="20"/>
    </row>
    <row r="9249" spans="24:25">
      <c r="X9249" s="19"/>
      <c r="Y9249" s="20"/>
    </row>
    <row r="9250" spans="24:25">
      <c r="X9250" s="19"/>
      <c r="Y9250" s="20"/>
    </row>
    <row r="9251" spans="24:25">
      <c r="X9251" s="19"/>
      <c r="Y9251" s="20"/>
    </row>
    <row r="9252" spans="24:25">
      <c r="X9252" s="19"/>
      <c r="Y9252" s="20"/>
    </row>
    <row r="9253" spans="24:25">
      <c r="X9253" s="19"/>
      <c r="Y9253" s="20"/>
    </row>
    <row r="9254" spans="24:25">
      <c r="X9254" s="19"/>
      <c r="Y9254" s="20"/>
    </row>
    <row r="9255" spans="24:25">
      <c r="X9255" s="19"/>
      <c r="Y9255" s="20"/>
    </row>
    <row r="9256" spans="24:25">
      <c r="X9256" s="19"/>
      <c r="Y9256" s="20"/>
    </row>
    <row r="9257" spans="24:25">
      <c r="X9257" s="19"/>
      <c r="Y9257" s="20"/>
    </row>
    <row r="9258" spans="24:25">
      <c r="X9258" s="19"/>
      <c r="Y9258" s="20"/>
    </row>
    <row r="9259" spans="24:25">
      <c r="X9259" s="19"/>
      <c r="Y9259" s="20"/>
    </row>
    <row r="9260" spans="24:25">
      <c r="X9260" s="19"/>
      <c r="Y9260" s="20"/>
    </row>
    <row r="9261" spans="24:25">
      <c r="X9261" s="19"/>
      <c r="Y9261" s="20"/>
    </row>
    <row r="9262" spans="24:25">
      <c r="X9262" s="19"/>
      <c r="Y9262" s="20"/>
    </row>
    <row r="9263" spans="24:25">
      <c r="X9263" s="19"/>
      <c r="Y9263" s="20"/>
    </row>
    <row r="9264" spans="24:25">
      <c r="X9264" s="19"/>
      <c r="Y9264" s="20"/>
    </row>
    <row r="9265" spans="24:25">
      <c r="X9265" s="19"/>
      <c r="Y9265" s="20"/>
    </row>
    <row r="9266" spans="24:25">
      <c r="X9266" s="19"/>
      <c r="Y9266" s="20"/>
    </row>
    <row r="9267" spans="24:25">
      <c r="X9267" s="19"/>
      <c r="Y9267" s="20"/>
    </row>
    <row r="9268" spans="24:25">
      <c r="X9268" s="19"/>
      <c r="Y9268" s="20"/>
    </row>
    <row r="9269" spans="24:25">
      <c r="X9269" s="19"/>
      <c r="Y9269" s="20"/>
    </row>
    <row r="9270" spans="24:25">
      <c r="X9270" s="19"/>
      <c r="Y9270" s="20"/>
    </row>
    <row r="9271" spans="24:25">
      <c r="X9271" s="19"/>
      <c r="Y9271" s="20"/>
    </row>
    <row r="9272" spans="24:25">
      <c r="X9272" s="19"/>
      <c r="Y9272" s="20"/>
    </row>
    <row r="9273" spans="24:25">
      <c r="X9273" s="19"/>
      <c r="Y9273" s="20"/>
    </row>
    <row r="9274" spans="24:25">
      <c r="X9274" s="19"/>
      <c r="Y9274" s="20"/>
    </row>
    <row r="9275" spans="24:25">
      <c r="X9275" s="19"/>
      <c r="Y9275" s="20"/>
    </row>
    <row r="9276" spans="24:25">
      <c r="X9276" s="19"/>
      <c r="Y9276" s="20"/>
    </row>
    <row r="9277" spans="24:25">
      <c r="X9277" s="19"/>
      <c r="Y9277" s="20"/>
    </row>
    <row r="9278" spans="24:25">
      <c r="X9278" s="19"/>
      <c r="Y9278" s="20"/>
    </row>
    <row r="9279" spans="24:25">
      <c r="X9279" s="19"/>
      <c r="Y9279" s="20"/>
    </row>
    <row r="9280" spans="24:25">
      <c r="X9280" s="19"/>
      <c r="Y9280" s="20"/>
    </row>
    <row r="9281" spans="24:25">
      <c r="X9281" s="19"/>
      <c r="Y9281" s="20"/>
    </row>
    <row r="9282" spans="24:25">
      <c r="X9282" s="19"/>
      <c r="Y9282" s="20"/>
    </row>
    <row r="9283" spans="24:25">
      <c r="X9283" s="19"/>
      <c r="Y9283" s="20"/>
    </row>
    <row r="9284" spans="24:25">
      <c r="X9284" s="19"/>
      <c r="Y9284" s="20"/>
    </row>
    <row r="9285" spans="24:25">
      <c r="X9285" s="19"/>
      <c r="Y9285" s="20"/>
    </row>
    <row r="9286" spans="24:25">
      <c r="X9286" s="19"/>
      <c r="Y9286" s="20"/>
    </row>
    <row r="9287" spans="24:25">
      <c r="X9287" s="19"/>
      <c r="Y9287" s="20"/>
    </row>
    <row r="9288" spans="24:25">
      <c r="X9288" s="19"/>
      <c r="Y9288" s="20"/>
    </row>
    <row r="9289" spans="24:25">
      <c r="X9289" s="19"/>
      <c r="Y9289" s="20"/>
    </row>
    <row r="9290" spans="24:25">
      <c r="X9290" s="19"/>
      <c r="Y9290" s="20"/>
    </row>
    <row r="9291" spans="24:25">
      <c r="X9291" s="19"/>
      <c r="Y9291" s="20"/>
    </row>
    <row r="9292" spans="24:25">
      <c r="X9292" s="19"/>
      <c r="Y9292" s="20"/>
    </row>
    <row r="9293" spans="24:25">
      <c r="X9293" s="19"/>
      <c r="Y9293" s="20"/>
    </row>
    <row r="9294" spans="24:25">
      <c r="X9294" s="19"/>
      <c r="Y9294" s="20"/>
    </row>
    <row r="9295" spans="24:25">
      <c r="X9295" s="19"/>
      <c r="Y9295" s="20"/>
    </row>
    <row r="9296" spans="24:25">
      <c r="X9296" s="19"/>
      <c r="Y9296" s="20"/>
    </row>
    <row r="9297" spans="24:25">
      <c r="X9297" s="19"/>
      <c r="Y9297" s="20"/>
    </row>
    <row r="9298" spans="24:25">
      <c r="X9298" s="19"/>
      <c r="Y9298" s="20"/>
    </row>
    <row r="9299" spans="24:25">
      <c r="X9299" s="19"/>
      <c r="Y9299" s="20"/>
    </row>
    <row r="9300" spans="24:25">
      <c r="X9300" s="19"/>
      <c r="Y9300" s="20"/>
    </row>
    <row r="9301" spans="24:25">
      <c r="X9301" s="19"/>
      <c r="Y9301" s="20"/>
    </row>
    <row r="9302" spans="24:25">
      <c r="X9302" s="19"/>
      <c r="Y9302" s="20"/>
    </row>
    <row r="9303" spans="24:25">
      <c r="X9303" s="19"/>
      <c r="Y9303" s="20"/>
    </row>
    <row r="9304" spans="24:25">
      <c r="X9304" s="19"/>
      <c r="Y9304" s="20"/>
    </row>
    <row r="9305" spans="24:25">
      <c r="X9305" s="19"/>
      <c r="Y9305" s="20"/>
    </row>
    <row r="9306" spans="24:25">
      <c r="X9306" s="19"/>
      <c r="Y9306" s="20"/>
    </row>
    <row r="9307" spans="24:25">
      <c r="X9307" s="19"/>
      <c r="Y9307" s="20"/>
    </row>
    <row r="9308" spans="24:25">
      <c r="X9308" s="19"/>
      <c r="Y9308" s="20"/>
    </row>
    <row r="9309" spans="24:25">
      <c r="X9309" s="19"/>
      <c r="Y9309" s="20"/>
    </row>
    <row r="9310" spans="24:25">
      <c r="X9310" s="19"/>
      <c r="Y9310" s="20"/>
    </row>
    <row r="9311" spans="24:25">
      <c r="X9311" s="19"/>
      <c r="Y9311" s="20"/>
    </row>
    <row r="9312" spans="24:25">
      <c r="X9312" s="19"/>
      <c r="Y9312" s="20"/>
    </row>
    <row r="9313" spans="24:25">
      <c r="X9313" s="19"/>
      <c r="Y9313" s="20"/>
    </row>
    <row r="9314" spans="24:25">
      <c r="X9314" s="19"/>
      <c r="Y9314" s="20"/>
    </row>
    <row r="9315" spans="24:25">
      <c r="X9315" s="19"/>
      <c r="Y9315" s="20"/>
    </row>
    <row r="9316" spans="24:25">
      <c r="X9316" s="19"/>
      <c r="Y9316" s="20"/>
    </row>
    <row r="9317" spans="24:25">
      <c r="X9317" s="19"/>
      <c r="Y9317" s="20"/>
    </row>
    <row r="9318" spans="24:25">
      <c r="X9318" s="19"/>
      <c r="Y9318" s="20"/>
    </row>
    <row r="9319" spans="24:25">
      <c r="X9319" s="19"/>
      <c r="Y9319" s="20"/>
    </row>
    <row r="9320" spans="24:25">
      <c r="X9320" s="19"/>
      <c r="Y9320" s="20"/>
    </row>
    <row r="9321" spans="24:25">
      <c r="X9321" s="19"/>
      <c r="Y9321" s="20"/>
    </row>
    <row r="9322" spans="24:25">
      <c r="X9322" s="19"/>
      <c r="Y9322" s="20"/>
    </row>
    <row r="9323" spans="24:25">
      <c r="X9323" s="19"/>
      <c r="Y9323" s="20"/>
    </row>
    <row r="9324" spans="24:25">
      <c r="X9324" s="19"/>
      <c r="Y9324" s="20"/>
    </row>
    <row r="9325" spans="24:25">
      <c r="X9325" s="19"/>
      <c r="Y9325" s="20"/>
    </row>
    <row r="9326" spans="24:25">
      <c r="X9326" s="19"/>
      <c r="Y9326" s="20"/>
    </row>
    <row r="9327" spans="24:25">
      <c r="X9327" s="19"/>
      <c r="Y9327" s="20"/>
    </row>
    <row r="9328" spans="24:25">
      <c r="X9328" s="19"/>
      <c r="Y9328" s="20"/>
    </row>
    <row r="9329" spans="24:25">
      <c r="X9329" s="19"/>
      <c r="Y9329" s="20"/>
    </row>
    <row r="9330" spans="24:25">
      <c r="X9330" s="19"/>
      <c r="Y9330" s="20"/>
    </row>
    <row r="9331" spans="24:25">
      <c r="X9331" s="19"/>
      <c r="Y9331" s="20"/>
    </row>
    <row r="9332" spans="24:25">
      <c r="X9332" s="19"/>
      <c r="Y9332" s="20"/>
    </row>
    <row r="9333" spans="24:25">
      <c r="X9333" s="19"/>
      <c r="Y9333" s="20"/>
    </row>
    <row r="9334" spans="24:25">
      <c r="X9334" s="19"/>
      <c r="Y9334" s="20"/>
    </row>
    <row r="9335" spans="24:25">
      <c r="X9335" s="19"/>
      <c r="Y9335" s="20"/>
    </row>
    <row r="9336" spans="24:25">
      <c r="X9336" s="19"/>
      <c r="Y9336" s="20"/>
    </row>
    <row r="9337" spans="24:25">
      <c r="X9337" s="19"/>
      <c r="Y9337" s="20"/>
    </row>
    <row r="9338" spans="24:25">
      <c r="X9338" s="19"/>
      <c r="Y9338" s="20"/>
    </row>
    <row r="9339" spans="24:25">
      <c r="X9339" s="19"/>
      <c r="Y9339" s="20"/>
    </row>
    <row r="9340" spans="24:25">
      <c r="X9340" s="19"/>
      <c r="Y9340" s="20"/>
    </row>
    <row r="9341" spans="24:25">
      <c r="X9341" s="19"/>
      <c r="Y9341" s="20"/>
    </row>
    <row r="9342" spans="24:25">
      <c r="X9342" s="19"/>
      <c r="Y9342" s="20"/>
    </row>
    <row r="9343" spans="24:25">
      <c r="X9343" s="19"/>
      <c r="Y9343" s="20"/>
    </row>
    <row r="9344" spans="24:25">
      <c r="X9344" s="19"/>
      <c r="Y9344" s="20"/>
    </row>
    <row r="9345" spans="24:25">
      <c r="X9345" s="19"/>
      <c r="Y9345" s="20"/>
    </row>
    <row r="9346" spans="24:25">
      <c r="X9346" s="19"/>
      <c r="Y9346" s="20"/>
    </row>
    <row r="9347" spans="24:25">
      <c r="X9347" s="19"/>
      <c r="Y9347" s="20"/>
    </row>
    <row r="9348" spans="24:25">
      <c r="X9348" s="19"/>
      <c r="Y9348" s="20"/>
    </row>
    <row r="9349" spans="24:25">
      <c r="X9349" s="19"/>
      <c r="Y9349" s="20"/>
    </row>
    <row r="9350" spans="24:25">
      <c r="X9350" s="19"/>
      <c r="Y9350" s="20"/>
    </row>
    <row r="9351" spans="24:25">
      <c r="X9351" s="19"/>
      <c r="Y9351" s="20"/>
    </row>
    <row r="9352" spans="24:25">
      <c r="X9352" s="19"/>
      <c r="Y9352" s="20"/>
    </row>
    <row r="9353" spans="24:25">
      <c r="X9353" s="19"/>
      <c r="Y9353" s="20"/>
    </row>
    <row r="9354" spans="24:25">
      <c r="X9354" s="19"/>
      <c r="Y9354" s="20"/>
    </row>
    <row r="9355" spans="24:25">
      <c r="X9355" s="19"/>
      <c r="Y9355" s="20"/>
    </row>
    <row r="9356" spans="24:25">
      <c r="X9356" s="19"/>
      <c r="Y9356" s="20"/>
    </row>
    <row r="9357" spans="24:25">
      <c r="X9357" s="19"/>
      <c r="Y9357" s="20"/>
    </row>
    <row r="9358" spans="24:25">
      <c r="X9358" s="19"/>
      <c r="Y9358" s="20"/>
    </row>
    <row r="9359" spans="24:25">
      <c r="X9359" s="19"/>
      <c r="Y9359" s="20"/>
    </row>
    <row r="9360" spans="24:25">
      <c r="X9360" s="19"/>
      <c r="Y9360" s="20"/>
    </row>
    <row r="9361" spans="24:25">
      <c r="X9361" s="19"/>
      <c r="Y9361" s="20"/>
    </row>
    <row r="9362" spans="24:25">
      <c r="X9362" s="19"/>
      <c r="Y9362" s="20"/>
    </row>
    <row r="9363" spans="24:25">
      <c r="X9363" s="19"/>
      <c r="Y9363" s="20"/>
    </row>
    <row r="9364" spans="24:25">
      <c r="X9364" s="19"/>
      <c r="Y9364" s="20"/>
    </row>
    <row r="9365" spans="24:25">
      <c r="X9365" s="19"/>
      <c r="Y9365" s="20"/>
    </row>
    <row r="9366" spans="24:25">
      <c r="X9366" s="19"/>
      <c r="Y9366" s="20"/>
    </row>
    <row r="9367" spans="24:25">
      <c r="X9367" s="19"/>
      <c r="Y9367" s="20"/>
    </row>
    <row r="9368" spans="24:25">
      <c r="X9368" s="19"/>
      <c r="Y9368" s="20"/>
    </row>
    <row r="9369" spans="24:25">
      <c r="X9369" s="19"/>
      <c r="Y9369" s="20"/>
    </row>
    <row r="9370" spans="24:25">
      <c r="X9370" s="19"/>
      <c r="Y9370" s="20"/>
    </row>
    <row r="9371" spans="24:25">
      <c r="X9371" s="19"/>
      <c r="Y9371" s="20"/>
    </row>
    <row r="9372" spans="24:25">
      <c r="X9372" s="19"/>
      <c r="Y9372" s="20"/>
    </row>
    <row r="9373" spans="24:25">
      <c r="X9373" s="19"/>
      <c r="Y9373" s="20"/>
    </row>
    <row r="9374" spans="24:25">
      <c r="X9374" s="19"/>
      <c r="Y9374" s="20"/>
    </row>
    <row r="9375" spans="24:25">
      <c r="X9375" s="19"/>
      <c r="Y9375" s="20"/>
    </row>
    <row r="9376" spans="24:25">
      <c r="X9376" s="19"/>
      <c r="Y9376" s="20"/>
    </row>
    <row r="9377" spans="24:25">
      <c r="X9377" s="19"/>
      <c r="Y9377" s="20"/>
    </row>
    <row r="9378" spans="24:25">
      <c r="X9378" s="19"/>
      <c r="Y9378" s="20"/>
    </row>
    <row r="9379" spans="24:25">
      <c r="X9379" s="19"/>
      <c r="Y9379" s="20"/>
    </row>
    <row r="9380" spans="24:25">
      <c r="X9380" s="19"/>
      <c r="Y9380" s="20"/>
    </row>
    <row r="9381" spans="24:25">
      <c r="X9381" s="19"/>
      <c r="Y9381" s="20"/>
    </row>
    <row r="9382" spans="24:25">
      <c r="X9382" s="19"/>
      <c r="Y9382" s="20"/>
    </row>
    <row r="9383" spans="24:25">
      <c r="X9383" s="19"/>
      <c r="Y9383" s="20"/>
    </row>
    <row r="9384" spans="24:25">
      <c r="X9384" s="19"/>
      <c r="Y9384" s="20"/>
    </row>
    <row r="9385" spans="24:25">
      <c r="X9385" s="19"/>
      <c r="Y9385" s="20"/>
    </row>
    <row r="9386" spans="24:25">
      <c r="X9386" s="19"/>
      <c r="Y9386" s="20"/>
    </row>
    <row r="9387" spans="24:25">
      <c r="X9387" s="19"/>
      <c r="Y9387" s="20"/>
    </row>
    <row r="9388" spans="24:25">
      <c r="X9388" s="19"/>
      <c r="Y9388" s="20"/>
    </row>
    <row r="9389" spans="24:25">
      <c r="X9389" s="19"/>
      <c r="Y9389" s="20"/>
    </row>
    <row r="9390" spans="24:25">
      <c r="X9390" s="19"/>
      <c r="Y9390" s="20"/>
    </row>
    <row r="9391" spans="24:25">
      <c r="X9391" s="19"/>
      <c r="Y9391" s="20"/>
    </row>
    <row r="9392" spans="24:25">
      <c r="X9392" s="19"/>
      <c r="Y9392" s="20"/>
    </row>
    <row r="9393" spans="24:25">
      <c r="X9393" s="19"/>
      <c r="Y9393" s="20"/>
    </row>
    <row r="9394" spans="24:25">
      <c r="X9394" s="19"/>
      <c r="Y9394" s="20"/>
    </row>
    <row r="9395" spans="24:25">
      <c r="X9395" s="19"/>
      <c r="Y9395" s="20"/>
    </row>
    <row r="9396" spans="24:25">
      <c r="X9396" s="19"/>
      <c r="Y9396" s="20"/>
    </row>
    <row r="9397" spans="24:25">
      <c r="X9397" s="19"/>
      <c r="Y9397" s="20"/>
    </row>
    <row r="9398" spans="24:25">
      <c r="X9398" s="19"/>
      <c r="Y9398" s="20"/>
    </row>
    <row r="9399" spans="24:25">
      <c r="X9399" s="19"/>
      <c r="Y9399" s="20"/>
    </row>
    <row r="9400" spans="24:25">
      <c r="X9400" s="19"/>
      <c r="Y9400" s="20"/>
    </row>
    <row r="9401" spans="24:25">
      <c r="X9401" s="19"/>
      <c r="Y9401" s="20"/>
    </row>
    <row r="9402" spans="24:25">
      <c r="X9402" s="19"/>
      <c r="Y9402" s="20"/>
    </row>
    <row r="9403" spans="24:25">
      <c r="X9403" s="19"/>
      <c r="Y9403" s="20"/>
    </row>
    <row r="9404" spans="24:25">
      <c r="X9404" s="19"/>
      <c r="Y9404" s="20"/>
    </row>
    <row r="9405" spans="24:25">
      <c r="X9405" s="19"/>
      <c r="Y9405" s="20"/>
    </row>
    <row r="9406" spans="24:25">
      <c r="X9406" s="19"/>
      <c r="Y9406" s="20"/>
    </row>
    <row r="9407" spans="24:25">
      <c r="X9407" s="19"/>
      <c r="Y9407" s="20"/>
    </row>
    <row r="9408" spans="24:25">
      <c r="X9408" s="19"/>
      <c r="Y9408" s="20"/>
    </row>
    <row r="9409" spans="24:25">
      <c r="X9409" s="19"/>
      <c r="Y9409" s="20"/>
    </row>
    <row r="9410" spans="24:25">
      <c r="X9410" s="19"/>
      <c r="Y9410" s="20"/>
    </row>
    <row r="9411" spans="24:25">
      <c r="X9411" s="19"/>
      <c r="Y9411" s="20"/>
    </row>
    <row r="9412" spans="24:25">
      <c r="X9412" s="19"/>
      <c r="Y9412" s="20"/>
    </row>
    <row r="9413" spans="24:25">
      <c r="X9413" s="19"/>
      <c r="Y9413" s="20"/>
    </row>
    <row r="9414" spans="24:25">
      <c r="X9414" s="19"/>
      <c r="Y9414" s="20"/>
    </row>
    <row r="9415" spans="24:25">
      <c r="X9415" s="19"/>
      <c r="Y9415" s="20"/>
    </row>
    <row r="9416" spans="24:25">
      <c r="X9416" s="19"/>
      <c r="Y9416" s="20"/>
    </row>
    <row r="9417" spans="24:25">
      <c r="X9417" s="19"/>
      <c r="Y9417" s="20"/>
    </row>
    <row r="9418" spans="24:25">
      <c r="X9418" s="19"/>
      <c r="Y9418" s="20"/>
    </row>
    <row r="9419" spans="24:25">
      <c r="X9419" s="19"/>
      <c r="Y9419" s="20"/>
    </row>
    <row r="9420" spans="24:25">
      <c r="X9420" s="19"/>
      <c r="Y9420" s="20"/>
    </row>
    <row r="9421" spans="24:25">
      <c r="X9421" s="19"/>
      <c r="Y9421" s="20"/>
    </row>
    <row r="9422" spans="24:25">
      <c r="X9422" s="19"/>
      <c r="Y9422" s="20"/>
    </row>
    <row r="9423" spans="24:25">
      <c r="X9423" s="19"/>
      <c r="Y9423" s="20"/>
    </row>
    <row r="9424" spans="24:25">
      <c r="X9424" s="19"/>
      <c r="Y9424" s="20"/>
    </row>
    <row r="9425" spans="24:25">
      <c r="X9425" s="19"/>
      <c r="Y9425" s="20"/>
    </row>
    <row r="9426" spans="24:25">
      <c r="X9426" s="19"/>
      <c r="Y9426" s="20"/>
    </row>
    <row r="9427" spans="24:25">
      <c r="X9427" s="19"/>
      <c r="Y9427" s="20"/>
    </row>
    <row r="9428" spans="24:25">
      <c r="X9428" s="19"/>
      <c r="Y9428" s="20"/>
    </row>
    <row r="9429" spans="24:25">
      <c r="X9429" s="19"/>
      <c r="Y9429" s="20"/>
    </row>
    <row r="9430" spans="24:25">
      <c r="X9430" s="19"/>
      <c r="Y9430" s="20"/>
    </row>
    <row r="9431" spans="24:25">
      <c r="X9431" s="19"/>
      <c r="Y9431" s="20"/>
    </row>
    <row r="9432" spans="24:25">
      <c r="X9432" s="19"/>
      <c r="Y9432" s="20"/>
    </row>
    <row r="9433" spans="24:25">
      <c r="X9433" s="19"/>
      <c r="Y9433" s="20"/>
    </row>
    <row r="9434" spans="24:25">
      <c r="X9434" s="19"/>
      <c r="Y9434" s="20"/>
    </row>
    <row r="9435" spans="24:25">
      <c r="X9435" s="19"/>
      <c r="Y9435" s="20"/>
    </row>
    <row r="9436" spans="24:25">
      <c r="X9436" s="19"/>
      <c r="Y9436" s="20"/>
    </row>
    <row r="9437" spans="24:25">
      <c r="X9437" s="19"/>
      <c r="Y9437" s="20"/>
    </row>
    <row r="9438" spans="24:25">
      <c r="X9438" s="19"/>
      <c r="Y9438" s="20"/>
    </row>
    <row r="9439" spans="24:25">
      <c r="X9439" s="19"/>
      <c r="Y9439" s="20"/>
    </row>
    <row r="9440" spans="24:25">
      <c r="X9440" s="19"/>
      <c r="Y9440" s="20"/>
    </row>
    <row r="9441" spans="24:25">
      <c r="X9441" s="19"/>
      <c r="Y9441" s="20"/>
    </row>
    <row r="9442" spans="24:25">
      <c r="X9442" s="19"/>
      <c r="Y9442" s="20"/>
    </row>
    <row r="9443" spans="24:25">
      <c r="X9443" s="19"/>
      <c r="Y9443" s="20"/>
    </row>
    <row r="9444" spans="24:25">
      <c r="X9444" s="19"/>
      <c r="Y9444" s="20"/>
    </row>
    <row r="9445" spans="24:25">
      <c r="X9445" s="19"/>
      <c r="Y9445" s="20"/>
    </row>
    <row r="9446" spans="24:25">
      <c r="X9446" s="19"/>
      <c r="Y9446" s="20"/>
    </row>
    <row r="9447" spans="24:25">
      <c r="X9447" s="19"/>
      <c r="Y9447" s="20"/>
    </row>
    <row r="9448" spans="24:25">
      <c r="X9448" s="19"/>
      <c r="Y9448" s="20"/>
    </row>
    <row r="9449" spans="24:25">
      <c r="X9449" s="19"/>
      <c r="Y9449" s="20"/>
    </row>
    <row r="9450" spans="24:25">
      <c r="X9450" s="19"/>
      <c r="Y9450" s="20"/>
    </row>
    <row r="9451" spans="24:25">
      <c r="X9451" s="19"/>
      <c r="Y9451" s="20"/>
    </row>
    <row r="9452" spans="24:25">
      <c r="X9452" s="19"/>
      <c r="Y9452" s="20"/>
    </row>
    <row r="9453" spans="24:25">
      <c r="X9453" s="19"/>
      <c r="Y9453" s="20"/>
    </row>
    <row r="9454" spans="24:25">
      <c r="X9454" s="19"/>
      <c r="Y9454" s="20"/>
    </row>
    <row r="9455" spans="24:25">
      <c r="X9455" s="19"/>
      <c r="Y9455" s="20"/>
    </row>
    <row r="9456" spans="24:25">
      <c r="X9456" s="19"/>
      <c r="Y9456" s="20"/>
    </row>
    <row r="9457" spans="24:25">
      <c r="X9457" s="19"/>
      <c r="Y9457" s="20"/>
    </row>
    <row r="9458" spans="24:25">
      <c r="X9458" s="19"/>
      <c r="Y9458" s="20"/>
    </row>
    <row r="9459" spans="24:25">
      <c r="X9459" s="19"/>
      <c r="Y9459" s="20"/>
    </row>
    <row r="9460" spans="24:25">
      <c r="X9460" s="19"/>
      <c r="Y9460" s="20"/>
    </row>
    <row r="9461" spans="24:25">
      <c r="X9461" s="19"/>
      <c r="Y9461" s="20"/>
    </row>
    <row r="9462" spans="24:25">
      <c r="X9462" s="19"/>
      <c r="Y9462" s="20"/>
    </row>
    <row r="9463" spans="24:25">
      <c r="X9463" s="19"/>
      <c r="Y9463" s="20"/>
    </row>
    <row r="9464" spans="24:25">
      <c r="X9464" s="19"/>
      <c r="Y9464" s="20"/>
    </row>
    <row r="9465" spans="24:25">
      <c r="X9465" s="19"/>
      <c r="Y9465" s="20"/>
    </row>
    <row r="9466" spans="24:25">
      <c r="X9466" s="19"/>
      <c r="Y9466" s="20"/>
    </row>
    <row r="9467" spans="24:25">
      <c r="X9467" s="19"/>
      <c r="Y9467" s="20"/>
    </row>
    <row r="9468" spans="24:25">
      <c r="X9468" s="19"/>
      <c r="Y9468" s="20"/>
    </row>
    <row r="9469" spans="24:25">
      <c r="X9469" s="19"/>
      <c r="Y9469" s="20"/>
    </row>
    <row r="9470" spans="24:25">
      <c r="X9470" s="19"/>
      <c r="Y9470" s="20"/>
    </row>
    <row r="9471" spans="24:25">
      <c r="X9471" s="19"/>
      <c r="Y9471" s="20"/>
    </row>
    <row r="9472" spans="24:25">
      <c r="X9472" s="19"/>
      <c r="Y9472" s="20"/>
    </row>
    <row r="9473" spans="24:25">
      <c r="X9473" s="19"/>
      <c r="Y9473" s="20"/>
    </row>
    <row r="9474" spans="24:25">
      <c r="X9474" s="19"/>
      <c r="Y9474" s="20"/>
    </row>
    <row r="9475" spans="24:25">
      <c r="X9475" s="19"/>
      <c r="Y9475" s="20"/>
    </row>
    <row r="9476" spans="24:25">
      <c r="X9476" s="19"/>
      <c r="Y9476" s="20"/>
    </row>
    <row r="9477" spans="24:25">
      <c r="X9477" s="19"/>
      <c r="Y9477" s="20"/>
    </row>
    <row r="9478" spans="24:25">
      <c r="X9478" s="19"/>
      <c r="Y9478" s="20"/>
    </row>
    <row r="9479" spans="24:25">
      <c r="X9479" s="19"/>
      <c r="Y9479" s="20"/>
    </row>
    <row r="9480" spans="24:25">
      <c r="X9480" s="19"/>
      <c r="Y9480" s="20"/>
    </row>
    <row r="9481" spans="24:25">
      <c r="X9481" s="19"/>
      <c r="Y9481" s="20"/>
    </row>
    <row r="9482" spans="24:25">
      <c r="X9482" s="19"/>
      <c r="Y9482" s="20"/>
    </row>
    <row r="9483" spans="24:25">
      <c r="X9483" s="19"/>
      <c r="Y9483" s="20"/>
    </row>
    <row r="9484" spans="24:25">
      <c r="X9484" s="19"/>
      <c r="Y9484" s="20"/>
    </row>
    <row r="9485" spans="24:25">
      <c r="X9485" s="19"/>
      <c r="Y9485" s="20"/>
    </row>
    <row r="9486" spans="24:25">
      <c r="X9486" s="19"/>
      <c r="Y9486" s="20"/>
    </row>
    <row r="9487" spans="24:25">
      <c r="X9487" s="19"/>
      <c r="Y9487" s="20"/>
    </row>
    <row r="9488" spans="24:25">
      <c r="X9488" s="19"/>
      <c r="Y9488" s="20"/>
    </row>
    <row r="9489" spans="24:25">
      <c r="X9489" s="19"/>
      <c r="Y9489" s="20"/>
    </row>
    <row r="9490" spans="24:25">
      <c r="X9490" s="19"/>
      <c r="Y9490" s="20"/>
    </row>
    <row r="9491" spans="24:25">
      <c r="X9491" s="19"/>
      <c r="Y9491" s="20"/>
    </row>
    <row r="9492" spans="24:25">
      <c r="X9492" s="19"/>
      <c r="Y9492" s="20"/>
    </row>
    <row r="9493" spans="24:25">
      <c r="X9493" s="19"/>
      <c r="Y9493" s="20"/>
    </row>
    <row r="9494" spans="24:25">
      <c r="X9494" s="19"/>
      <c r="Y9494" s="20"/>
    </row>
    <row r="9495" spans="24:25">
      <c r="X9495" s="19"/>
      <c r="Y9495" s="20"/>
    </row>
    <row r="9496" spans="24:25">
      <c r="X9496" s="19"/>
      <c r="Y9496" s="20"/>
    </row>
    <row r="9497" spans="24:25">
      <c r="X9497" s="19"/>
      <c r="Y9497" s="20"/>
    </row>
    <row r="9498" spans="24:25">
      <c r="X9498" s="19"/>
      <c r="Y9498" s="20"/>
    </row>
    <row r="9499" spans="24:25">
      <c r="X9499" s="19"/>
      <c r="Y9499" s="20"/>
    </row>
    <row r="9500" spans="24:25">
      <c r="X9500" s="19"/>
      <c r="Y9500" s="20"/>
    </row>
    <row r="9501" spans="24:25">
      <c r="X9501" s="19"/>
      <c r="Y9501" s="20"/>
    </row>
    <row r="9502" spans="24:25">
      <c r="X9502" s="19"/>
      <c r="Y9502" s="20"/>
    </row>
    <row r="9503" spans="24:25">
      <c r="X9503" s="19"/>
      <c r="Y9503" s="20"/>
    </row>
    <row r="9504" spans="24:25">
      <c r="X9504" s="19"/>
      <c r="Y9504" s="20"/>
    </row>
    <row r="9505" spans="24:25">
      <c r="X9505" s="19"/>
      <c r="Y9505" s="20"/>
    </row>
    <row r="9506" spans="24:25">
      <c r="X9506" s="19"/>
      <c r="Y9506" s="20"/>
    </row>
    <row r="9507" spans="24:25">
      <c r="X9507" s="19"/>
      <c r="Y9507" s="20"/>
    </row>
    <row r="9508" spans="24:25">
      <c r="X9508" s="19"/>
      <c r="Y9508" s="20"/>
    </row>
    <row r="9509" spans="24:25">
      <c r="X9509" s="19"/>
      <c r="Y9509" s="20"/>
    </row>
    <row r="9510" spans="24:25">
      <c r="X9510" s="19"/>
      <c r="Y9510" s="20"/>
    </row>
    <row r="9511" spans="24:25">
      <c r="X9511" s="19"/>
      <c r="Y9511" s="20"/>
    </row>
    <row r="9512" spans="24:25">
      <c r="X9512" s="19"/>
      <c r="Y9512" s="20"/>
    </row>
    <row r="9513" spans="24:25">
      <c r="X9513" s="19"/>
      <c r="Y9513" s="20"/>
    </row>
    <row r="9514" spans="24:25">
      <c r="X9514" s="19"/>
      <c r="Y9514" s="20"/>
    </row>
    <row r="9515" spans="24:25">
      <c r="X9515" s="19"/>
      <c r="Y9515" s="20"/>
    </row>
    <row r="9516" spans="24:25">
      <c r="X9516" s="19"/>
      <c r="Y9516" s="20"/>
    </row>
    <row r="9517" spans="24:25">
      <c r="X9517" s="19"/>
      <c r="Y9517" s="20"/>
    </row>
    <row r="9518" spans="24:25">
      <c r="X9518" s="19"/>
      <c r="Y9518" s="20"/>
    </row>
    <row r="9519" spans="24:25">
      <c r="X9519" s="19"/>
      <c r="Y9519" s="20"/>
    </row>
    <row r="9520" spans="24:25">
      <c r="X9520" s="19"/>
      <c r="Y9520" s="20"/>
    </row>
    <row r="9521" spans="24:25">
      <c r="X9521" s="19"/>
      <c r="Y9521" s="20"/>
    </row>
    <row r="9522" spans="24:25">
      <c r="X9522" s="19"/>
      <c r="Y9522" s="20"/>
    </row>
    <row r="9523" spans="24:25">
      <c r="X9523" s="19"/>
      <c r="Y9523" s="20"/>
    </row>
    <row r="9524" spans="24:25">
      <c r="X9524" s="19"/>
      <c r="Y9524" s="20"/>
    </row>
    <row r="9525" spans="24:25">
      <c r="X9525" s="19"/>
      <c r="Y9525" s="20"/>
    </row>
    <row r="9526" spans="24:25">
      <c r="X9526" s="19"/>
      <c r="Y9526" s="20"/>
    </row>
    <row r="9527" spans="24:25">
      <c r="X9527" s="19"/>
      <c r="Y9527" s="20"/>
    </row>
    <row r="9528" spans="24:25">
      <c r="X9528" s="19"/>
      <c r="Y9528" s="20"/>
    </row>
    <row r="9529" spans="24:25">
      <c r="X9529" s="19"/>
      <c r="Y9529" s="20"/>
    </row>
    <row r="9530" spans="24:25">
      <c r="X9530" s="19"/>
      <c r="Y9530" s="20"/>
    </row>
    <row r="9531" spans="24:25">
      <c r="X9531" s="19"/>
      <c r="Y9531" s="20"/>
    </row>
    <row r="9532" spans="24:25">
      <c r="X9532" s="19"/>
      <c r="Y9532" s="20"/>
    </row>
    <row r="9533" spans="24:25">
      <c r="X9533" s="19"/>
      <c r="Y9533" s="20"/>
    </row>
    <row r="9534" spans="24:25">
      <c r="X9534" s="19"/>
      <c r="Y9534" s="20"/>
    </row>
    <row r="9535" spans="24:25">
      <c r="X9535" s="19"/>
      <c r="Y9535" s="20"/>
    </row>
    <row r="9536" spans="24:25">
      <c r="X9536" s="19"/>
      <c r="Y9536" s="20"/>
    </row>
    <row r="9537" spans="24:25">
      <c r="X9537" s="19"/>
      <c r="Y9537" s="20"/>
    </row>
    <row r="9538" spans="24:25">
      <c r="X9538" s="19"/>
      <c r="Y9538" s="20"/>
    </row>
    <row r="9539" spans="24:25">
      <c r="X9539" s="19"/>
      <c r="Y9539" s="20"/>
    </row>
    <row r="9540" spans="24:25">
      <c r="X9540" s="19"/>
      <c r="Y9540" s="20"/>
    </row>
    <row r="9541" spans="24:25">
      <c r="X9541" s="19"/>
      <c r="Y9541" s="20"/>
    </row>
    <row r="9542" spans="24:25">
      <c r="X9542" s="19"/>
      <c r="Y9542" s="20"/>
    </row>
    <row r="9543" spans="24:25">
      <c r="X9543" s="19"/>
      <c r="Y9543" s="20"/>
    </row>
    <row r="9544" spans="24:25">
      <c r="X9544" s="19"/>
      <c r="Y9544" s="20"/>
    </row>
    <row r="9545" spans="24:25">
      <c r="X9545" s="19"/>
      <c r="Y9545" s="20"/>
    </row>
    <row r="9546" spans="24:25">
      <c r="X9546" s="19"/>
      <c r="Y9546" s="20"/>
    </row>
    <row r="9547" spans="24:25">
      <c r="X9547" s="19"/>
      <c r="Y9547" s="20"/>
    </row>
    <row r="9548" spans="24:25">
      <c r="X9548" s="19"/>
      <c r="Y9548" s="20"/>
    </row>
    <row r="9549" spans="24:25">
      <c r="X9549" s="19"/>
      <c r="Y9549" s="20"/>
    </row>
    <row r="9550" spans="24:25">
      <c r="X9550" s="19"/>
      <c r="Y9550" s="20"/>
    </row>
    <row r="9551" spans="24:25">
      <c r="X9551" s="19"/>
      <c r="Y9551" s="20"/>
    </row>
    <row r="9552" spans="24:25">
      <c r="X9552" s="19"/>
      <c r="Y9552" s="20"/>
    </row>
    <row r="9553" spans="24:25">
      <c r="X9553" s="19"/>
      <c r="Y9553" s="20"/>
    </row>
    <row r="9554" spans="24:25">
      <c r="X9554" s="19"/>
      <c r="Y9554" s="20"/>
    </row>
    <row r="9555" spans="24:25">
      <c r="X9555" s="19"/>
      <c r="Y9555" s="20"/>
    </row>
    <row r="9556" spans="24:25">
      <c r="X9556" s="19"/>
      <c r="Y9556" s="20"/>
    </row>
    <row r="9557" spans="24:25">
      <c r="X9557" s="19"/>
      <c r="Y9557" s="20"/>
    </row>
    <row r="9558" spans="24:25">
      <c r="X9558" s="19"/>
      <c r="Y9558" s="20"/>
    </row>
    <row r="9559" spans="24:25">
      <c r="X9559" s="19"/>
      <c r="Y9559" s="20"/>
    </row>
    <row r="9560" spans="24:25">
      <c r="X9560" s="19"/>
      <c r="Y9560" s="20"/>
    </row>
    <row r="9561" spans="24:25">
      <c r="X9561" s="19"/>
      <c r="Y9561" s="20"/>
    </row>
    <row r="9562" spans="24:25">
      <c r="X9562" s="19"/>
      <c r="Y9562" s="20"/>
    </row>
    <row r="9563" spans="24:25">
      <c r="X9563" s="19"/>
      <c r="Y9563" s="20"/>
    </row>
    <row r="9564" spans="24:25">
      <c r="X9564" s="19"/>
      <c r="Y9564" s="20"/>
    </row>
    <row r="9565" spans="24:25">
      <c r="X9565" s="19"/>
      <c r="Y9565" s="20"/>
    </row>
    <row r="9566" spans="24:25">
      <c r="X9566" s="19"/>
      <c r="Y9566" s="20"/>
    </row>
    <row r="9567" spans="24:25">
      <c r="X9567" s="19"/>
      <c r="Y9567" s="20"/>
    </row>
    <row r="9568" spans="24:25">
      <c r="X9568" s="19"/>
      <c r="Y9568" s="20"/>
    </row>
    <row r="9569" spans="24:25">
      <c r="X9569" s="19"/>
      <c r="Y9569" s="20"/>
    </row>
    <row r="9570" spans="24:25">
      <c r="X9570" s="19"/>
      <c r="Y9570" s="20"/>
    </row>
    <row r="9571" spans="24:25">
      <c r="X9571" s="19"/>
      <c r="Y9571" s="20"/>
    </row>
    <row r="9572" spans="24:25">
      <c r="X9572" s="19"/>
      <c r="Y9572" s="20"/>
    </row>
    <row r="9573" spans="24:25">
      <c r="X9573" s="19"/>
      <c r="Y9573" s="20"/>
    </row>
    <row r="9574" spans="24:25">
      <c r="X9574" s="19"/>
      <c r="Y9574" s="20"/>
    </row>
    <row r="9575" spans="24:25">
      <c r="X9575" s="19"/>
      <c r="Y9575" s="20"/>
    </row>
    <row r="9576" spans="24:25">
      <c r="X9576" s="19"/>
      <c r="Y9576" s="20"/>
    </row>
    <row r="9577" spans="24:25">
      <c r="X9577" s="19"/>
      <c r="Y9577" s="20"/>
    </row>
    <row r="9578" spans="24:25">
      <c r="X9578" s="19"/>
      <c r="Y9578" s="20"/>
    </row>
    <row r="9579" spans="24:25">
      <c r="X9579" s="19"/>
      <c r="Y9579" s="20"/>
    </row>
    <row r="9580" spans="24:25">
      <c r="X9580" s="19"/>
      <c r="Y9580" s="20"/>
    </row>
    <row r="9581" spans="24:25">
      <c r="X9581" s="19"/>
      <c r="Y9581" s="20"/>
    </row>
    <row r="9582" spans="24:25">
      <c r="X9582" s="19"/>
      <c r="Y9582" s="20"/>
    </row>
    <row r="9583" spans="24:25">
      <c r="X9583" s="19"/>
      <c r="Y9583" s="20"/>
    </row>
    <row r="9584" spans="24:25">
      <c r="X9584" s="19"/>
      <c r="Y9584" s="20"/>
    </row>
    <row r="9585" spans="24:25">
      <c r="X9585" s="19"/>
      <c r="Y9585" s="20"/>
    </row>
    <row r="9586" spans="24:25">
      <c r="X9586" s="19"/>
      <c r="Y9586" s="20"/>
    </row>
    <row r="9587" spans="24:25">
      <c r="X9587" s="19"/>
      <c r="Y9587" s="20"/>
    </row>
    <row r="9588" spans="24:25">
      <c r="X9588" s="19"/>
      <c r="Y9588" s="20"/>
    </row>
    <row r="9589" spans="24:25">
      <c r="X9589" s="19"/>
      <c r="Y9589" s="20"/>
    </row>
    <row r="9590" spans="24:25">
      <c r="X9590" s="19"/>
      <c r="Y9590" s="20"/>
    </row>
    <row r="9591" spans="24:25">
      <c r="X9591" s="19"/>
      <c r="Y9591" s="20"/>
    </row>
    <row r="9592" spans="24:25">
      <c r="X9592" s="19"/>
      <c r="Y9592" s="20"/>
    </row>
    <row r="9593" spans="24:25">
      <c r="X9593" s="19"/>
      <c r="Y9593" s="20"/>
    </row>
    <row r="9594" spans="24:25">
      <c r="X9594" s="19"/>
      <c r="Y9594" s="20"/>
    </row>
    <row r="9595" spans="24:25">
      <c r="X9595" s="19"/>
      <c r="Y9595" s="20"/>
    </row>
    <row r="9596" spans="24:25">
      <c r="X9596" s="19"/>
      <c r="Y9596" s="20"/>
    </row>
    <row r="9597" spans="24:25">
      <c r="X9597" s="19"/>
      <c r="Y9597" s="20"/>
    </row>
    <row r="9598" spans="24:25">
      <c r="X9598" s="19"/>
      <c r="Y9598" s="20"/>
    </row>
    <row r="9599" spans="24:25">
      <c r="X9599" s="19"/>
      <c r="Y9599" s="20"/>
    </row>
    <row r="9600" spans="24:25">
      <c r="X9600" s="19"/>
      <c r="Y9600" s="20"/>
    </row>
    <row r="9601" spans="24:25">
      <c r="X9601" s="19"/>
      <c r="Y9601" s="20"/>
    </row>
    <row r="9602" spans="24:25">
      <c r="X9602" s="19"/>
      <c r="Y9602" s="20"/>
    </row>
    <row r="9603" spans="24:25">
      <c r="X9603" s="19"/>
      <c r="Y9603" s="20"/>
    </row>
    <row r="9604" spans="24:25">
      <c r="X9604" s="19"/>
      <c r="Y9604" s="20"/>
    </row>
    <row r="9605" spans="24:25">
      <c r="X9605" s="19"/>
      <c r="Y9605" s="20"/>
    </row>
    <row r="9606" spans="24:25">
      <c r="X9606" s="19"/>
      <c r="Y9606" s="20"/>
    </row>
    <row r="9607" spans="24:25">
      <c r="X9607" s="19"/>
      <c r="Y9607" s="20"/>
    </row>
    <row r="9608" spans="24:25">
      <c r="X9608" s="19"/>
      <c r="Y9608" s="20"/>
    </row>
    <row r="9609" spans="24:25">
      <c r="X9609" s="19"/>
      <c r="Y9609" s="20"/>
    </row>
    <row r="9610" spans="24:25">
      <c r="X9610" s="19"/>
      <c r="Y9610" s="20"/>
    </row>
    <row r="9611" spans="24:25">
      <c r="X9611" s="19"/>
      <c r="Y9611" s="20"/>
    </row>
    <row r="9612" spans="24:25">
      <c r="X9612" s="19"/>
      <c r="Y9612" s="20"/>
    </row>
    <row r="9613" spans="24:25">
      <c r="X9613" s="19"/>
      <c r="Y9613" s="20"/>
    </row>
    <row r="9614" spans="24:25">
      <c r="X9614" s="19"/>
      <c r="Y9614" s="20"/>
    </row>
    <row r="9615" spans="24:25">
      <c r="X9615" s="19"/>
      <c r="Y9615" s="20"/>
    </row>
    <row r="9616" spans="24:25">
      <c r="X9616" s="19"/>
      <c r="Y9616" s="20"/>
    </row>
    <row r="9617" spans="24:25">
      <c r="X9617" s="19"/>
      <c r="Y9617" s="20"/>
    </row>
    <row r="9618" spans="24:25">
      <c r="X9618" s="19"/>
      <c r="Y9618" s="20"/>
    </row>
    <row r="9619" spans="24:25">
      <c r="X9619" s="19"/>
      <c r="Y9619" s="20"/>
    </row>
    <row r="9620" spans="24:25">
      <c r="X9620" s="19"/>
      <c r="Y9620" s="20"/>
    </row>
    <row r="9621" spans="24:25">
      <c r="X9621" s="19"/>
      <c r="Y9621" s="20"/>
    </row>
    <row r="9622" spans="24:25">
      <c r="X9622" s="19"/>
      <c r="Y9622" s="20"/>
    </row>
    <row r="9623" spans="24:25">
      <c r="X9623" s="19"/>
      <c r="Y9623" s="20"/>
    </row>
    <row r="9624" spans="24:25">
      <c r="X9624" s="19"/>
      <c r="Y9624" s="20"/>
    </row>
    <row r="9625" spans="24:25">
      <c r="X9625" s="19"/>
      <c r="Y9625" s="20"/>
    </row>
    <row r="9626" spans="24:25">
      <c r="X9626" s="19"/>
      <c r="Y9626" s="20"/>
    </row>
    <row r="9627" spans="24:25">
      <c r="X9627" s="19"/>
      <c r="Y9627" s="20"/>
    </row>
    <row r="9628" spans="24:25">
      <c r="X9628" s="19"/>
      <c r="Y9628" s="20"/>
    </row>
    <row r="9629" spans="24:25">
      <c r="X9629" s="19"/>
      <c r="Y9629" s="20"/>
    </row>
    <row r="9630" spans="24:25">
      <c r="X9630" s="19"/>
      <c r="Y9630" s="20"/>
    </row>
    <row r="9631" spans="24:25">
      <c r="X9631" s="19"/>
      <c r="Y9631" s="20"/>
    </row>
    <row r="9632" spans="24:25">
      <c r="X9632" s="19"/>
      <c r="Y9632" s="20"/>
    </row>
    <row r="9633" spans="24:25">
      <c r="X9633" s="19"/>
      <c r="Y9633" s="20"/>
    </row>
    <row r="9634" spans="24:25">
      <c r="X9634" s="19"/>
      <c r="Y9634" s="20"/>
    </row>
    <row r="9635" spans="24:25">
      <c r="X9635" s="19"/>
      <c r="Y9635" s="20"/>
    </row>
    <row r="9636" spans="24:25">
      <c r="X9636" s="19"/>
      <c r="Y9636" s="20"/>
    </row>
    <row r="9637" spans="24:25">
      <c r="X9637" s="19"/>
      <c r="Y9637" s="20"/>
    </row>
    <row r="9638" spans="24:25">
      <c r="X9638" s="19"/>
      <c r="Y9638" s="20"/>
    </row>
    <row r="9639" spans="24:25">
      <c r="X9639" s="19"/>
      <c r="Y9639" s="20"/>
    </row>
    <row r="9640" spans="24:25">
      <c r="X9640" s="19"/>
      <c r="Y9640" s="20"/>
    </row>
    <row r="9641" spans="24:25">
      <c r="X9641" s="19"/>
      <c r="Y9641" s="20"/>
    </row>
    <row r="9642" spans="24:25">
      <c r="X9642" s="19"/>
      <c r="Y9642" s="20"/>
    </row>
    <row r="9643" spans="24:25">
      <c r="X9643" s="19"/>
      <c r="Y9643" s="20"/>
    </row>
    <row r="9644" spans="24:25">
      <c r="X9644" s="19"/>
      <c r="Y9644" s="20"/>
    </row>
    <row r="9645" spans="24:25">
      <c r="X9645" s="19"/>
      <c r="Y9645" s="20"/>
    </row>
    <row r="9646" spans="24:25">
      <c r="X9646" s="19"/>
      <c r="Y9646" s="20"/>
    </row>
    <row r="9647" spans="24:25">
      <c r="X9647" s="19"/>
      <c r="Y9647" s="20"/>
    </row>
    <row r="9648" spans="24:25">
      <c r="X9648" s="19"/>
      <c r="Y9648" s="20"/>
    </row>
    <row r="9649" spans="24:25">
      <c r="X9649" s="19"/>
      <c r="Y9649" s="20"/>
    </row>
    <row r="9650" spans="24:25">
      <c r="X9650" s="19"/>
      <c r="Y9650" s="20"/>
    </row>
    <row r="9651" spans="24:25">
      <c r="X9651" s="19"/>
      <c r="Y9651" s="20"/>
    </row>
    <row r="9652" spans="24:25">
      <c r="X9652" s="19"/>
      <c r="Y9652" s="20"/>
    </row>
    <row r="9653" spans="24:25">
      <c r="X9653" s="19"/>
      <c r="Y9653" s="20"/>
    </row>
    <row r="9654" spans="24:25">
      <c r="X9654" s="19"/>
      <c r="Y9654" s="20"/>
    </row>
    <row r="9655" spans="24:25">
      <c r="X9655" s="19"/>
      <c r="Y9655" s="20"/>
    </row>
    <row r="9656" spans="24:25">
      <c r="X9656" s="19"/>
      <c r="Y9656" s="20"/>
    </row>
    <row r="9657" spans="24:25">
      <c r="X9657" s="19"/>
      <c r="Y9657" s="20"/>
    </row>
    <row r="9658" spans="24:25">
      <c r="X9658" s="19"/>
      <c r="Y9658" s="20"/>
    </row>
    <row r="9659" spans="24:25">
      <c r="X9659" s="19"/>
      <c r="Y9659" s="20"/>
    </row>
    <row r="9660" spans="24:25">
      <c r="X9660" s="19"/>
      <c r="Y9660" s="20"/>
    </row>
    <row r="9661" spans="24:25">
      <c r="X9661" s="19"/>
      <c r="Y9661" s="20"/>
    </row>
    <row r="9662" spans="24:25">
      <c r="X9662" s="19"/>
      <c r="Y9662" s="20"/>
    </row>
    <row r="9663" spans="24:25">
      <c r="X9663" s="19"/>
      <c r="Y9663" s="20"/>
    </row>
    <row r="9664" spans="24:25">
      <c r="X9664" s="19"/>
      <c r="Y9664" s="20"/>
    </row>
    <row r="9665" spans="24:25">
      <c r="X9665" s="19"/>
      <c r="Y9665" s="20"/>
    </row>
    <row r="9666" spans="24:25">
      <c r="X9666" s="19"/>
      <c r="Y9666" s="20"/>
    </row>
    <row r="9667" spans="24:25">
      <c r="X9667" s="19"/>
      <c r="Y9667" s="20"/>
    </row>
    <row r="9668" spans="24:25">
      <c r="X9668" s="19"/>
      <c r="Y9668" s="20"/>
    </row>
    <row r="9669" spans="24:25">
      <c r="X9669" s="19"/>
      <c r="Y9669" s="20"/>
    </row>
    <row r="9670" spans="24:25">
      <c r="X9670" s="19"/>
      <c r="Y9670" s="20"/>
    </row>
    <row r="9671" spans="24:25">
      <c r="X9671" s="19"/>
      <c r="Y9671" s="20"/>
    </row>
    <row r="9672" spans="24:25">
      <c r="X9672" s="19"/>
      <c r="Y9672" s="20"/>
    </row>
    <row r="9673" spans="24:25">
      <c r="X9673" s="19"/>
      <c r="Y9673" s="20"/>
    </row>
    <row r="9674" spans="24:25">
      <c r="X9674" s="19"/>
      <c r="Y9674" s="20"/>
    </row>
    <row r="9675" spans="24:25">
      <c r="X9675" s="19"/>
      <c r="Y9675" s="20"/>
    </row>
    <row r="9676" spans="24:25">
      <c r="X9676" s="19"/>
      <c r="Y9676" s="20"/>
    </row>
    <row r="9677" spans="24:25">
      <c r="X9677" s="19"/>
      <c r="Y9677" s="20"/>
    </row>
    <row r="9678" spans="24:25">
      <c r="X9678" s="19"/>
      <c r="Y9678" s="20"/>
    </row>
    <row r="9679" spans="24:25">
      <c r="X9679" s="19"/>
      <c r="Y9679" s="20"/>
    </row>
    <row r="9680" spans="24:25">
      <c r="X9680" s="19"/>
      <c r="Y9680" s="20"/>
    </row>
    <row r="9681" spans="24:25">
      <c r="X9681" s="19"/>
      <c r="Y9681" s="20"/>
    </row>
    <row r="9682" spans="24:25">
      <c r="X9682" s="19"/>
      <c r="Y9682" s="20"/>
    </row>
    <row r="9683" spans="24:25">
      <c r="X9683" s="19"/>
      <c r="Y9683" s="20"/>
    </row>
    <row r="9684" spans="24:25">
      <c r="X9684" s="19"/>
      <c r="Y9684" s="20"/>
    </row>
    <row r="9685" spans="24:25">
      <c r="X9685" s="19"/>
      <c r="Y9685" s="20"/>
    </row>
    <row r="9686" spans="24:25">
      <c r="X9686" s="19"/>
      <c r="Y9686" s="20"/>
    </row>
    <row r="9687" spans="24:25">
      <c r="X9687" s="19"/>
      <c r="Y9687" s="20"/>
    </row>
    <row r="9688" spans="24:25">
      <c r="X9688" s="19"/>
      <c r="Y9688" s="20"/>
    </row>
    <row r="9689" spans="24:25">
      <c r="X9689" s="19"/>
      <c r="Y9689" s="20"/>
    </row>
    <row r="9690" spans="24:25">
      <c r="X9690" s="19"/>
      <c r="Y9690" s="20"/>
    </row>
    <row r="9691" spans="24:25">
      <c r="X9691" s="19"/>
      <c r="Y9691" s="20"/>
    </row>
    <row r="9692" spans="24:25">
      <c r="X9692" s="19"/>
      <c r="Y9692" s="20"/>
    </row>
    <row r="9693" spans="24:25">
      <c r="X9693" s="19"/>
      <c r="Y9693" s="20"/>
    </row>
    <row r="9694" spans="24:25">
      <c r="X9694" s="19"/>
      <c r="Y9694" s="20"/>
    </row>
    <row r="9695" spans="24:25">
      <c r="X9695" s="19"/>
      <c r="Y9695" s="20"/>
    </row>
    <row r="9696" spans="24:25">
      <c r="X9696" s="19"/>
      <c r="Y9696" s="20"/>
    </row>
    <row r="9697" spans="24:25">
      <c r="X9697" s="19"/>
      <c r="Y9697" s="20"/>
    </row>
    <row r="9698" spans="24:25">
      <c r="X9698" s="19"/>
      <c r="Y9698" s="20"/>
    </row>
    <row r="9699" spans="24:25">
      <c r="X9699" s="19"/>
      <c r="Y9699" s="20"/>
    </row>
    <row r="9700" spans="24:25">
      <c r="X9700" s="19"/>
      <c r="Y9700" s="20"/>
    </row>
    <row r="9701" spans="24:25">
      <c r="X9701" s="19"/>
      <c r="Y9701" s="20"/>
    </row>
    <row r="9702" spans="24:25">
      <c r="X9702" s="19"/>
      <c r="Y9702" s="20"/>
    </row>
    <row r="9703" spans="24:25">
      <c r="X9703" s="19"/>
      <c r="Y9703" s="20"/>
    </row>
    <row r="9704" spans="24:25">
      <c r="X9704" s="19"/>
      <c r="Y9704" s="20"/>
    </row>
    <row r="9705" spans="24:25">
      <c r="X9705" s="19"/>
      <c r="Y9705" s="20"/>
    </row>
    <row r="9706" spans="24:25">
      <c r="X9706" s="19"/>
      <c r="Y9706" s="20"/>
    </row>
    <row r="9707" spans="24:25">
      <c r="X9707" s="19"/>
      <c r="Y9707" s="20"/>
    </row>
    <row r="9708" spans="24:25">
      <c r="X9708" s="19"/>
      <c r="Y9708" s="20"/>
    </row>
    <row r="9709" spans="24:25">
      <c r="X9709" s="19"/>
      <c r="Y9709" s="20"/>
    </row>
    <row r="9710" spans="24:25">
      <c r="X9710" s="19"/>
      <c r="Y9710" s="20"/>
    </row>
    <row r="9711" spans="24:25">
      <c r="X9711" s="19"/>
      <c r="Y9711" s="20"/>
    </row>
    <row r="9712" spans="24:25">
      <c r="X9712" s="19"/>
      <c r="Y9712" s="20"/>
    </row>
    <row r="9713" spans="24:25">
      <c r="X9713" s="19"/>
      <c r="Y9713" s="20"/>
    </row>
    <row r="9714" spans="24:25">
      <c r="X9714" s="19"/>
      <c r="Y9714" s="20"/>
    </row>
    <row r="9715" spans="24:25">
      <c r="X9715" s="19"/>
      <c r="Y9715" s="20"/>
    </row>
    <row r="9716" spans="24:25">
      <c r="X9716" s="19"/>
      <c r="Y9716" s="20"/>
    </row>
    <row r="9717" spans="24:25">
      <c r="X9717" s="19"/>
      <c r="Y9717" s="20"/>
    </row>
    <row r="9718" spans="24:25">
      <c r="X9718" s="19"/>
      <c r="Y9718" s="20"/>
    </row>
    <row r="9719" spans="24:25">
      <c r="X9719" s="19"/>
      <c r="Y9719" s="20"/>
    </row>
    <row r="9720" spans="24:25">
      <c r="X9720" s="19"/>
      <c r="Y9720" s="20"/>
    </row>
    <row r="9721" spans="24:25">
      <c r="X9721" s="19"/>
      <c r="Y9721" s="20"/>
    </row>
    <row r="9722" spans="24:25">
      <c r="X9722" s="19"/>
      <c r="Y9722" s="20"/>
    </row>
    <row r="9723" spans="24:25">
      <c r="X9723" s="19"/>
      <c r="Y9723" s="20"/>
    </row>
    <row r="9724" spans="24:25">
      <c r="X9724" s="19"/>
      <c r="Y9724" s="20"/>
    </row>
    <row r="9725" spans="24:25">
      <c r="X9725" s="19"/>
      <c r="Y9725" s="20"/>
    </row>
    <row r="9726" spans="24:25">
      <c r="X9726" s="19"/>
      <c r="Y9726" s="20"/>
    </row>
    <row r="9727" spans="24:25">
      <c r="X9727" s="19"/>
      <c r="Y9727" s="20"/>
    </row>
    <row r="9728" spans="24:25">
      <c r="X9728" s="19"/>
      <c r="Y9728" s="20"/>
    </row>
    <row r="9729" spans="24:25">
      <c r="X9729" s="19"/>
      <c r="Y9729" s="20"/>
    </row>
    <row r="9730" spans="24:25">
      <c r="X9730" s="19"/>
      <c r="Y9730" s="20"/>
    </row>
    <row r="9731" spans="24:25">
      <c r="X9731" s="19"/>
      <c r="Y9731" s="20"/>
    </row>
    <row r="9732" spans="24:25">
      <c r="X9732" s="19"/>
      <c r="Y9732" s="20"/>
    </row>
    <row r="9733" spans="24:25">
      <c r="X9733" s="19"/>
      <c r="Y9733" s="20"/>
    </row>
    <row r="9734" spans="24:25">
      <c r="X9734" s="19"/>
      <c r="Y9734" s="20"/>
    </row>
    <row r="9735" spans="24:25">
      <c r="X9735" s="19"/>
      <c r="Y9735" s="20"/>
    </row>
    <row r="9736" spans="24:25">
      <c r="X9736" s="19"/>
      <c r="Y9736" s="20"/>
    </row>
    <row r="9737" spans="24:25">
      <c r="X9737" s="19"/>
      <c r="Y9737" s="20"/>
    </row>
    <row r="9738" spans="24:25">
      <c r="X9738" s="19"/>
      <c r="Y9738" s="20"/>
    </row>
    <row r="9739" spans="24:25">
      <c r="X9739" s="19"/>
      <c r="Y9739" s="20"/>
    </row>
    <row r="9740" spans="24:25">
      <c r="X9740" s="19"/>
      <c r="Y9740" s="20"/>
    </row>
    <row r="9741" spans="24:25">
      <c r="X9741" s="19"/>
      <c r="Y9741" s="20"/>
    </row>
    <row r="9742" spans="24:25">
      <c r="X9742" s="19"/>
      <c r="Y9742" s="20"/>
    </row>
    <row r="9743" spans="24:25">
      <c r="X9743" s="19"/>
      <c r="Y9743" s="20"/>
    </row>
    <row r="9744" spans="24:25">
      <c r="X9744" s="19"/>
      <c r="Y9744" s="20"/>
    </row>
    <row r="9745" spans="24:25">
      <c r="X9745" s="19"/>
      <c r="Y9745" s="20"/>
    </row>
    <row r="9746" spans="24:25">
      <c r="X9746" s="19"/>
      <c r="Y9746" s="20"/>
    </row>
    <row r="9747" spans="24:25">
      <c r="X9747" s="19"/>
      <c r="Y9747" s="20"/>
    </row>
    <row r="9748" spans="24:25">
      <c r="X9748" s="19"/>
      <c r="Y9748" s="20"/>
    </row>
    <row r="9749" spans="24:25">
      <c r="X9749" s="19"/>
      <c r="Y9749" s="20"/>
    </row>
    <row r="9750" spans="24:25">
      <c r="X9750" s="19"/>
      <c r="Y9750" s="20"/>
    </row>
    <row r="9751" spans="24:25">
      <c r="X9751" s="19"/>
      <c r="Y9751" s="20"/>
    </row>
    <row r="9752" spans="24:25">
      <c r="X9752" s="19"/>
      <c r="Y9752" s="20"/>
    </row>
    <row r="9753" spans="24:25">
      <c r="X9753" s="19"/>
      <c r="Y9753" s="20"/>
    </row>
    <row r="9754" spans="24:25">
      <c r="X9754" s="19"/>
      <c r="Y9754" s="20"/>
    </row>
    <row r="9755" spans="24:25">
      <c r="X9755" s="19"/>
      <c r="Y9755" s="20"/>
    </row>
    <row r="9756" spans="24:25">
      <c r="X9756" s="19"/>
      <c r="Y9756" s="20"/>
    </row>
    <row r="9757" spans="24:25">
      <c r="X9757" s="19"/>
      <c r="Y9757" s="20"/>
    </row>
    <row r="9758" spans="24:25">
      <c r="X9758" s="19"/>
      <c r="Y9758" s="20"/>
    </row>
    <row r="9759" spans="24:25">
      <c r="X9759" s="19"/>
      <c r="Y9759" s="20"/>
    </row>
    <row r="9760" spans="24:25">
      <c r="X9760" s="19"/>
      <c r="Y9760" s="20"/>
    </row>
    <row r="9761" spans="24:25">
      <c r="X9761" s="19"/>
      <c r="Y9761" s="20"/>
    </row>
    <row r="9762" spans="24:25">
      <c r="X9762" s="19"/>
      <c r="Y9762" s="20"/>
    </row>
    <row r="9763" spans="24:25">
      <c r="X9763" s="19"/>
      <c r="Y9763" s="20"/>
    </row>
    <row r="9764" spans="24:25">
      <c r="X9764" s="19"/>
      <c r="Y9764" s="20"/>
    </row>
    <row r="9765" spans="24:25">
      <c r="X9765" s="19"/>
      <c r="Y9765" s="20"/>
    </row>
    <row r="9766" spans="24:25">
      <c r="X9766" s="19"/>
      <c r="Y9766" s="20"/>
    </row>
    <row r="9767" spans="24:25">
      <c r="X9767" s="19"/>
      <c r="Y9767" s="20"/>
    </row>
    <row r="9768" spans="24:25">
      <c r="X9768" s="19"/>
      <c r="Y9768" s="20"/>
    </row>
    <row r="9769" spans="24:25">
      <c r="X9769" s="19"/>
      <c r="Y9769" s="20"/>
    </row>
    <row r="9770" spans="24:25">
      <c r="X9770" s="19"/>
      <c r="Y9770" s="20"/>
    </row>
    <row r="9771" spans="24:25">
      <c r="X9771" s="19"/>
      <c r="Y9771" s="20"/>
    </row>
    <row r="9772" spans="24:25">
      <c r="X9772" s="19"/>
      <c r="Y9772" s="20"/>
    </row>
    <row r="9773" spans="24:25">
      <c r="X9773" s="19"/>
      <c r="Y9773" s="20"/>
    </row>
    <row r="9774" spans="24:25">
      <c r="X9774" s="19"/>
      <c r="Y9774" s="20"/>
    </row>
    <row r="9775" spans="24:25">
      <c r="X9775" s="19"/>
      <c r="Y9775" s="20"/>
    </row>
    <row r="9776" spans="24:25">
      <c r="X9776" s="19"/>
      <c r="Y9776" s="20"/>
    </row>
    <row r="9777" spans="24:25">
      <c r="X9777" s="19"/>
      <c r="Y9777" s="20"/>
    </row>
    <row r="9778" spans="24:25">
      <c r="X9778" s="19"/>
      <c r="Y9778" s="20"/>
    </row>
    <row r="9779" spans="24:25">
      <c r="X9779" s="19"/>
      <c r="Y9779" s="20"/>
    </row>
    <row r="9780" spans="24:25">
      <c r="X9780" s="19"/>
      <c r="Y9780" s="20"/>
    </row>
    <row r="9781" spans="24:25">
      <c r="X9781" s="19"/>
      <c r="Y9781" s="20"/>
    </row>
    <row r="9782" spans="24:25">
      <c r="X9782" s="19"/>
      <c r="Y9782" s="20"/>
    </row>
    <row r="9783" spans="24:25">
      <c r="X9783" s="19"/>
      <c r="Y9783" s="20"/>
    </row>
    <row r="9784" spans="24:25">
      <c r="X9784" s="19"/>
      <c r="Y9784" s="20"/>
    </row>
    <row r="9785" spans="24:25">
      <c r="X9785" s="19"/>
      <c r="Y9785" s="20"/>
    </row>
    <row r="9786" spans="24:25">
      <c r="X9786" s="19"/>
      <c r="Y9786" s="20"/>
    </row>
    <row r="9787" spans="24:25">
      <c r="X9787" s="19"/>
      <c r="Y9787" s="20"/>
    </row>
    <row r="9788" spans="24:25">
      <c r="X9788" s="19"/>
      <c r="Y9788" s="20"/>
    </row>
    <row r="9789" spans="24:25">
      <c r="X9789" s="19"/>
      <c r="Y9789" s="20"/>
    </row>
    <row r="9790" spans="24:25">
      <c r="X9790" s="19"/>
      <c r="Y9790" s="20"/>
    </row>
    <row r="9791" spans="24:25">
      <c r="X9791" s="19"/>
      <c r="Y9791" s="20"/>
    </row>
    <row r="9792" spans="24:25">
      <c r="X9792" s="19"/>
      <c r="Y9792" s="20"/>
    </row>
    <row r="9793" spans="24:25">
      <c r="X9793" s="19"/>
      <c r="Y9793" s="20"/>
    </row>
    <row r="9794" spans="24:25">
      <c r="X9794" s="19"/>
      <c r="Y9794" s="20"/>
    </row>
    <row r="9795" spans="24:25">
      <c r="X9795" s="19"/>
      <c r="Y9795" s="20"/>
    </row>
    <row r="9796" spans="24:25">
      <c r="X9796" s="19"/>
      <c r="Y9796" s="20"/>
    </row>
    <row r="9797" spans="24:25">
      <c r="X9797" s="19"/>
      <c r="Y9797" s="20"/>
    </row>
    <row r="9798" spans="24:25">
      <c r="X9798" s="19"/>
      <c r="Y9798" s="20"/>
    </row>
    <row r="9799" spans="24:25">
      <c r="X9799" s="19"/>
      <c r="Y9799" s="20"/>
    </row>
    <row r="9800" spans="24:25">
      <c r="X9800" s="19"/>
      <c r="Y9800" s="20"/>
    </row>
    <row r="9801" spans="24:25">
      <c r="X9801" s="19"/>
      <c r="Y9801" s="20"/>
    </row>
    <row r="9802" spans="24:25">
      <c r="X9802" s="19"/>
      <c r="Y9802" s="20"/>
    </row>
    <row r="9803" spans="24:25">
      <c r="X9803" s="19"/>
      <c r="Y9803" s="20"/>
    </row>
    <row r="9804" spans="24:25">
      <c r="X9804" s="19"/>
      <c r="Y9804" s="20"/>
    </row>
    <row r="9805" spans="24:25">
      <c r="X9805" s="19"/>
      <c r="Y9805" s="20"/>
    </row>
    <row r="9806" spans="24:25">
      <c r="X9806" s="19"/>
      <c r="Y9806" s="20"/>
    </row>
    <row r="9807" spans="24:25">
      <c r="X9807" s="19"/>
      <c r="Y9807" s="20"/>
    </row>
    <row r="9808" spans="24:25">
      <c r="X9808" s="19"/>
      <c r="Y9808" s="20"/>
    </row>
    <row r="9809" spans="24:25">
      <c r="X9809" s="19"/>
      <c r="Y9809" s="20"/>
    </row>
    <row r="9810" spans="24:25">
      <c r="X9810" s="19"/>
      <c r="Y9810" s="20"/>
    </row>
    <row r="9811" spans="24:25">
      <c r="X9811" s="19"/>
      <c r="Y9811" s="20"/>
    </row>
    <row r="9812" spans="24:25">
      <c r="X9812" s="19"/>
      <c r="Y9812" s="20"/>
    </row>
    <row r="9813" spans="24:25">
      <c r="X9813" s="19"/>
      <c r="Y9813" s="20"/>
    </row>
    <row r="9814" spans="24:25">
      <c r="X9814" s="19"/>
      <c r="Y9814" s="20"/>
    </row>
    <row r="9815" spans="24:25">
      <c r="X9815" s="19"/>
      <c r="Y9815" s="20"/>
    </row>
    <row r="9816" spans="24:25">
      <c r="X9816" s="19"/>
      <c r="Y9816" s="20"/>
    </row>
    <row r="9817" spans="24:25">
      <c r="X9817" s="19"/>
      <c r="Y9817" s="20"/>
    </row>
    <row r="9818" spans="24:25">
      <c r="X9818" s="19"/>
      <c r="Y9818" s="20"/>
    </row>
    <row r="9819" spans="24:25">
      <c r="X9819" s="19"/>
      <c r="Y9819" s="20"/>
    </row>
    <row r="9820" spans="24:25">
      <c r="X9820" s="19"/>
      <c r="Y9820" s="20"/>
    </row>
    <row r="9821" spans="24:25">
      <c r="X9821" s="19"/>
      <c r="Y9821" s="20"/>
    </row>
    <row r="9822" spans="24:25">
      <c r="X9822" s="19"/>
      <c r="Y9822" s="20"/>
    </row>
    <row r="9823" spans="24:25">
      <c r="X9823" s="19"/>
      <c r="Y9823" s="20"/>
    </row>
    <row r="9824" spans="24:25">
      <c r="X9824" s="19"/>
      <c r="Y9824" s="20"/>
    </row>
    <row r="9825" spans="24:25">
      <c r="X9825" s="19"/>
      <c r="Y9825" s="20"/>
    </row>
    <row r="9826" spans="24:25">
      <c r="X9826" s="19"/>
      <c r="Y9826" s="20"/>
    </row>
    <row r="9827" spans="24:25">
      <c r="X9827" s="19"/>
      <c r="Y9827" s="20"/>
    </row>
    <row r="9828" spans="24:25">
      <c r="X9828" s="19"/>
      <c r="Y9828" s="20"/>
    </row>
    <row r="9829" spans="24:25">
      <c r="X9829" s="19"/>
      <c r="Y9829" s="20"/>
    </row>
    <row r="9830" spans="24:25">
      <c r="X9830" s="19"/>
      <c r="Y9830" s="20"/>
    </row>
    <row r="9831" spans="24:25">
      <c r="X9831" s="19"/>
      <c r="Y9831" s="20"/>
    </row>
    <row r="9832" spans="24:25">
      <c r="X9832" s="19"/>
      <c r="Y9832" s="20"/>
    </row>
    <row r="9833" spans="24:25">
      <c r="X9833" s="19"/>
      <c r="Y9833" s="20"/>
    </row>
    <row r="9834" spans="24:25">
      <c r="X9834" s="19"/>
      <c r="Y9834" s="20"/>
    </row>
    <row r="9835" spans="24:25">
      <c r="X9835" s="19"/>
      <c r="Y9835" s="20"/>
    </row>
    <row r="9836" spans="24:25">
      <c r="X9836" s="19"/>
      <c r="Y9836" s="20"/>
    </row>
    <row r="9837" spans="24:25">
      <c r="X9837" s="19"/>
      <c r="Y9837" s="20"/>
    </row>
    <row r="9838" spans="24:25">
      <c r="X9838" s="19"/>
      <c r="Y9838" s="20"/>
    </row>
    <row r="9839" spans="24:25">
      <c r="X9839" s="19"/>
      <c r="Y9839" s="20"/>
    </row>
    <row r="9840" spans="24:25">
      <c r="X9840" s="19"/>
      <c r="Y9840" s="20"/>
    </row>
    <row r="9841" spans="24:25">
      <c r="X9841" s="19"/>
      <c r="Y9841" s="20"/>
    </row>
    <row r="9842" spans="24:25">
      <c r="X9842" s="19"/>
      <c r="Y9842" s="20"/>
    </row>
    <row r="9843" spans="24:25">
      <c r="X9843" s="19"/>
      <c r="Y9843" s="20"/>
    </row>
    <row r="9844" spans="24:25">
      <c r="X9844" s="19"/>
      <c r="Y9844" s="20"/>
    </row>
    <row r="9845" spans="24:25">
      <c r="X9845" s="19"/>
      <c r="Y9845" s="20"/>
    </row>
    <row r="9846" spans="24:25">
      <c r="X9846" s="19"/>
      <c r="Y9846" s="20"/>
    </row>
    <row r="9847" spans="24:25">
      <c r="X9847" s="19"/>
      <c r="Y9847" s="20"/>
    </row>
    <row r="9848" spans="24:25">
      <c r="X9848" s="19"/>
      <c r="Y9848" s="20"/>
    </row>
    <row r="9849" spans="24:25">
      <c r="X9849" s="19"/>
      <c r="Y9849" s="20"/>
    </row>
    <row r="9850" spans="24:25">
      <c r="X9850" s="19"/>
      <c r="Y9850" s="20"/>
    </row>
    <row r="9851" spans="24:25">
      <c r="X9851" s="19"/>
      <c r="Y9851" s="20"/>
    </row>
    <row r="9852" spans="24:25">
      <c r="X9852" s="19"/>
      <c r="Y9852" s="20"/>
    </row>
    <row r="9853" spans="24:25">
      <c r="X9853" s="19"/>
      <c r="Y9853" s="20"/>
    </row>
    <row r="9854" spans="24:25">
      <c r="X9854" s="19"/>
      <c r="Y9854" s="20"/>
    </row>
    <row r="9855" spans="24:25">
      <c r="X9855" s="19"/>
      <c r="Y9855" s="20"/>
    </row>
    <row r="9856" spans="24:25">
      <c r="X9856" s="19"/>
      <c r="Y9856" s="20"/>
    </row>
    <row r="9857" spans="24:25">
      <c r="X9857" s="19"/>
      <c r="Y9857" s="20"/>
    </row>
    <row r="9858" spans="24:25">
      <c r="X9858" s="19"/>
      <c r="Y9858" s="20"/>
    </row>
    <row r="9859" spans="24:25">
      <c r="X9859" s="19"/>
      <c r="Y9859" s="20"/>
    </row>
    <row r="9860" spans="24:25">
      <c r="X9860" s="19"/>
      <c r="Y9860" s="20"/>
    </row>
    <row r="9861" spans="24:25">
      <c r="X9861" s="19"/>
      <c r="Y9861" s="20"/>
    </row>
    <row r="9862" spans="24:25">
      <c r="X9862" s="19"/>
      <c r="Y9862" s="20"/>
    </row>
    <row r="9863" spans="24:25">
      <c r="X9863" s="19"/>
      <c r="Y9863" s="20"/>
    </row>
    <row r="9864" spans="24:25">
      <c r="X9864" s="19"/>
      <c r="Y9864" s="20"/>
    </row>
    <row r="9865" spans="24:25">
      <c r="X9865" s="19"/>
      <c r="Y9865" s="20"/>
    </row>
    <row r="9866" spans="24:25">
      <c r="X9866" s="19"/>
      <c r="Y9866" s="20"/>
    </row>
    <row r="9867" spans="24:25">
      <c r="X9867" s="19"/>
      <c r="Y9867" s="20"/>
    </row>
    <row r="9868" spans="24:25">
      <c r="X9868" s="19"/>
      <c r="Y9868" s="20"/>
    </row>
    <row r="9869" spans="24:25">
      <c r="X9869" s="19"/>
      <c r="Y9869" s="20"/>
    </row>
    <row r="9870" spans="24:25">
      <c r="X9870" s="19"/>
      <c r="Y9870" s="20"/>
    </row>
    <row r="9871" spans="24:25">
      <c r="X9871" s="19"/>
      <c r="Y9871" s="20"/>
    </row>
    <row r="9872" spans="24:25">
      <c r="X9872" s="19"/>
      <c r="Y9872" s="20"/>
    </row>
    <row r="9873" spans="24:25">
      <c r="X9873" s="19"/>
      <c r="Y9873" s="20"/>
    </row>
    <row r="9874" spans="24:25">
      <c r="X9874" s="19"/>
      <c r="Y9874" s="20"/>
    </row>
    <row r="9875" spans="24:25">
      <c r="X9875" s="19"/>
      <c r="Y9875" s="20"/>
    </row>
    <row r="9876" spans="24:25">
      <c r="X9876" s="19"/>
      <c r="Y9876" s="20"/>
    </row>
    <row r="9877" spans="24:25">
      <c r="X9877" s="19"/>
      <c r="Y9877" s="20"/>
    </row>
    <row r="9878" spans="24:25">
      <c r="X9878" s="19"/>
      <c r="Y9878" s="20"/>
    </row>
    <row r="9879" spans="24:25">
      <c r="X9879" s="19"/>
      <c r="Y9879" s="20"/>
    </row>
    <row r="9880" spans="24:25">
      <c r="X9880" s="19"/>
      <c r="Y9880" s="20"/>
    </row>
    <row r="9881" spans="24:25">
      <c r="X9881" s="19"/>
      <c r="Y9881" s="20"/>
    </row>
    <row r="9882" spans="24:25">
      <c r="X9882" s="19"/>
      <c r="Y9882" s="20"/>
    </row>
    <row r="9883" spans="24:25">
      <c r="X9883" s="19"/>
      <c r="Y9883" s="20"/>
    </row>
    <row r="9884" spans="24:25">
      <c r="X9884" s="19"/>
      <c r="Y9884" s="20"/>
    </row>
    <row r="9885" spans="24:25">
      <c r="X9885" s="19"/>
      <c r="Y9885" s="20"/>
    </row>
    <row r="9886" spans="24:25">
      <c r="X9886" s="19"/>
      <c r="Y9886" s="20"/>
    </row>
    <row r="9887" spans="24:25">
      <c r="X9887" s="19"/>
      <c r="Y9887" s="20"/>
    </row>
    <row r="9888" spans="24:25">
      <c r="X9888" s="19"/>
      <c r="Y9888" s="20"/>
    </row>
    <row r="9889" spans="24:25">
      <c r="X9889" s="19"/>
      <c r="Y9889" s="20"/>
    </row>
    <row r="9890" spans="24:25">
      <c r="X9890" s="19"/>
      <c r="Y9890" s="20"/>
    </row>
    <row r="9891" spans="24:25">
      <c r="X9891" s="19"/>
      <c r="Y9891" s="20"/>
    </row>
    <row r="9892" spans="24:25">
      <c r="X9892" s="19"/>
      <c r="Y9892" s="20"/>
    </row>
    <row r="9893" spans="24:25">
      <c r="X9893" s="19"/>
      <c r="Y9893" s="20"/>
    </row>
    <row r="9894" spans="24:25">
      <c r="X9894" s="19"/>
      <c r="Y9894" s="20"/>
    </row>
    <row r="9895" spans="24:25">
      <c r="X9895" s="19"/>
      <c r="Y9895" s="20"/>
    </row>
    <row r="9896" spans="24:25">
      <c r="X9896" s="19"/>
      <c r="Y9896" s="20"/>
    </row>
    <row r="9897" spans="24:25">
      <c r="X9897" s="19"/>
      <c r="Y9897" s="20"/>
    </row>
    <row r="9898" spans="24:25">
      <c r="X9898" s="19"/>
      <c r="Y9898" s="20"/>
    </row>
    <row r="9899" spans="24:25">
      <c r="X9899" s="19"/>
      <c r="Y9899" s="20"/>
    </row>
    <row r="9900" spans="24:25">
      <c r="X9900" s="19"/>
      <c r="Y9900" s="20"/>
    </row>
    <row r="9901" spans="24:25">
      <c r="X9901" s="19"/>
      <c r="Y9901" s="20"/>
    </row>
    <row r="9902" spans="24:25">
      <c r="X9902" s="19"/>
      <c r="Y9902" s="20"/>
    </row>
    <row r="9903" spans="24:25">
      <c r="X9903" s="19"/>
      <c r="Y9903" s="20"/>
    </row>
    <row r="9904" spans="24:25">
      <c r="X9904" s="19"/>
      <c r="Y9904" s="20"/>
    </row>
    <row r="9905" spans="24:25">
      <c r="X9905" s="19"/>
      <c r="Y9905" s="20"/>
    </row>
    <row r="9906" spans="24:25">
      <c r="X9906" s="19"/>
      <c r="Y9906" s="20"/>
    </row>
    <row r="9907" spans="24:25">
      <c r="X9907" s="19"/>
      <c r="Y9907" s="20"/>
    </row>
    <row r="9908" spans="24:25">
      <c r="X9908" s="19"/>
      <c r="Y9908" s="20"/>
    </row>
    <row r="9909" spans="24:25">
      <c r="X9909" s="19"/>
      <c r="Y9909" s="20"/>
    </row>
    <row r="9910" spans="24:25">
      <c r="X9910" s="19"/>
      <c r="Y9910" s="20"/>
    </row>
    <row r="9911" spans="24:25">
      <c r="X9911" s="19"/>
      <c r="Y9911" s="20"/>
    </row>
    <row r="9912" spans="24:25">
      <c r="X9912" s="19"/>
      <c r="Y9912" s="20"/>
    </row>
    <row r="9913" spans="24:25">
      <c r="X9913" s="19"/>
      <c r="Y9913" s="20"/>
    </row>
    <row r="9914" spans="24:25">
      <c r="X9914" s="19"/>
      <c r="Y9914" s="20"/>
    </row>
    <row r="9915" spans="24:25">
      <c r="X9915" s="19"/>
      <c r="Y9915" s="20"/>
    </row>
    <row r="9916" spans="24:25">
      <c r="X9916" s="19"/>
      <c r="Y9916" s="20"/>
    </row>
    <row r="9917" spans="24:25">
      <c r="X9917" s="19"/>
      <c r="Y9917" s="20"/>
    </row>
    <row r="9918" spans="24:25">
      <c r="X9918" s="19"/>
      <c r="Y9918" s="20"/>
    </row>
    <row r="9919" spans="24:25">
      <c r="X9919" s="19"/>
      <c r="Y9919" s="20"/>
    </row>
    <row r="9920" spans="24:25">
      <c r="X9920" s="19"/>
      <c r="Y9920" s="20"/>
    </row>
    <row r="9921" spans="24:25">
      <c r="X9921" s="19"/>
      <c r="Y9921" s="20"/>
    </row>
    <row r="9922" spans="24:25">
      <c r="X9922" s="19"/>
      <c r="Y9922" s="20"/>
    </row>
    <row r="9923" spans="24:25">
      <c r="X9923" s="19"/>
      <c r="Y9923" s="20"/>
    </row>
    <row r="9924" spans="24:25">
      <c r="X9924" s="19"/>
      <c r="Y9924" s="20"/>
    </row>
    <row r="9925" spans="24:25">
      <c r="X9925" s="19"/>
      <c r="Y9925" s="20"/>
    </row>
    <row r="9926" spans="24:25">
      <c r="X9926" s="19"/>
      <c r="Y9926" s="20"/>
    </row>
    <row r="9927" spans="24:25">
      <c r="X9927" s="19"/>
      <c r="Y9927" s="20"/>
    </row>
    <row r="9928" spans="24:25">
      <c r="X9928" s="19"/>
      <c r="Y9928" s="20"/>
    </row>
    <row r="9929" spans="24:25">
      <c r="X9929" s="19"/>
      <c r="Y9929" s="20"/>
    </row>
    <row r="9930" spans="24:25">
      <c r="X9930" s="19"/>
      <c r="Y9930" s="20"/>
    </row>
    <row r="9931" spans="24:25">
      <c r="X9931" s="19"/>
      <c r="Y9931" s="20"/>
    </row>
    <row r="9932" spans="24:25">
      <c r="X9932" s="19"/>
      <c r="Y9932" s="20"/>
    </row>
    <row r="9933" spans="24:25">
      <c r="X9933" s="19"/>
      <c r="Y9933" s="20"/>
    </row>
    <row r="9934" spans="24:25">
      <c r="X9934" s="19"/>
      <c r="Y9934" s="20"/>
    </row>
    <row r="9935" spans="24:25">
      <c r="X9935" s="19"/>
      <c r="Y9935" s="20"/>
    </row>
    <row r="9936" spans="24:25">
      <c r="X9936" s="19"/>
      <c r="Y9936" s="20"/>
    </row>
    <row r="9937" spans="24:25">
      <c r="X9937" s="19"/>
      <c r="Y9937" s="20"/>
    </row>
    <row r="9938" spans="24:25">
      <c r="X9938" s="19"/>
      <c r="Y9938" s="20"/>
    </row>
    <row r="9939" spans="24:25">
      <c r="X9939" s="19"/>
      <c r="Y9939" s="20"/>
    </row>
    <row r="9940" spans="24:25">
      <c r="X9940" s="19"/>
      <c r="Y9940" s="20"/>
    </row>
    <row r="9941" spans="24:25">
      <c r="X9941" s="19"/>
      <c r="Y9941" s="20"/>
    </row>
    <row r="9942" spans="24:25">
      <c r="X9942" s="19"/>
      <c r="Y9942" s="20"/>
    </row>
    <row r="9943" spans="24:25">
      <c r="X9943" s="19"/>
      <c r="Y9943" s="20"/>
    </row>
    <row r="9944" spans="24:25">
      <c r="X9944" s="19"/>
      <c r="Y9944" s="20"/>
    </row>
    <row r="9945" spans="24:25">
      <c r="X9945" s="19"/>
      <c r="Y9945" s="20"/>
    </row>
    <row r="9946" spans="24:25">
      <c r="X9946" s="19"/>
      <c r="Y9946" s="20"/>
    </row>
    <row r="9947" spans="24:25">
      <c r="X9947" s="19"/>
      <c r="Y9947" s="20"/>
    </row>
    <row r="9948" spans="24:25">
      <c r="X9948" s="19"/>
      <c r="Y9948" s="20"/>
    </row>
    <row r="9949" spans="24:25">
      <c r="X9949" s="19"/>
      <c r="Y9949" s="20"/>
    </row>
    <row r="9950" spans="24:25">
      <c r="X9950" s="19"/>
      <c r="Y9950" s="20"/>
    </row>
    <row r="9951" spans="24:25">
      <c r="X9951" s="19"/>
      <c r="Y9951" s="20"/>
    </row>
    <row r="9952" spans="24:25">
      <c r="X9952" s="19"/>
      <c r="Y9952" s="20"/>
    </row>
    <row r="9953" spans="24:25">
      <c r="X9953" s="19"/>
      <c r="Y9953" s="20"/>
    </row>
    <row r="9954" spans="24:25">
      <c r="X9954" s="19"/>
      <c r="Y9954" s="20"/>
    </row>
    <row r="9955" spans="24:25">
      <c r="X9955" s="19"/>
      <c r="Y9955" s="20"/>
    </row>
    <row r="9956" spans="24:25">
      <c r="X9956" s="19"/>
      <c r="Y9956" s="20"/>
    </row>
    <row r="9957" spans="24:25">
      <c r="X9957" s="19"/>
      <c r="Y9957" s="20"/>
    </row>
    <row r="9958" spans="24:25">
      <c r="X9958" s="19"/>
      <c r="Y9958" s="20"/>
    </row>
    <row r="9959" spans="24:25">
      <c r="X9959" s="19"/>
      <c r="Y9959" s="20"/>
    </row>
    <row r="9960" spans="24:25">
      <c r="X9960" s="19"/>
      <c r="Y9960" s="20"/>
    </row>
    <row r="9961" spans="24:25">
      <c r="X9961" s="19"/>
      <c r="Y9961" s="20"/>
    </row>
    <row r="9962" spans="24:25">
      <c r="X9962" s="19"/>
      <c r="Y9962" s="20"/>
    </row>
    <row r="9963" spans="24:25">
      <c r="X9963" s="19"/>
      <c r="Y9963" s="20"/>
    </row>
    <row r="9964" spans="24:25">
      <c r="X9964" s="19"/>
      <c r="Y9964" s="20"/>
    </row>
    <row r="9965" spans="24:25">
      <c r="X9965" s="19"/>
      <c r="Y9965" s="20"/>
    </row>
    <row r="9966" spans="24:25">
      <c r="X9966" s="19"/>
      <c r="Y9966" s="20"/>
    </row>
    <row r="9967" spans="24:25">
      <c r="X9967" s="19"/>
      <c r="Y9967" s="20"/>
    </row>
    <row r="9968" spans="24:25">
      <c r="X9968" s="19"/>
      <c r="Y9968" s="20"/>
    </row>
    <row r="9969" spans="24:25">
      <c r="X9969" s="19"/>
      <c r="Y9969" s="20"/>
    </row>
    <row r="9970" spans="24:25">
      <c r="X9970" s="19"/>
      <c r="Y9970" s="20"/>
    </row>
    <row r="9971" spans="24:25">
      <c r="X9971" s="19"/>
      <c r="Y9971" s="20"/>
    </row>
    <row r="9972" spans="24:25">
      <c r="X9972" s="19"/>
      <c r="Y9972" s="20"/>
    </row>
    <row r="9973" spans="24:25">
      <c r="X9973" s="19"/>
      <c r="Y9973" s="20"/>
    </row>
    <row r="9974" spans="24:25">
      <c r="X9974" s="19"/>
      <c r="Y9974" s="20"/>
    </row>
    <row r="9975" spans="24:25">
      <c r="X9975" s="19"/>
      <c r="Y9975" s="20"/>
    </row>
    <row r="9976" spans="24:25">
      <c r="X9976" s="19"/>
      <c r="Y9976" s="20"/>
    </row>
    <row r="9977" spans="24:25">
      <c r="X9977" s="19"/>
      <c r="Y9977" s="20"/>
    </row>
    <row r="9978" spans="24:25">
      <c r="X9978" s="19"/>
      <c r="Y9978" s="20"/>
    </row>
    <row r="9979" spans="24:25">
      <c r="X9979" s="19"/>
      <c r="Y9979" s="20"/>
    </row>
    <row r="9980" spans="24:25">
      <c r="X9980" s="19"/>
      <c r="Y9980" s="20"/>
    </row>
    <row r="9981" spans="24:25">
      <c r="X9981" s="19"/>
      <c r="Y9981" s="20"/>
    </row>
    <row r="9982" spans="24:25">
      <c r="X9982" s="19"/>
      <c r="Y9982" s="20"/>
    </row>
    <row r="9983" spans="24:25">
      <c r="X9983" s="19"/>
      <c r="Y9983" s="20"/>
    </row>
    <row r="9984" spans="24:25">
      <c r="X9984" s="19"/>
      <c r="Y9984" s="20"/>
    </row>
    <row r="9985" spans="24:25">
      <c r="X9985" s="19"/>
      <c r="Y9985" s="20"/>
    </row>
    <row r="9986" spans="24:25">
      <c r="X9986" s="19"/>
      <c r="Y9986" s="20"/>
    </row>
    <row r="9987" spans="24:25">
      <c r="X9987" s="19"/>
      <c r="Y9987" s="20"/>
    </row>
    <row r="9988" spans="24:25">
      <c r="X9988" s="19"/>
      <c r="Y9988" s="20"/>
    </row>
    <row r="9989" spans="24:25">
      <c r="X9989" s="19"/>
      <c r="Y9989" s="20"/>
    </row>
    <row r="9990" spans="24:25">
      <c r="X9990" s="19"/>
      <c r="Y9990" s="20"/>
    </row>
    <row r="9991" spans="24:25">
      <c r="X9991" s="19"/>
      <c r="Y9991" s="20"/>
    </row>
    <row r="9992" spans="24:25">
      <c r="X9992" s="19"/>
      <c r="Y9992" s="20"/>
    </row>
    <row r="9993" spans="24:25">
      <c r="X9993" s="19"/>
      <c r="Y9993" s="20"/>
    </row>
    <row r="9994" spans="24:25">
      <c r="X9994" s="19"/>
      <c r="Y9994" s="20"/>
    </row>
    <row r="9995" spans="24:25">
      <c r="X9995" s="19"/>
      <c r="Y9995" s="20"/>
    </row>
    <row r="9996" spans="24:25">
      <c r="X9996" s="19"/>
      <c r="Y9996" s="20"/>
    </row>
    <row r="9997" spans="24:25">
      <c r="X9997" s="19"/>
      <c r="Y9997" s="20"/>
    </row>
    <row r="9998" spans="24:25">
      <c r="X9998" s="19"/>
      <c r="Y9998" s="20"/>
    </row>
    <row r="9999" spans="24:25">
      <c r="X9999" s="19"/>
      <c r="Y9999" s="20"/>
    </row>
    <row r="10000" spans="24:25">
      <c r="X10000" s="19"/>
      <c r="Y10000" s="20"/>
    </row>
    <row r="10001" spans="24:25">
      <c r="X10001" s="19"/>
      <c r="Y10001" s="20"/>
    </row>
    <row r="10002" spans="24:25">
      <c r="X10002" s="19"/>
      <c r="Y10002" s="20"/>
    </row>
    <row r="10003" spans="24:25">
      <c r="X10003" s="19"/>
      <c r="Y10003" s="20"/>
    </row>
    <row r="10004" spans="24:25">
      <c r="X10004" s="19"/>
      <c r="Y10004" s="20"/>
    </row>
    <row r="10005" spans="24:25">
      <c r="X10005" s="19"/>
      <c r="Y10005" s="20"/>
    </row>
    <row r="10006" spans="24:25">
      <c r="X10006" s="19"/>
      <c r="Y10006" s="20"/>
    </row>
    <row r="10007" spans="24:25">
      <c r="X10007" s="19"/>
      <c r="Y10007" s="20"/>
    </row>
    <row r="10008" spans="24:25">
      <c r="X10008" s="19"/>
      <c r="Y10008" s="20"/>
    </row>
    <row r="10009" spans="24:25">
      <c r="X10009" s="19"/>
      <c r="Y10009" s="20"/>
    </row>
    <row r="10010" spans="24:25">
      <c r="X10010" s="19"/>
      <c r="Y10010" s="20"/>
    </row>
    <row r="10011" spans="24:25">
      <c r="X10011" s="19"/>
      <c r="Y10011" s="20"/>
    </row>
    <row r="10012" spans="24:25">
      <c r="X10012" s="19"/>
      <c r="Y10012" s="20"/>
    </row>
    <row r="10013" spans="24:25">
      <c r="X10013" s="19"/>
      <c r="Y10013" s="20"/>
    </row>
    <row r="10014" spans="24:25">
      <c r="X10014" s="19"/>
      <c r="Y10014" s="20"/>
    </row>
    <row r="10015" spans="24:25">
      <c r="X10015" s="19"/>
      <c r="Y10015" s="20"/>
    </row>
    <row r="10016" spans="24:25">
      <c r="X10016" s="19"/>
      <c r="Y10016" s="20"/>
    </row>
    <row r="10017" spans="24:25">
      <c r="X10017" s="19"/>
      <c r="Y10017" s="20"/>
    </row>
    <row r="10018" spans="24:25">
      <c r="X10018" s="19"/>
      <c r="Y10018" s="20"/>
    </row>
    <row r="10019" spans="24:25">
      <c r="X10019" s="19"/>
      <c r="Y10019" s="20"/>
    </row>
    <row r="10020" spans="24:25">
      <c r="X10020" s="19"/>
      <c r="Y10020" s="20"/>
    </row>
    <row r="10021" spans="24:25">
      <c r="X10021" s="19"/>
      <c r="Y10021" s="20"/>
    </row>
    <row r="10022" spans="24:25">
      <c r="X10022" s="19"/>
      <c r="Y10022" s="20"/>
    </row>
    <row r="10023" spans="24:25">
      <c r="X10023" s="19"/>
      <c r="Y10023" s="20"/>
    </row>
    <row r="10024" spans="24:25">
      <c r="X10024" s="19"/>
      <c r="Y10024" s="20"/>
    </row>
    <row r="10025" spans="24:25">
      <c r="X10025" s="19"/>
      <c r="Y10025" s="20"/>
    </row>
    <row r="10026" spans="24:25">
      <c r="X10026" s="19"/>
      <c r="Y10026" s="20"/>
    </row>
    <row r="10027" spans="24:25">
      <c r="X10027" s="19"/>
      <c r="Y10027" s="20"/>
    </row>
    <row r="10028" spans="24:25">
      <c r="X10028" s="19"/>
      <c r="Y10028" s="20"/>
    </row>
    <row r="10029" spans="24:25">
      <c r="X10029" s="19"/>
      <c r="Y10029" s="20"/>
    </row>
    <row r="10030" spans="24:25">
      <c r="X10030" s="19"/>
      <c r="Y10030" s="20"/>
    </row>
    <row r="10031" spans="24:25">
      <c r="X10031" s="19"/>
      <c r="Y10031" s="20"/>
    </row>
    <row r="10032" spans="24:25">
      <c r="X10032" s="19"/>
      <c r="Y10032" s="20"/>
    </row>
    <row r="10033" spans="24:25">
      <c r="X10033" s="19"/>
      <c r="Y10033" s="20"/>
    </row>
    <row r="10034" spans="24:25">
      <c r="X10034" s="19"/>
      <c r="Y10034" s="20"/>
    </row>
    <row r="10035" spans="24:25">
      <c r="X10035" s="19"/>
      <c r="Y10035" s="20"/>
    </row>
    <row r="10036" spans="24:25">
      <c r="X10036" s="19"/>
      <c r="Y10036" s="20"/>
    </row>
    <row r="10037" spans="24:25">
      <c r="X10037" s="19"/>
      <c r="Y10037" s="20"/>
    </row>
    <row r="10038" spans="24:25">
      <c r="X10038" s="19"/>
      <c r="Y10038" s="20"/>
    </row>
    <row r="10039" spans="24:25">
      <c r="X10039" s="19"/>
      <c r="Y10039" s="20"/>
    </row>
    <row r="10040" spans="24:25">
      <c r="X10040" s="19"/>
      <c r="Y10040" s="20"/>
    </row>
    <row r="10041" spans="24:25">
      <c r="X10041" s="19"/>
      <c r="Y10041" s="20"/>
    </row>
    <row r="10042" spans="24:25">
      <c r="X10042" s="19"/>
      <c r="Y10042" s="20"/>
    </row>
    <row r="10043" spans="24:25">
      <c r="X10043" s="19"/>
      <c r="Y10043" s="20"/>
    </row>
    <row r="10044" spans="24:25">
      <c r="X10044" s="19"/>
      <c r="Y10044" s="20"/>
    </row>
    <row r="10045" spans="24:25">
      <c r="X10045" s="19"/>
      <c r="Y10045" s="20"/>
    </row>
    <row r="10046" spans="24:25">
      <c r="X10046" s="19"/>
      <c r="Y10046" s="20"/>
    </row>
    <row r="10047" spans="24:25">
      <c r="X10047" s="19"/>
      <c r="Y10047" s="20"/>
    </row>
    <row r="10048" spans="24:25">
      <c r="X10048" s="19"/>
      <c r="Y10048" s="20"/>
    </row>
    <row r="10049" spans="24:25">
      <c r="X10049" s="19"/>
      <c r="Y10049" s="20"/>
    </row>
    <row r="10050" spans="24:25">
      <c r="X10050" s="19"/>
      <c r="Y10050" s="20"/>
    </row>
    <row r="10051" spans="24:25">
      <c r="X10051" s="19"/>
      <c r="Y10051" s="20"/>
    </row>
    <row r="10052" spans="24:25">
      <c r="X10052" s="19"/>
      <c r="Y10052" s="20"/>
    </row>
    <row r="10053" spans="24:25">
      <c r="X10053" s="19"/>
      <c r="Y10053" s="20"/>
    </row>
    <row r="10054" spans="24:25">
      <c r="X10054" s="19"/>
      <c r="Y10054" s="20"/>
    </row>
    <row r="10055" spans="24:25">
      <c r="X10055" s="19"/>
      <c r="Y10055" s="20"/>
    </row>
    <row r="10056" spans="24:25">
      <c r="X10056" s="19"/>
      <c r="Y10056" s="20"/>
    </row>
    <row r="10057" spans="24:25">
      <c r="X10057" s="19"/>
      <c r="Y10057" s="20"/>
    </row>
    <row r="10058" spans="24:25">
      <c r="X10058" s="19"/>
      <c r="Y10058" s="20"/>
    </row>
    <row r="10059" spans="24:25">
      <c r="X10059" s="19"/>
      <c r="Y10059" s="20"/>
    </row>
    <row r="10060" spans="24:25">
      <c r="X10060" s="19"/>
      <c r="Y10060" s="20"/>
    </row>
    <row r="10061" spans="24:25">
      <c r="X10061" s="19"/>
      <c r="Y10061" s="20"/>
    </row>
    <row r="10062" spans="24:25">
      <c r="X10062" s="19"/>
      <c r="Y10062" s="20"/>
    </row>
    <row r="10063" spans="24:25">
      <c r="X10063" s="19"/>
      <c r="Y10063" s="20"/>
    </row>
    <row r="10064" spans="24:25">
      <c r="X10064" s="19"/>
      <c r="Y10064" s="20"/>
    </row>
    <row r="10065" spans="24:25">
      <c r="X10065" s="19"/>
      <c r="Y10065" s="20"/>
    </row>
    <row r="10066" spans="24:25">
      <c r="X10066" s="19"/>
      <c r="Y10066" s="20"/>
    </row>
    <row r="10067" spans="24:25">
      <c r="X10067" s="19"/>
      <c r="Y10067" s="20"/>
    </row>
    <row r="10068" spans="24:25">
      <c r="X10068" s="19"/>
      <c r="Y10068" s="20"/>
    </row>
    <row r="10069" spans="24:25">
      <c r="X10069" s="19"/>
      <c r="Y10069" s="20"/>
    </row>
    <row r="10070" spans="24:25">
      <c r="X10070" s="19"/>
      <c r="Y10070" s="20"/>
    </row>
    <row r="10071" spans="24:25">
      <c r="X10071" s="19"/>
      <c r="Y10071" s="20"/>
    </row>
    <row r="10072" spans="24:25">
      <c r="X10072" s="19"/>
      <c r="Y10072" s="20"/>
    </row>
    <row r="10073" spans="24:25">
      <c r="X10073" s="19"/>
      <c r="Y10073" s="20"/>
    </row>
    <row r="10074" spans="24:25">
      <c r="X10074" s="19"/>
      <c r="Y10074" s="20"/>
    </row>
    <row r="10075" spans="24:25">
      <c r="X10075" s="19"/>
      <c r="Y10075" s="20"/>
    </row>
    <row r="10076" spans="24:25">
      <c r="X10076" s="19"/>
      <c r="Y10076" s="20"/>
    </row>
    <row r="10077" spans="24:25">
      <c r="X10077" s="19"/>
      <c r="Y10077" s="20"/>
    </row>
    <row r="10078" spans="24:25">
      <c r="X10078" s="19"/>
      <c r="Y10078" s="20"/>
    </row>
    <row r="10079" spans="24:25">
      <c r="X10079" s="19"/>
      <c r="Y10079" s="20"/>
    </row>
    <row r="10080" spans="24:25">
      <c r="X10080" s="19"/>
      <c r="Y10080" s="20"/>
    </row>
    <row r="10081" spans="24:25">
      <c r="X10081" s="19"/>
      <c r="Y10081" s="20"/>
    </row>
    <row r="10082" spans="24:25">
      <c r="X10082" s="19"/>
      <c r="Y10082" s="20"/>
    </row>
    <row r="10083" spans="24:25">
      <c r="X10083" s="19"/>
      <c r="Y10083" s="20"/>
    </row>
    <row r="10084" spans="24:25">
      <c r="X10084" s="19"/>
      <c r="Y10084" s="20"/>
    </row>
    <row r="10085" spans="24:25">
      <c r="X10085" s="19"/>
      <c r="Y10085" s="20"/>
    </row>
    <row r="10086" spans="24:25">
      <c r="X10086" s="19"/>
      <c r="Y10086" s="20"/>
    </row>
    <row r="10087" spans="24:25">
      <c r="X10087" s="19"/>
      <c r="Y10087" s="20"/>
    </row>
    <row r="10088" spans="24:25">
      <c r="X10088" s="19"/>
      <c r="Y10088" s="20"/>
    </row>
    <row r="10089" spans="24:25">
      <c r="X10089" s="19"/>
      <c r="Y10089" s="20"/>
    </row>
    <row r="10090" spans="24:25">
      <c r="X10090" s="19"/>
      <c r="Y10090" s="20"/>
    </row>
    <row r="10091" spans="24:25">
      <c r="X10091" s="19"/>
      <c r="Y10091" s="20"/>
    </row>
    <row r="10092" spans="24:25">
      <c r="X10092" s="19"/>
      <c r="Y10092" s="20"/>
    </row>
    <row r="10093" spans="24:25">
      <c r="X10093" s="19"/>
      <c r="Y10093" s="20"/>
    </row>
    <row r="10094" spans="24:25">
      <c r="X10094" s="19"/>
      <c r="Y10094" s="20"/>
    </row>
    <row r="10095" spans="24:25">
      <c r="X10095" s="19"/>
      <c r="Y10095" s="20"/>
    </row>
    <row r="10096" spans="24:25">
      <c r="X10096" s="19"/>
      <c r="Y10096" s="20"/>
    </row>
    <row r="10097" spans="24:25">
      <c r="X10097" s="19"/>
      <c r="Y10097" s="20"/>
    </row>
    <row r="10098" spans="24:25">
      <c r="X10098" s="19"/>
      <c r="Y10098" s="20"/>
    </row>
    <row r="10099" spans="24:25">
      <c r="X10099" s="19"/>
      <c r="Y10099" s="20"/>
    </row>
    <row r="10100" spans="24:25">
      <c r="X10100" s="19"/>
      <c r="Y10100" s="20"/>
    </row>
    <row r="10101" spans="24:25">
      <c r="X10101" s="19"/>
      <c r="Y10101" s="20"/>
    </row>
    <row r="10102" spans="24:25">
      <c r="X10102" s="19"/>
      <c r="Y10102" s="20"/>
    </row>
    <row r="10103" spans="24:25">
      <c r="X10103" s="19"/>
      <c r="Y10103" s="20"/>
    </row>
    <row r="10104" spans="24:25">
      <c r="X10104" s="19"/>
      <c r="Y10104" s="20"/>
    </row>
    <row r="10105" spans="24:25">
      <c r="X10105" s="19"/>
      <c r="Y10105" s="20"/>
    </row>
    <row r="10106" spans="24:25">
      <c r="X10106" s="19"/>
      <c r="Y10106" s="20"/>
    </row>
    <row r="10107" spans="24:25">
      <c r="X10107" s="19"/>
      <c r="Y10107" s="20"/>
    </row>
    <row r="10108" spans="24:25">
      <c r="X10108" s="19"/>
      <c r="Y10108" s="20"/>
    </row>
    <row r="10109" spans="24:25">
      <c r="X10109" s="19"/>
      <c r="Y10109" s="20"/>
    </row>
    <row r="10110" spans="24:25">
      <c r="X10110" s="19"/>
      <c r="Y10110" s="20"/>
    </row>
    <row r="10111" spans="24:25">
      <c r="X10111" s="19"/>
      <c r="Y10111" s="20"/>
    </row>
    <row r="10112" spans="24:25">
      <c r="X10112" s="19"/>
      <c r="Y10112" s="20"/>
    </row>
    <row r="10113" spans="24:25">
      <c r="X10113" s="19"/>
      <c r="Y10113" s="20"/>
    </row>
    <row r="10114" spans="24:25">
      <c r="X10114" s="19"/>
      <c r="Y10114" s="20"/>
    </row>
    <row r="10115" spans="24:25">
      <c r="X10115" s="19"/>
      <c r="Y10115" s="20"/>
    </row>
    <row r="10116" spans="24:25">
      <c r="X10116" s="19"/>
      <c r="Y10116" s="20"/>
    </row>
    <row r="10117" spans="24:25">
      <c r="X10117" s="19"/>
      <c r="Y10117" s="20"/>
    </row>
    <row r="10118" spans="24:25">
      <c r="X10118" s="19"/>
      <c r="Y10118" s="20"/>
    </row>
    <row r="10119" spans="24:25">
      <c r="X10119" s="19"/>
      <c r="Y10119" s="20"/>
    </row>
    <row r="10120" spans="24:25">
      <c r="X10120" s="19"/>
      <c r="Y10120" s="20"/>
    </row>
    <row r="10121" spans="24:25">
      <c r="X10121" s="19"/>
      <c r="Y10121" s="20"/>
    </row>
    <row r="10122" spans="24:25">
      <c r="X10122" s="19"/>
      <c r="Y10122" s="20"/>
    </row>
    <row r="10123" spans="24:25">
      <c r="X10123" s="19"/>
      <c r="Y10123" s="20"/>
    </row>
    <row r="10124" spans="24:25">
      <c r="X10124" s="19"/>
      <c r="Y10124" s="20"/>
    </row>
    <row r="10125" spans="24:25">
      <c r="X10125" s="19"/>
      <c r="Y10125" s="20"/>
    </row>
    <row r="10126" spans="24:25">
      <c r="X10126" s="19"/>
      <c r="Y10126" s="20"/>
    </row>
    <row r="10127" spans="24:25">
      <c r="X10127" s="19"/>
      <c r="Y10127" s="20"/>
    </row>
    <row r="10128" spans="24:25">
      <c r="X10128" s="19"/>
      <c r="Y10128" s="20"/>
    </row>
    <row r="10129" spans="24:25">
      <c r="X10129" s="19"/>
      <c r="Y10129" s="20"/>
    </row>
    <row r="10130" spans="24:25">
      <c r="X10130" s="19"/>
      <c r="Y10130" s="20"/>
    </row>
    <row r="10131" spans="24:25">
      <c r="X10131" s="19"/>
      <c r="Y10131" s="20"/>
    </row>
    <row r="10132" spans="24:25">
      <c r="X10132" s="19"/>
      <c r="Y10132" s="20"/>
    </row>
    <row r="10133" spans="24:25">
      <c r="X10133" s="19"/>
      <c r="Y10133" s="20"/>
    </row>
    <row r="10134" spans="24:25">
      <c r="X10134" s="19"/>
      <c r="Y10134" s="20"/>
    </row>
    <row r="10135" spans="24:25">
      <c r="X10135" s="19"/>
      <c r="Y10135" s="20"/>
    </row>
    <row r="10136" spans="24:25">
      <c r="X10136" s="19"/>
      <c r="Y10136" s="20"/>
    </row>
    <row r="10137" spans="24:25">
      <c r="X10137" s="19"/>
      <c r="Y10137" s="20"/>
    </row>
    <row r="10138" spans="24:25">
      <c r="X10138" s="19"/>
      <c r="Y10138" s="20"/>
    </row>
    <row r="10139" spans="24:25">
      <c r="X10139" s="19"/>
      <c r="Y10139" s="20"/>
    </row>
    <row r="10140" spans="24:25">
      <c r="X10140" s="19"/>
      <c r="Y10140" s="20"/>
    </row>
    <row r="10141" spans="24:25">
      <c r="X10141" s="19"/>
      <c r="Y10141" s="20"/>
    </row>
    <row r="10142" spans="24:25">
      <c r="X10142" s="19"/>
      <c r="Y10142" s="20"/>
    </row>
    <row r="10143" spans="24:25">
      <c r="X10143" s="19"/>
      <c r="Y10143" s="20"/>
    </row>
    <row r="10144" spans="24:25">
      <c r="X10144" s="19"/>
      <c r="Y10144" s="20"/>
    </row>
    <row r="10145" spans="24:25">
      <c r="X10145" s="19"/>
      <c r="Y10145" s="20"/>
    </row>
    <row r="10146" spans="24:25">
      <c r="X10146" s="19"/>
      <c r="Y10146" s="20"/>
    </row>
    <row r="10147" spans="24:25">
      <c r="X10147" s="19"/>
      <c r="Y10147" s="20"/>
    </row>
    <row r="10148" spans="24:25">
      <c r="X10148" s="19"/>
      <c r="Y10148" s="20"/>
    </row>
    <row r="10149" spans="24:25">
      <c r="X10149" s="19"/>
      <c r="Y10149" s="20"/>
    </row>
    <row r="10150" spans="24:25">
      <c r="X10150" s="19"/>
      <c r="Y10150" s="20"/>
    </row>
    <row r="10151" spans="24:25">
      <c r="X10151" s="19"/>
      <c r="Y10151" s="20"/>
    </row>
    <row r="10152" spans="24:25">
      <c r="X10152" s="19"/>
      <c r="Y10152" s="20"/>
    </row>
    <row r="10153" spans="24:25">
      <c r="X10153" s="19"/>
      <c r="Y10153" s="20"/>
    </row>
    <row r="10154" spans="24:25">
      <c r="X10154" s="19"/>
      <c r="Y10154" s="20"/>
    </row>
    <row r="10155" spans="24:25">
      <c r="X10155" s="19"/>
      <c r="Y10155" s="20"/>
    </row>
    <row r="10156" spans="24:25">
      <c r="X10156" s="19"/>
      <c r="Y10156" s="20"/>
    </row>
    <row r="10157" spans="24:25">
      <c r="X10157" s="19"/>
      <c r="Y10157" s="20"/>
    </row>
    <row r="10158" spans="24:25">
      <c r="X10158" s="19"/>
      <c r="Y10158" s="20"/>
    </row>
    <row r="10159" spans="24:25">
      <c r="X10159" s="19"/>
      <c r="Y10159" s="20"/>
    </row>
    <row r="10160" spans="24:25">
      <c r="X10160" s="19"/>
      <c r="Y10160" s="20"/>
    </row>
    <row r="10161" spans="24:25">
      <c r="X10161" s="19"/>
      <c r="Y10161" s="20"/>
    </row>
    <row r="10162" spans="24:25">
      <c r="X10162" s="19"/>
      <c r="Y10162" s="20"/>
    </row>
    <row r="10163" spans="24:25">
      <c r="X10163" s="19"/>
      <c r="Y10163" s="20"/>
    </row>
    <row r="10164" spans="24:25">
      <c r="X10164" s="19"/>
      <c r="Y10164" s="20"/>
    </row>
    <row r="10165" spans="24:25">
      <c r="X10165" s="19"/>
      <c r="Y10165" s="20"/>
    </row>
    <row r="10166" spans="24:25">
      <c r="X10166" s="19"/>
      <c r="Y10166" s="20"/>
    </row>
    <row r="10167" spans="24:25">
      <c r="X10167" s="19"/>
      <c r="Y10167" s="20"/>
    </row>
    <row r="10168" spans="24:25">
      <c r="X10168" s="19"/>
      <c r="Y10168" s="20"/>
    </row>
    <row r="10169" spans="24:25">
      <c r="X10169" s="19"/>
      <c r="Y10169" s="20"/>
    </row>
    <row r="10170" spans="24:25">
      <c r="X10170" s="19"/>
      <c r="Y10170" s="20"/>
    </row>
    <row r="10171" spans="24:25">
      <c r="X10171" s="19"/>
      <c r="Y10171" s="20"/>
    </row>
    <row r="10172" spans="24:25">
      <c r="X10172" s="19"/>
      <c r="Y10172" s="20"/>
    </row>
    <row r="10173" spans="24:25">
      <c r="X10173" s="19"/>
      <c r="Y10173" s="20"/>
    </row>
    <row r="10174" spans="24:25">
      <c r="X10174" s="19"/>
      <c r="Y10174" s="20"/>
    </row>
    <row r="10175" spans="24:25">
      <c r="X10175" s="19"/>
      <c r="Y10175" s="20"/>
    </row>
    <row r="10176" spans="24:25">
      <c r="X10176" s="19"/>
      <c r="Y10176" s="20"/>
    </row>
    <row r="10177" spans="24:25">
      <c r="X10177" s="19"/>
      <c r="Y10177" s="20"/>
    </row>
    <row r="10178" spans="24:25">
      <c r="X10178" s="19"/>
      <c r="Y10178" s="20"/>
    </row>
    <row r="10179" spans="24:25">
      <c r="X10179" s="19"/>
      <c r="Y10179" s="20"/>
    </row>
    <row r="10180" spans="24:25">
      <c r="X10180" s="19"/>
      <c r="Y10180" s="20"/>
    </row>
    <row r="10181" spans="24:25">
      <c r="X10181" s="19"/>
      <c r="Y10181" s="20"/>
    </row>
    <row r="10182" spans="24:25">
      <c r="X10182" s="19"/>
      <c r="Y10182" s="20"/>
    </row>
    <row r="10183" spans="24:25">
      <c r="X10183" s="19"/>
      <c r="Y10183" s="20"/>
    </row>
    <row r="10184" spans="24:25">
      <c r="X10184" s="19"/>
      <c r="Y10184" s="20"/>
    </row>
    <row r="10185" spans="24:25">
      <c r="X10185" s="19"/>
      <c r="Y10185" s="20"/>
    </row>
    <row r="10186" spans="24:25">
      <c r="X10186" s="19"/>
      <c r="Y10186" s="20"/>
    </row>
    <row r="10187" spans="24:25">
      <c r="X10187" s="19"/>
      <c r="Y10187" s="20"/>
    </row>
    <row r="10188" spans="24:25">
      <c r="X10188" s="19"/>
      <c r="Y10188" s="20"/>
    </row>
    <row r="10189" spans="24:25">
      <c r="X10189" s="19"/>
      <c r="Y10189" s="20"/>
    </row>
    <row r="10190" spans="24:25">
      <c r="X10190" s="19"/>
      <c r="Y10190" s="20"/>
    </row>
    <row r="10191" spans="24:25">
      <c r="X10191" s="19"/>
      <c r="Y10191" s="20"/>
    </row>
    <row r="10192" spans="24:25">
      <c r="X10192" s="19"/>
      <c r="Y10192" s="20"/>
    </row>
    <row r="10193" spans="24:25">
      <c r="X10193" s="19"/>
      <c r="Y10193" s="20"/>
    </row>
    <row r="10194" spans="24:25">
      <c r="X10194" s="19"/>
      <c r="Y10194" s="20"/>
    </row>
    <row r="10195" spans="24:25">
      <c r="X10195" s="19"/>
      <c r="Y10195" s="20"/>
    </row>
    <row r="10196" spans="24:25">
      <c r="X10196" s="19"/>
      <c r="Y10196" s="20"/>
    </row>
    <row r="10197" spans="24:25">
      <c r="X10197" s="19"/>
      <c r="Y10197" s="20"/>
    </row>
    <row r="10198" spans="24:25">
      <c r="X10198" s="19"/>
      <c r="Y10198" s="20"/>
    </row>
    <row r="10199" spans="24:25">
      <c r="X10199" s="19"/>
      <c r="Y10199" s="20"/>
    </row>
    <row r="10200" spans="24:25">
      <c r="X10200" s="19"/>
      <c r="Y10200" s="20"/>
    </row>
    <row r="10201" spans="24:25">
      <c r="X10201" s="19"/>
      <c r="Y10201" s="20"/>
    </row>
    <row r="10202" spans="24:25">
      <c r="X10202" s="19"/>
      <c r="Y10202" s="20"/>
    </row>
    <row r="10203" spans="24:25">
      <c r="X10203" s="19"/>
      <c r="Y10203" s="20"/>
    </row>
    <row r="10204" spans="24:25">
      <c r="X10204" s="19"/>
      <c r="Y10204" s="20"/>
    </row>
    <row r="10205" spans="24:25">
      <c r="X10205" s="19"/>
      <c r="Y10205" s="20"/>
    </row>
    <row r="10206" spans="24:25">
      <c r="X10206" s="19"/>
      <c r="Y10206" s="20"/>
    </row>
    <row r="10207" spans="24:25">
      <c r="X10207" s="19"/>
      <c r="Y10207" s="20"/>
    </row>
    <row r="10208" spans="24:25">
      <c r="X10208" s="19"/>
      <c r="Y10208" s="20"/>
    </row>
    <row r="10209" spans="24:25">
      <c r="X10209" s="19"/>
      <c r="Y10209" s="20"/>
    </row>
    <row r="10210" spans="24:25">
      <c r="X10210" s="19"/>
      <c r="Y10210" s="20"/>
    </row>
    <row r="10211" spans="24:25">
      <c r="X10211" s="19"/>
      <c r="Y10211" s="20"/>
    </row>
    <row r="10212" spans="24:25">
      <c r="X10212" s="19"/>
      <c r="Y10212" s="20"/>
    </row>
    <row r="10213" spans="24:25">
      <c r="X10213" s="19"/>
      <c r="Y10213" s="20"/>
    </row>
    <row r="10214" spans="24:25">
      <c r="X10214" s="19"/>
      <c r="Y10214" s="20"/>
    </row>
    <row r="10215" spans="24:25">
      <c r="X10215" s="19"/>
      <c r="Y10215" s="20"/>
    </row>
    <row r="10216" spans="24:25">
      <c r="X10216" s="19"/>
      <c r="Y10216" s="20"/>
    </row>
    <row r="10217" spans="24:25">
      <c r="X10217" s="19"/>
      <c r="Y10217" s="20"/>
    </row>
    <row r="10218" spans="24:25">
      <c r="X10218" s="19"/>
      <c r="Y10218" s="20"/>
    </row>
    <row r="10219" spans="24:25">
      <c r="X10219" s="19"/>
      <c r="Y10219" s="20"/>
    </row>
    <row r="10220" spans="24:25">
      <c r="X10220" s="19"/>
      <c r="Y10220" s="20"/>
    </row>
    <row r="10221" spans="24:25">
      <c r="X10221" s="19"/>
      <c r="Y10221" s="20"/>
    </row>
    <row r="10222" spans="24:25">
      <c r="X10222" s="19"/>
      <c r="Y10222" s="20"/>
    </row>
    <row r="10223" spans="24:25">
      <c r="X10223" s="19"/>
      <c r="Y10223" s="20"/>
    </row>
    <row r="10224" spans="24:25">
      <c r="X10224" s="19"/>
      <c r="Y10224" s="20"/>
    </row>
    <row r="10225" spans="24:25">
      <c r="X10225" s="19"/>
      <c r="Y10225" s="20"/>
    </row>
    <row r="10226" spans="24:25">
      <c r="X10226" s="19"/>
      <c r="Y10226" s="20"/>
    </row>
    <row r="10227" spans="24:25">
      <c r="X10227" s="19"/>
      <c r="Y10227" s="20"/>
    </row>
    <row r="10228" spans="24:25">
      <c r="X10228" s="19"/>
      <c r="Y10228" s="20"/>
    </row>
    <row r="10229" spans="24:25">
      <c r="X10229" s="19"/>
      <c r="Y10229" s="20"/>
    </row>
    <row r="10230" spans="24:25">
      <c r="X10230" s="19"/>
      <c r="Y10230" s="20"/>
    </row>
    <row r="10231" spans="24:25">
      <c r="X10231" s="19"/>
      <c r="Y10231" s="20"/>
    </row>
    <row r="10232" spans="24:25">
      <c r="X10232" s="19"/>
      <c r="Y10232" s="20"/>
    </row>
    <row r="10233" spans="24:25">
      <c r="X10233" s="19"/>
      <c r="Y10233" s="20"/>
    </row>
    <row r="10234" spans="24:25">
      <c r="X10234" s="19"/>
      <c r="Y10234" s="20"/>
    </row>
    <row r="10235" spans="24:25">
      <c r="X10235" s="19"/>
      <c r="Y10235" s="20"/>
    </row>
    <row r="10236" spans="24:25">
      <c r="X10236" s="19"/>
      <c r="Y10236" s="20"/>
    </row>
    <row r="10237" spans="24:25">
      <c r="X10237" s="19"/>
      <c r="Y10237" s="20"/>
    </row>
    <row r="10238" spans="24:25">
      <c r="X10238" s="19"/>
      <c r="Y10238" s="20"/>
    </row>
    <row r="10239" spans="24:25">
      <c r="X10239" s="19"/>
      <c r="Y10239" s="20"/>
    </row>
    <row r="10240" spans="24:25">
      <c r="X10240" s="19"/>
      <c r="Y10240" s="20"/>
    </row>
    <row r="10241" spans="24:25">
      <c r="X10241" s="19"/>
      <c r="Y10241" s="20"/>
    </row>
    <row r="10242" spans="24:25">
      <c r="X10242" s="19"/>
      <c r="Y10242" s="20"/>
    </row>
    <row r="10243" spans="24:25">
      <c r="X10243" s="19"/>
      <c r="Y10243" s="20"/>
    </row>
    <row r="10244" spans="24:25">
      <c r="X10244" s="19"/>
      <c r="Y10244" s="20"/>
    </row>
    <row r="10245" spans="24:25">
      <c r="X10245" s="19"/>
      <c r="Y10245" s="20"/>
    </row>
    <row r="10246" spans="24:25">
      <c r="X10246" s="19"/>
      <c r="Y10246" s="20"/>
    </row>
    <row r="10247" spans="24:25">
      <c r="X10247" s="19"/>
      <c r="Y10247" s="20"/>
    </row>
    <row r="10248" spans="24:25">
      <c r="X10248" s="19"/>
      <c r="Y10248" s="20"/>
    </row>
    <row r="10249" spans="24:25">
      <c r="X10249" s="19"/>
      <c r="Y10249" s="20"/>
    </row>
    <row r="10250" spans="24:25">
      <c r="X10250" s="19"/>
      <c r="Y10250" s="20"/>
    </row>
    <row r="10251" spans="24:25">
      <c r="X10251" s="19"/>
      <c r="Y10251" s="20"/>
    </row>
    <row r="10252" spans="24:25">
      <c r="X10252" s="19"/>
      <c r="Y10252" s="20"/>
    </row>
    <row r="10253" spans="24:25">
      <c r="X10253" s="19"/>
      <c r="Y10253" s="20"/>
    </row>
    <row r="10254" spans="24:25">
      <c r="X10254" s="19"/>
      <c r="Y10254" s="20"/>
    </row>
    <row r="10255" spans="24:25">
      <c r="X10255" s="19"/>
      <c r="Y10255" s="20"/>
    </row>
    <row r="10256" spans="24:25">
      <c r="X10256" s="19"/>
      <c r="Y10256" s="20"/>
    </row>
    <row r="10257" spans="24:25">
      <c r="X10257" s="19"/>
      <c r="Y10257" s="20"/>
    </row>
    <row r="10258" spans="24:25">
      <c r="X10258" s="19"/>
      <c r="Y10258" s="20"/>
    </row>
    <row r="10259" spans="24:25">
      <c r="X10259" s="19"/>
      <c r="Y10259" s="20"/>
    </row>
    <row r="10260" spans="24:25">
      <c r="X10260" s="19"/>
      <c r="Y10260" s="20"/>
    </row>
    <row r="10261" spans="24:25">
      <c r="X10261" s="19"/>
      <c r="Y10261" s="20"/>
    </row>
    <row r="10262" spans="24:25">
      <c r="X10262" s="19"/>
      <c r="Y10262" s="20"/>
    </row>
    <row r="10263" spans="24:25">
      <c r="X10263" s="19"/>
      <c r="Y10263" s="20"/>
    </row>
    <row r="10264" spans="24:25">
      <c r="X10264" s="19"/>
      <c r="Y10264" s="20"/>
    </row>
    <row r="10265" spans="24:25">
      <c r="X10265" s="19"/>
      <c r="Y10265" s="20"/>
    </row>
    <row r="10266" spans="24:25">
      <c r="X10266" s="19"/>
      <c r="Y10266" s="20"/>
    </row>
    <row r="10267" spans="24:25">
      <c r="X10267" s="19"/>
      <c r="Y10267" s="20"/>
    </row>
    <row r="10268" spans="24:25">
      <c r="X10268" s="19"/>
      <c r="Y10268" s="20"/>
    </row>
    <row r="10269" spans="24:25">
      <c r="X10269" s="19"/>
      <c r="Y10269" s="20"/>
    </row>
    <row r="10270" spans="24:25">
      <c r="X10270" s="19"/>
      <c r="Y10270" s="20"/>
    </row>
    <row r="10271" spans="24:25">
      <c r="X10271" s="19"/>
      <c r="Y10271" s="20"/>
    </row>
    <row r="10272" spans="24:25">
      <c r="X10272" s="19"/>
      <c r="Y10272" s="20"/>
    </row>
    <row r="10273" spans="24:25">
      <c r="X10273" s="19"/>
      <c r="Y10273" s="20"/>
    </row>
    <row r="10274" spans="24:25">
      <c r="X10274" s="19"/>
      <c r="Y10274" s="20"/>
    </row>
    <row r="10275" spans="24:25">
      <c r="X10275" s="19"/>
      <c r="Y10275" s="20"/>
    </row>
    <row r="10276" spans="24:25">
      <c r="X10276" s="19"/>
      <c r="Y10276" s="20"/>
    </row>
    <row r="10277" spans="24:25">
      <c r="X10277" s="19"/>
      <c r="Y10277" s="20"/>
    </row>
    <row r="10278" spans="24:25">
      <c r="X10278" s="19"/>
      <c r="Y10278" s="20"/>
    </row>
    <row r="10279" spans="24:25">
      <c r="X10279" s="19"/>
      <c r="Y10279" s="20"/>
    </row>
    <row r="10280" spans="24:25">
      <c r="X10280" s="19"/>
      <c r="Y10280" s="20"/>
    </row>
    <row r="10281" spans="24:25">
      <c r="X10281" s="19"/>
      <c r="Y10281" s="20"/>
    </row>
    <row r="10282" spans="24:25">
      <c r="X10282" s="19"/>
      <c r="Y10282" s="20"/>
    </row>
    <row r="10283" spans="24:25">
      <c r="X10283" s="19"/>
      <c r="Y10283" s="20"/>
    </row>
    <row r="10284" spans="24:25">
      <c r="X10284" s="19"/>
      <c r="Y10284" s="20"/>
    </row>
    <row r="10285" spans="24:25">
      <c r="X10285" s="19"/>
      <c r="Y10285" s="20"/>
    </row>
    <row r="10286" spans="24:25">
      <c r="X10286" s="19"/>
      <c r="Y10286" s="20"/>
    </row>
    <row r="10287" spans="24:25">
      <c r="X10287" s="19"/>
      <c r="Y10287" s="20"/>
    </row>
    <row r="10288" spans="24:25">
      <c r="X10288" s="19"/>
      <c r="Y10288" s="20"/>
    </row>
    <row r="10289" spans="24:25">
      <c r="X10289" s="19"/>
      <c r="Y10289" s="20"/>
    </row>
    <row r="10290" spans="24:25">
      <c r="X10290" s="19"/>
      <c r="Y10290" s="20"/>
    </row>
    <row r="10291" spans="24:25">
      <c r="X10291" s="19"/>
      <c r="Y10291" s="20"/>
    </row>
    <row r="10292" spans="24:25">
      <c r="X10292" s="19"/>
      <c r="Y10292" s="20"/>
    </row>
    <row r="10293" spans="24:25">
      <c r="X10293" s="19"/>
      <c r="Y10293" s="20"/>
    </row>
    <row r="10294" spans="24:25">
      <c r="X10294" s="19"/>
      <c r="Y10294" s="20"/>
    </row>
    <row r="10295" spans="24:25">
      <c r="X10295" s="19"/>
      <c r="Y10295" s="20"/>
    </row>
    <row r="10296" spans="24:25">
      <c r="X10296" s="19"/>
      <c r="Y10296" s="20"/>
    </row>
    <row r="10297" spans="24:25">
      <c r="X10297" s="19"/>
      <c r="Y10297" s="20"/>
    </row>
    <row r="10298" spans="24:25">
      <c r="X10298" s="19"/>
      <c r="Y10298" s="20"/>
    </row>
    <row r="10299" spans="24:25">
      <c r="X10299" s="19"/>
      <c r="Y10299" s="20"/>
    </row>
    <row r="10300" spans="24:25">
      <c r="X10300" s="19"/>
      <c r="Y10300" s="20"/>
    </row>
    <row r="10301" spans="24:25">
      <c r="X10301" s="19"/>
      <c r="Y10301" s="20"/>
    </row>
    <row r="10302" spans="24:25">
      <c r="X10302" s="19"/>
      <c r="Y10302" s="20"/>
    </row>
    <row r="10303" spans="24:25">
      <c r="X10303" s="19"/>
      <c r="Y10303" s="20"/>
    </row>
    <row r="10304" spans="24:25">
      <c r="X10304" s="19"/>
      <c r="Y10304" s="20"/>
    </row>
    <row r="10305" spans="24:25">
      <c r="X10305" s="19"/>
      <c r="Y10305" s="20"/>
    </row>
    <row r="10306" spans="24:25">
      <c r="X10306" s="19"/>
      <c r="Y10306" s="20"/>
    </row>
    <row r="10307" spans="24:25">
      <c r="X10307" s="19"/>
      <c r="Y10307" s="20"/>
    </row>
    <row r="10308" spans="24:25">
      <c r="X10308" s="19"/>
      <c r="Y10308" s="20"/>
    </row>
    <row r="10309" spans="24:25">
      <c r="X10309" s="19"/>
      <c r="Y10309" s="20"/>
    </row>
    <row r="10310" spans="24:25">
      <c r="X10310" s="19"/>
      <c r="Y10310" s="20"/>
    </row>
    <row r="10311" spans="24:25">
      <c r="X10311" s="19"/>
      <c r="Y10311" s="20"/>
    </row>
    <row r="10312" spans="24:25">
      <c r="X10312" s="19"/>
      <c r="Y10312" s="20"/>
    </row>
    <row r="10313" spans="24:25">
      <c r="X10313" s="19"/>
      <c r="Y10313" s="20"/>
    </row>
    <row r="10314" spans="24:25">
      <c r="X10314" s="19"/>
      <c r="Y10314" s="20"/>
    </row>
    <row r="10315" spans="24:25">
      <c r="X10315" s="19"/>
      <c r="Y10315" s="20"/>
    </row>
    <row r="10316" spans="24:25">
      <c r="X10316" s="19"/>
      <c r="Y10316" s="20"/>
    </row>
    <row r="10317" spans="24:25">
      <c r="X10317" s="19"/>
      <c r="Y10317" s="20"/>
    </row>
    <row r="10318" spans="24:25">
      <c r="X10318" s="19"/>
      <c r="Y10318" s="20"/>
    </row>
    <row r="10319" spans="24:25">
      <c r="X10319" s="19"/>
      <c r="Y10319" s="20"/>
    </row>
    <row r="10320" spans="24:25">
      <c r="X10320" s="19"/>
      <c r="Y10320" s="20"/>
    </row>
    <row r="10321" spans="24:25">
      <c r="X10321" s="19"/>
      <c r="Y10321" s="20"/>
    </row>
    <row r="10322" spans="24:25">
      <c r="X10322" s="19"/>
      <c r="Y10322" s="20"/>
    </row>
    <row r="10323" spans="24:25">
      <c r="X10323" s="19"/>
      <c r="Y10323" s="20"/>
    </row>
    <row r="10324" spans="24:25">
      <c r="X10324" s="19"/>
      <c r="Y10324" s="20"/>
    </row>
    <row r="10325" spans="24:25">
      <c r="X10325" s="19"/>
      <c r="Y10325" s="20"/>
    </row>
    <row r="10326" spans="24:25">
      <c r="X10326" s="19"/>
      <c r="Y10326" s="20"/>
    </row>
    <row r="10327" spans="24:25">
      <c r="X10327" s="19"/>
      <c r="Y10327" s="20"/>
    </row>
    <row r="10328" spans="24:25">
      <c r="X10328" s="19"/>
      <c r="Y10328" s="20"/>
    </row>
    <row r="10329" spans="24:25">
      <c r="X10329" s="19"/>
      <c r="Y10329" s="20"/>
    </row>
    <row r="10330" spans="24:25">
      <c r="X10330" s="19"/>
      <c r="Y10330" s="20"/>
    </row>
    <row r="10331" spans="24:25">
      <c r="X10331" s="19"/>
      <c r="Y10331" s="20"/>
    </row>
    <row r="10332" spans="24:25">
      <c r="X10332" s="19"/>
      <c r="Y10332" s="20"/>
    </row>
    <row r="10333" spans="24:25">
      <c r="X10333" s="19"/>
      <c r="Y10333" s="20"/>
    </row>
    <row r="10334" spans="24:25">
      <c r="X10334" s="19"/>
      <c r="Y10334" s="20"/>
    </row>
    <row r="10335" spans="24:25">
      <c r="X10335" s="19"/>
      <c r="Y10335" s="20"/>
    </row>
    <row r="10336" spans="24:25">
      <c r="X10336" s="19"/>
      <c r="Y10336" s="20"/>
    </row>
    <row r="10337" spans="24:25">
      <c r="X10337" s="19"/>
      <c r="Y10337" s="20"/>
    </row>
    <row r="10338" spans="24:25">
      <c r="X10338" s="19"/>
      <c r="Y10338" s="20"/>
    </row>
    <row r="10339" spans="24:25">
      <c r="X10339" s="19"/>
      <c r="Y10339" s="20"/>
    </row>
    <row r="10340" spans="24:25">
      <c r="X10340" s="19"/>
      <c r="Y10340" s="20"/>
    </row>
    <row r="10341" spans="24:25">
      <c r="X10341" s="19"/>
      <c r="Y10341" s="20"/>
    </row>
    <row r="10342" spans="24:25">
      <c r="X10342" s="19"/>
      <c r="Y10342" s="20"/>
    </row>
    <row r="10343" spans="24:25">
      <c r="X10343" s="19"/>
      <c r="Y10343" s="20"/>
    </row>
    <row r="10344" spans="24:25">
      <c r="X10344" s="19"/>
      <c r="Y10344" s="20"/>
    </row>
    <row r="10345" spans="24:25">
      <c r="X10345" s="19"/>
      <c r="Y10345" s="20"/>
    </row>
    <row r="10346" spans="24:25">
      <c r="X10346" s="19"/>
      <c r="Y10346" s="20"/>
    </row>
    <row r="10347" spans="24:25">
      <c r="X10347" s="19"/>
      <c r="Y10347" s="20"/>
    </row>
    <row r="10348" spans="24:25">
      <c r="X10348" s="19"/>
      <c r="Y10348" s="20"/>
    </row>
    <row r="10349" spans="24:25">
      <c r="X10349" s="19"/>
      <c r="Y10349" s="20"/>
    </row>
    <row r="10350" spans="24:25">
      <c r="X10350" s="19"/>
      <c r="Y10350" s="20"/>
    </row>
    <row r="10351" spans="24:25">
      <c r="X10351" s="19"/>
      <c r="Y10351" s="20"/>
    </row>
    <row r="10352" spans="24:25">
      <c r="X10352" s="19"/>
      <c r="Y10352" s="20"/>
    </row>
    <row r="10353" spans="24:25">
      <c r="X10353" s="19"/>
      <c r="Y10353" s="20"/>
    </row>
    <row r="10354" spans="24:25">
      <c r="X10354" s="19"/>
      <c r="Y10354" s="20"/>
    </row>
    <row r="10355" spans="24:25">
      <c r="X10355" s="19"/>
      <c r="Y10355" s="20"/>
    </row>
    <row r="10356" spans="24:25">
      <c r="X10356" s="19"/>
      <c r="Y10356" s="20"/>
    </row>
    <row r="10357" spans="24:25">
      <c r="X10357" s="19"/>
      <c r="Y10357" s="20"/>
    </row>
    <row r="10358" spans="24:25">
      <c r="X10358" s="19"/>
      <c r="Y10358" s="20"/>
    </row>
    <row r="10359" spans="24:25">
      <c r="X10359" s="19"/>
      <c r="Y10359" s="20"/>
    </row>
    <row r="10360" spans="24:25">
      <c r="X10360" s="19"/>
      <c r="Y10360" s="20"/>
    </row>
    <row r="10361" spans="24:25">
      <c r="X10361" s="19"/>
      <c r="Y10361" s="20"/>
    </row>
    <row r="10362" spans="24:25">
      <c r="X10362" s="19"/>
      <c r="Y10362" s="20"/>
    </row>
    <row r="10363" spans="24:25">
      <c r="X10363" s="19"/>
      <c r="Y10363" s="20"/>
    </row>
    <row r="10364" spans="24:25">
      <c r="X10364" s="19"/>
      <c r="Y10364" s="20"/>
    </row>
    <row r="10365" spans="24:25">
      <c r="X10365" s="19"/>
      <c r="Y10365" s="20"/>
    </row>
    <row r="10366" spans="24:25">
      <c r="X10366" s="19"/>
      <c r="Y10366" s="20"/>
    </row>
    <row r="10367" spans="24:25">
      <c r="X10367" s="19"/>
      <c r="Y10367" s="20"/>
    </row>
    <row r="10368" spans="24:25">
      <c r="X10368" s="19"/>
      <c r="Y10368" s="20"/>
    </row>
    <row r="10369" spans="24:25">
      <c r="X10369" s="19"/>
      <c r="Y10369" s="20"/>
    </row>
    <row r="10370" spans="24:25">
      <c r="X10370" s="19"/>
      <c r="Y10370" s="20"/>
    </row>
    <row r="10371" spans="24:25">
      <c r="X10371" s="19"/>
      <c r="Y10371" s="20"/>
    </row>
    <row r="10372" spans="24:25">
      <c r="X10372" s="19"/>
      <c r="Y10372" s="20"/>
    </row>
    <row r="10373" spans="24:25">
      <c r="X10373" s="19"/>
      <c r="Y10373" s="20"/>
    </row>
    <row r="10374" spans="24:25">
      <c r="X10374" s="19"/>
      <c r="Y10374" s="20"/>
    </row>
    <row r="10375" spans="24:25">
      <c r="X10375" s="19"/>
      <c r="Y10375" s="20"/>
    </row>
    <row r="10376" spans="24:25">
      <c r="X10376" s="19"/>
      <c r="Y10376" s="20"/>
    </row>
    <row r="10377" spans="24:25">
      <c r="X10377" s="19"/>
      <c r="Y10377" s="20"/>
    </row>
    <row r="10378" spans="24:25">
      <c r="X10378" s="19"/>
      <c r="Y10378" s="20"/>
    </row>
    <row r="10379" spans="24:25">
      <c r="X10379" s="19"/>
      <c r="Y10379" s="20"/>
    </row>
    <row r="10380" spans="24:25">
      <c r="X10380" s="19"/>
      <c r="Y10380" s="20"/>
    </row>
    <row r="10381" spans="24:25">
      <c r="X10381" s="19"/>
      <c r="Y10381" s="20"/>
    </row>
    <row r="10382" spans="24:25">
      <c r="X10382" s="19"/>
      <c r="Y10382" s="20"/>
    </row>
    <row r="10383" spans="24:25">
      <c r="X10383" s="19"/>
      <c r="Y10383" s="20"/>
    </row>
    <row r="10384" spans="24:25">
      <c r="X10384" s="19"/>
      <c r="Y10384" s="20"/>
    </row>
    <row r="10385" spans="24:25">
      <c r="X10385" s="19"/>
      <c r="Y10385" s="20"/>
    </row>
    <row r="10386" spans="24:25">
      <c r="X10386" s="19"/>
      <c r="Y10386" s="20"/>
    </row>
    <row r="10387" spans="24:25">
      <c r="X10387" s="19"/>
      <c r="Y10387" s="20"/>
    </row>
    <row r="10388" spans="24:25">
      <c r="X10388" s="19"/>
      <c r="Y10388" s="20"/>
    </row>
    <row r="10389" spans="24:25">
      <c r="X10389" s="19"/>
      <c r="Y10389" s="20"/>
    </row>
    <row r="10390" spans="24:25">
      <c r="X10390" s="19"/>
      <c r="Y10390" s="20"/>
    </row>
    <row r="10391" spans="24:25">
      <c r="X10391" s="19"/>
      <c r="Y10391" s="20"/>
    </row>
    <row r="10392" spans="24:25">
      <c r="X10392" s="19"/>
      <c r="Y10392" s="20"/>
    </row>
    <row r="10393" spans="24:25">
      <c r="X10393" s="19"/>
      <c r="Y10393" s="20"/>
    </row>
    <row r="10394" spans="24:25">
      <c r="X10394" s="19"/>
      <c r="Y10394" s="20"/>
    </row>
    <row r="10395" spans="24:25">
      <c r="X10395" s="19"/>
      <c r="Y10395" s="20"/>
    </row>
    <row r="10396" spans="24:25">
      <c r="X10396" s="19"/>
      <c r="Y10396" s="20"/>
    </row>
    <row r="10397" spans="24:25">
      <c r="X10397" s="19"/>
      <c r="Y10397" s="20"/>
    </row>
    <row r="10398" spans="24:25">
      <c r="X10398" s="19"/>
      <c r="Y10398" s="20"/>
    </row>
    <row r="10399" spans="24:25">
      <c r="X10399" s="19"/>
      <c r="Y10399" s="20"/>
    </row>
    <row r="10400" spans="24:25">
      <c r="X10400" s="19"/>
      <c r="Y10400" s="20"/>
    </row>
    <row r="10401" spans="24:25">
      <c r="X10401" s="19"/>
      <c r="Y10401" s="20"/>
    </row>
    <row r="10402" spans="24:25">
      <c r="X10402" s="19"/>
      <c r="Y10402" s="20"/>
    </row>
    <row r="10403" spans="24:25">
      <c r="X10403" s="19"/>
      <c r="Y10403" s="20"/>
    </row>
    <row r="10404" spans="24:25">
      <c r="X10404" s="19"/>
      <c r="Y10404" s="20"/>
    </row>
    <row r="10405" spans="24:25">
      <c r="X10405" s="19"/>
      <c r="Y10405" s="20"/>
    </row>
    <row r="10406" spans="24:25">
      <c r="X10406" s="19"/>
      <c r="Y10406" s="20"/>
    </row>
    <row r="10407" spans="24:25">
      <c r="X10407" s="19"/>
      <c r="Y10407" s="20"/>
    </row>
    <row r="10408" spans="24:25">
      <c r="X10408" s="19"/>
      <c r="Y10408" s="20"/>
    </row>
    <row r="10409" spans="24:25">
      <c r="X10409" s="19"/>
      <c r="Y10409" s="20"/>
    </row>
    <row r="10410" spans="24:25">
      <c r="X10410" s="19"/>
      <c r="Y10410" s="20"/>
    </row>
    <row r="10411" spans="24:25">
      <c r="X10411" s="19"/>
      <c r="Y10411" s="20"/>
    </row>
    <row r="10412" spans="24:25">
      <c r="X10412" s="19"/>
      <c r="Y10412" s="20"/>
    </row>
    <row r="10413" spans="24:25">
      <c r="X10413" s="19"/>
      <c r="Y10413" s="20"/>
    </row>
    <row r="10414" spans="24:25">
      <c r="X10414" s="19"/>
      <c r="Y10414" s="20"/>
    </row>
    <row r="10415" spans="24:25">
      <c r="X10415" s="19"/>
      <c r="Y10415" s="20"/>
    </row>
    <row r="10416" spans="24:25">
      <c r="X10416" s="19"/>
      <c r="Y10416" s="20"/>
    </row>
    <row r="10417" spans="24:25">
      <c r="X10417" s="19"/>
      <c r="Y10417" s="20"/>
    </row>
    <row r="10418" spans="24:25">
      <c r="X10418" s="19"/>
      <c r="Y10418" s="20"/>
    </row>
    <row r="10419" spans="24:25">
      <c r="X10419" s="19"/>
      <c r="Y10419" s="20"/>
    </row>
    <row r="10420" spans="24:25">
      <c r="X10420" s="19"/>
      <c r="Y10420" s="20"/>
    </row>
    <row r="10421" spans="24:25">
      <c r="X10421" s="19"/>
      <c r="Y10421" s="20"/>
    </row>
    <row r="10422" spans="24:25">
      <c r="X10422" s="19"/>
      <c r="Y10422" s="20"/>
    </row>
    <row r="10423" spans="24:25">
      <c r="X10423" s="19"/>
      <c r="Y10423" s="20"/>
    </row>
    <row r="10424" spans="24:25">
      <c r="X10424" s="19"/>
      <c r="Y10424" s="20"/>
    </row>
    <row r="10425" spans="24:25">
      <c r="X10425" s="19"/>
      <c r="Y10425" s="20"/>
    </row>
    <row r="10426" spans="24:25">
      <c r="X10426" s="19"/>
      <c r="Y10426" s="20"/>
    </row>
    <row r="10427" spans="24:25">
      <c r="X10427" s="19"/>
      <c r="Y10427" s="20"/>
    </row>
    <row r="10428" spans="24:25">
      <c r="X10428" s="19"/>
      <c r="Y10428" s="20"/>
    </row>
    <row r="10429" spans="24:25">
      <c r="X10429" s="19"/>
      <c r="Y10429" s="20"/>
    </row>
    <row r="10430" spans="24:25">
      <c r="X10430" s="19"/>
      <c r="Y10430" s="20"/>
    </row>
    <row r="10431" spans="24:25">
      <c r="X10431" s="19"/>
      <c r="Y10431" s="20"/>
    </row>
    <row r="10432" spans="24:25">
      <c r="X10432" s="19"/>
      <c r="Y10432" s="20"/>
    </row>
    <row r="10433" spans="24:25">
      <c r="X10433" s="19"/>
      <c r="Y10433" s="20"/>
    </row>
    <row r="10434" spans="24:25">
      <c r="X10434" s="19"/>
      <c r="Y10434" s="20"/>
    </row>
    <row r="10435" spans="24:25">
      <c r="X10435" s="19"/>
      <c r="Y10435" s="20"/>
    </row>
    <row r="10436" spans="24:25">
      <c r="X10436" s="19"/>
      <c r="Y10436" s="20"/>
    </row>
    <row r="10437" spans="24:25">
      <c r="X10437" s="19"/>
      <c r="Y10437" s="20"/>
    </row>
    <row r="10438" spans="24:25">
      <c r="X10438" s="19"/>
      <c r="Y10438" s="20"/>
    </row>
    <row r="10439" spans="24:25">
      <c r="X10439" s="19"/>
      <c r="Y10439" s="20"/>
    </row>
    <row r="10440" spans="24:25">
      <c r="X10440" s="19"/>
      <c r="Y10440" s="20"/>
    </row>
    <row r="10441" spans="24:25">
      <c r="X10441" s="19"/>
      <c r="Y10441" s="20"/>
    </row>
    <row r="10442" spans="24:25">
      <c r="X10442" s="19"/>
      <c r="Y10442" s="20"/>
    </row>
    <row r="10443" spans="24:25">
      <c r="X10443" s="19"/>
      <c r="Y10443" s="20"/>
    </row>
    <row r="10444" spans="24:25">
      <c r="X10444" s="19"/>
      <c r="Y10444" s="20"/>
    </row>
    <row r="10445" spans="24:25">
      <c r="X10445" s="19"/>
      <c r="Y10445" s="20"/>
    </row>
    <row r="10446" spans="24:25">
      <c r="X10446" s="19"/>
      <c r="Y10446" s="20"/>
    </row>
    <row r="10447" spans="24:25">
      <c r="X10447" s="19"/>
      <c r="Y10447" s="20"/>
    </row>
    <row r="10448" spans="24:25">
      <c r="X10448" s="19"/>
      <c r="Y10448" s="20"/>
    </row>
    <row r="10449" spans="24:25">
      <c r="X10449" s="19"/>
      <c r="Y10449" s="20"/>
    </row>
    <row r="10450" spans="24:25">
      <c r="X10450" s="19"/>
      <c r="Y10450" s="20"/>
    </row>
    <row r="10451" spans="24:25">
      <c r="X10451" s="19"/>
      <c r="Y10451" s="20"/>
    </row>
    <row r="10452" spans="24:25">
      <c r="X10452" s="19"/>
      <c r="Y10452" s="20"/>
    </row>
    <row r="10453" spans="24:25">
      <c r="X10453" s="19"/>
      <c r="Y10453" s="20"/>
    </row>
    <row r="10454" spans="24:25">
      <c r="X10454" s="19"/>
      <c r="Y10454" s="20"/>
    </row>
    <row r="10455" spans="24:25">
      <c r="X10455" s="19"/>
      <c r="Y10455" s="20"/>
    </row>
    <row r="10456" spans="24:25">
      <c r="X10456" s="19"/>
      <c r="Y10456" s="20"/>
    </row>
    <row r="10457" spans="24:25">
      <c r="X10457" s="19"/>
      <c r="Y10457" s="20"/>
    </row>
    <row r="10458" spans="24:25">
      <c r="X10458" s="19"/>
      <c r="Y10458" s="20"/>
    </row>
    <row r="10459" spans="24:25">
      <c r="X10459" s="19"/>
      <c r="Y10459" s="20"/>
    </row>
    <row r="10460" spans="24:25">
      <c r="X10460" s="19"/>
      <c r="Y10460" s="20"/>
    </row>
    <row r="10461" spans="24:25">
      <c r="X10461" s="19"/>
      <c r="Y10461" s="20"/>
    </row>
    <row r="10462" spans="24:25">
      <c r="X10462" s="19"/>
      <c r="Y10462" s="20"/>
    </row>
    <row r="10463" spans="24:25">
      <c r="X10463" s="19"/>
      <c r="Y10463" s="20"/>
    </row>
    <row r="10464" spans="24:25">
      <c r="X10464" s="19"/>
      <c r="Y10464" s="20"/>
    </row>
    <row r="10465" spans="24:25">
      <c r="X10465" s="19"/>
      <c r="Y10465" s="20"/>
    </row>
    <row r="10466" spans="24:25">
      <c r="X10466" s="19"/>
      <c r="Y10466" s="20"/>
    </row>
    <row r="10467" spans="24:25">
      <c r="X10467" s="19"/>
      <c r="Y10467" s="20"/>
    </row>
    <row r="10468" spans="24:25">
      <c r="X10468" s="19"/>
      <c r="Y10468" s="20"/>
    </row>
    <row r="10469" spans="24:25">
      <c r="X10469" s="19"/>
      <c r="Y10469" s="20"/>
    </row>
    <row r="10470" spans="24:25">
      <c r="X10470" s="19"/>
      <c r="Y10470" s="20"/>
    </row>
    <row r="10471" spans="24:25">
      <c r="X10471" s="19"/>
      <c r="Y10471" s="20"/>
    </row>
    <row r="10472" spans="24:25">
      <c r="X10472" s="19"/>
      <c r="Y10472" s="20"/>
    </row>
    <row r="10473" spans="24:25">
      <c r="X10473" s="19"/>
      <c r="Y10473" s="20"/>
    </row>
    <row r="10474" spans="24:25">
      <c r="X10474" s="19"/>
      <c r="Y10474" s="20"/>
    </row>
    <row r="10475" spans="24:25">
      <c r="X10475" s="19"/>
      <c r="Y10475" s="20"/>
    </row>
    <row r="10476" spans="24:25">
      <c r="X10476" s="19"/>
      <c r="Y10476" s="20"/>
    </row>
    <row r="10477" spans="24:25">
      <c r="X10477" s="19"/>
      <c r="Y10477" s="20"/>
    </row>
    <row r="10478" spans="24:25">
      <c r="X10478" s="19"/>
      <c r="Y10478" s="20"/>
    </row>
    <row r="10479" spans="24:25">
      <c r="X10479" s="19"/>
      <c r="Y10479" s="20"/>
    </row>
    <row r="10480" spans="24:25">
      <c r="X10480" s="19"/>
      <c r="Y10480" s="20"/>
    </row>
    <row r="10481" spans="24:25">
      <c r="X10481" s="19"/>
      <c r="Y10481" s="20"/>
    </row>
    <row r="10482" spans="24:25">
      <c r="X10482" s="19"/>
      <c r="Y10482" s="20"/>
    </row>
    <row r="10483" spans="24:25">
      <c r="X10483" s="19"/>
      <c r="Y10483" s="20"/>
    </row>
    <row r="10484" spans="24:25">
      <c r="X10484" s="19"/>
      <c r="Y10484" s="20"/>
    </row>
    <row r="10485" spans="24:25">
      <c r="X10485" s="19"/>
      <c r="Y10485" s="20"/>
    </row>
    <row r="10486" spans="24:25">
      <c r="X10486" s="19"/>
      <c r="Y10486" s="20"/>
    </row>
    <row r="10487" spans="24:25">
      <c r="X10487" s="19"/>
      <c r="Y10487" s="20"/>
    </row>
    <row r="10488" spans="24:25">
      <c r="X10488" s="19"/>
      <c r="Y10488" s="20"/>
    </row>
    <row r="10489" spans="24:25">
      <c r="X10489" s="19"/>
      <c r="Y10489" s="20"/>
    </row>
    <row r="10490" spans="24:25">
      <c r="X10490" s="19"/>
      <c r="Y10490" s="20"/>
    </row>
    <row r="10491" spans="24:25">
      <c r="X10491" s="19"/>
      <c r="Y10491" s="20"/>
    </row>
    <row r="10492" spans="24:25">
      <c r="X10492" s="19"/>
      <c r="Y10492" s="20"/>
    </row>
    <row r="10493" spans="24:25">
      <c r="X10493" s="19"/>
      <c r="Y10493" s="20"/>
    </row>
    <row r="10494" spans="24:25">
      <c r="X10494" s="19"/>
      <c r="Y10494" s="20"/>
    </row>
    <row r="10495" spans="24:25">
      <c r="X10495" s="19"/>
      <c r="Y10495" s="20"/>
    </row>
    <row r="10496" spans="24:25">
      <c r="X10496" s="19"/>
      <c r="Y10496" s="20"/>
    </row>
    <row r="10497" spans="24:25">
      <c r="X10497" s="19"/>
      <c r="Y10497" s="20"/>
    </row>
    <row r="10498" spans="24:25">
      <c r="X10498" s="19"/>
      <c r="Y10498" s="20"/>
    </row>
    <row r="10499" spans="24:25">
      <c r="X10499" s="19"/>
      <c r="Y10499" s="20"/>
    </row>
    <row r="10500" spans="24:25">
      <c r="X10500" s="19"/>
      <c r="Y10500" s="20"/>
    </row>
    <row r="10501" spans="24:25">
      <c r="X10501" s="19"/>
      <c r="Y10501" s="20"/>
    </row>
    <row r="10502" spans="24:25">
      <c r="X10502" s="19"/>
      <c r="Y10502" s="20"/>
    </row>
    <row r="10503" spans="24:25">
      <c r="X10503" s="19"/>
      <c r="Y10503" s="20"/>
    </row>
    <row r="10504" spans="24:25">
      <c r="X10504" s="19"/>
      <c r="Y10504" s="20"/>
    </row>
    <row r="10505" spans="24:25">
      <c r="X10505" s="19"/>
      <c r="Y10505" s="20"/>
    </row>
    <row r="10506" spans="24:25">
      <c r="X10506" s="19"/>
      <c r="Y10506" s="20"/>
    </row>
    <row r="10507" spans="24:25">
      <c r="X10507" s="19"/>
      <c r="Y10507" s="20"/>
    </row>
    <row r="10508" spans="24:25">
      <c r="X10508" s="19"/>
      <c r="Y10508" s="20"/>
    </row>
    <row r="10509" spans="24:25">
      <c r="X10509" s="19"/>
      <c r="Y10509" s="20"/>
    </row>
    <row r="10510" spans="24:25">
      <c r="X10510" s="19"/>
      <c r="Y10510" s="20"/>
    </row>
    <row r="10511" spans="24:25">
      <c r="X10511" s="19"/>
      <c r="Y10511" s="20"/>
    </row>
    <row r="10512" spans="24:25">
      <c r="X10512" s="19"/>
      <c r="Y10512" s="20"/>
    </row>
    <row r="10513" spans="24:25">
      <c r="X10513" s="19"/>
      <c r="Y10513" s="20"/>
    </row>
    <row r="10514" spans="24:25">
      <c r="X10514" s="19"/>
      <c r="Y10514" s="20"/>
    </row>
    <row r="10515" spans="24:25">
      <c r="X10515" s="19"/>
      <c r="Y10515" s="20"/>
    </row>
    <row r="10516" spans="24:25">
      <c r="X10516" s="19"/>
      <c r="Y10516" s="20"/>
    </row>
    <row r="10517" spans="24:25">
      <c r="X10517" s="19"/>
      <c r="Y10517" s="20"/>
    </row>
    <row r="10518" spans="24:25">
      <c r="X10518" s="19"/>
      <c r="Y10518" s="20"/>
    </row>
    <row r="10519" spans="24:25">
      <c r="X10519" s="19"/>
      <c r="Y10519" s="20"/>
    </row>
    <row r="10520" spans="24:25">
      <c r="X10520" s="19"/>
      <c r="Y10520" s="20"/>
    </row>
    <row r="10521" spans="24:25">
      <c r="X10521" s="19"/>
      <c r="Y10521" s="20"/>
    </row>
    <row r="10522" spans="24:25">
      <c r="X10522" s="19"/>
      <c r="Y10522" s="20"/>
    </row>
    <row r="10523" spans="24:25">
      <c r="X10523" s="19"/>
      <c r="Y10523" s="20"/>
    </row>
    <row r="10524" spans="24:25">
      <c r="X10524" s="19"/>
      <c r="Y10524" s="20"/>
    </row>
    <row r="10525" spans="24:25">
      <c r="X10525" s="19"/>
      <c r="Y10525" s="20"/>
    </row>
    <row r="10526" spans="24:25">
      <c r="X10526" s="19"/>
      <c r="Y10526" s="20"/>
    </row>
    <row r="10527" spans="24:25">
      <c r="X10527" s="19"/>
      <c r="Y10527" s="20"/>
    </row>
    <row r="10528" spans="24:25">
      <c r="X10528" s="19"/>
      <c r="Y10528" s="20"/>
    </row>
    <row r="10529" spans="24:25">
      <c r="X10529" s="19"/>
      <c r="Y10529" s="20"/>
    </row>
    <row r="10530" spans="24:25">
      <c r="X10530" s="19"/>
      <c r="Y10530" s="20"/>
    </row>
    <row r="10531" spans="24:25">
      <c r="X10531" s="19"/>
      <c r="Y10531" s="20"/>
    </row>
    <row r="10532" spans="24:25">
      <c r="X10532" s="19"/>
      <c r="Y10532" s="20"/>
    </row>
    <row r="10533" spans="24:25">
      <c r="X10533" s="19"/>
      <c r="Y10533" s="20"/>
    </row>
    <row r="10534" spans="24:25">
      <c r="X10534" s="19"/>
      <c r="Y10534" s="20"/>
    </row>
    <row r="10535" spans="24:25">
      <c r="X10535" s="19"/>
      <c r="Y10535" s="20"/>
    </row>
    <row r="10536" spans="24:25">
      <c r="X10536" s="19"/>
      <c r="Y10536" s="20"/>
    </row>
    <row r="10537" spans="24:25">
      <c r="X10537" s="19"/>
      <c r="Y10537" s="20"/>
    </row>
    <row r="10538" spans="24:25">
      <c r="X10538" s="19"/>
      <c r="Y10538" s="20"/>
    </row>
    <row r="10539" spans="24:25">
      <c r="X10539" s="19"/>
      <c r="Y10539" s="20"/>
    </row>
    <row r="10540" spans="24:25">
      <c r="X10540" s="19"/>
      <c r="Y10540" s="20"/>
    </row>
    <row r="10541" spans="24:25">
      <c r="X10541" s="19"/>
      <c r="Y10541" s="20"/>
    </row>
    <row r="10542" spans="24:25">
      <c r="X10542" s="19"/>
      <c r="Y10542" s="20"/>
    </row>
    <row r="10543" spans="24:25">
      <c r="X10543" s="19"/>
      <c r="Y10543" s="20"/>
    </row>
    <row r="10544" spans="24:25">
      <c r="X10544" s="19"/>
      <c r="Y10544" s="20"/>
    </row>
    <row r="10545" spans="24:25">
      <c r="X10545" s="19"/>
      <c r="Y10545" s="20"/>
    </row>
    <row r="10546" spans="24:25">
      <c r="X10546" s="19"/>
      <c r="Y10546" s="20"/>
    </row>
    <row r="10547" spans="24:25">
      <c r="X10547" s="19"/>
      <c r="Y10547" s="20"/>
    </row>
    <row r="10548" spans="24:25">
      <c r="X10548" s="19"/>
      <c r="Y10548" s="20"/>
    </row>
    <row r="10549" spans="24:25">
      <c r="X10549" s="19"/>
      <c r="Y10549" s="20"/>
    </row>
    <row r="10550" spans="24:25">
      <c r="X10550" s="19"/>
      <c r="Y10550" s="20"/>
    </row>
    <row r="10551" spans="24:25">
      <c r="X10551" s="19"/>
      <c r="Y10551" s="20"/>
    </row>
    <row r="10552" spans="24:25">
      <c r="X10552" s="19"/>
      <c r="Y10552" s="20"/>
    </row>
    <row r="10553" spans="24:25">
      <c r="X10553" s="19"/>
      <c r="Y10553" s="20"/>
    </row>
    <row r="10554" spans="24:25">
      <c r="X10554" s="19"/>
      <c r="Y10554" s="20"/>
    </row>
    <row r="10555" spans="24:25">
      <c r="X10555" s="19"/>
      <c r="Y10555" s="20"/>
    </row>
    <row r="10556" spans="24:25">
      <c r="X10556" s="19"/>
      <c r="Y10556" s="20"/>
    </row>
    <row r="10557" spans="24:25">
      <c r="X10557" s="19"/>
      <c r="Y10557" s="20"/>
    </row>
    <row r="10558" spans="24:25">
      <c r="X10558" s="19"/>
      <c r="Y10558" s="20"/>
    </row>
    <row r="10559" spans="24:25">
      <c r="X10559" s="19"/>
      <c r="Y10559" s="20"/>
    </row>
    <row r="10560" spans="24:25">
      <c r="X10560" s="19"/>
      <c r="Y10560" s="20"/>
    </row>
    <row r="10561" spans="24:25">
      <c r="X10561" s="19"/>
      <c r="Y10561" s="20"/>
    </row>
    <row r="10562" spans="24:25">
      <c r="X10562" s="19"/>
      <c r="Y10562" s="20"/>
    </row>
    <row r="10563" spans="24:25">
      <c r="X10563" s="19"/>
      <c r="Y10563" s="20"/>
    </row>
    <row r="10564" spans="24:25">
      <c r="X10564" s="19"/>
      <c r="Y10564" s="20"/>
    </row>
    <row r="10565" spans="24:25">
      <c r="X10565" s="19"/>
      <c r="Y10565" s="20"/>
    </row>
    <row r="10566" spans="24:25">
      <c r="X10566" s="19"/>
      <c r="Y10566" s="20"/>
    </row>
    <row r="10567" spans="24:25">
      <c r="X10567" s="19"/>
      <c r="Y10567" s="20"/>
    </row>
    <row r="10568" spans="24:25">
      <c r="X10568" s="19"/>
      <c r="Y10568" s="20"/>
    </row>
    <row r="10569" spans="24:25">
      <c r="X10569" s="19"/>
      <c r="Y10569" s="20"/>
    </row>
    <row r="10570" spans="24:25">
      <c r="X10570" s="19"/>
      <c r="Y10570" s="20"/>
    </row>
    <row r="10571" spans="24:25">
      <c r="X10571" s="19"/>
      <c r="Y10571" s="20"/>
    </row>
    <row r="10572" spans="24:25">
      <c r="X10572" s="19"/>
      <c r="Y10572" s="20"/>
    </row>
    <row r="10573" spans="24:25">
      <c r="X10573" s="19"/>
      <c r="Y10573" s="20"/>
    </row>
    <row r="10574" spans="24:25">
      <c r="X10574" s="19"/>
      <c r="Y10574" s="20"/>
    </row>
    <row r="10575" spans="24:25">
      <c r="X10575" s="19"/>
      <c r="Y10575" s="20"/>
    </row>
    <row r="10576" spans="24:25">
      <c r="X10576" s="19"/>
      <c r="Y10576" s="20"/>
    </row>
    <row r="10577" spans="24:25">
      <c r="X10577" s="19"/>
      <c r="Y10577" s="20"/>
    </row>
    <row r="10578" spans="24:25">
      <c r="X10578" s="19"/>
      <c r="Y10578" s="20"/>
    </row>
    <row r="10579" spans="24:25">
      <c r="X10579" s="19"/>
      <c r="Y10579" s="20"/>
    </row>
    <row r="10580" spans="24:25">
      <c r="X10580" s="19"/>
      <c r="Y10580" s="20"/>
    </row>
    <row r="10581" spans="24:25">
      <c r="X10581" s="19"/>
      <c r="Y10581" s="20"/>
    </row>
    <row r="10582" spans="24:25">
      <c r="X10582" s="19"/>
      <c r="Y10582" s="20"/>
    </row>
    <row r="10583" spans="24:25">
      <c r="X10583" s="19"/>
      <c r="Y10583" s="20"/>
    </row>
    <row r="10584" spans="24:25">
      <c r="X10584" s="19"/>
      <c r="Y10584" s="20"/>
    </row>
    <row r="10585" spans="24:25">
      <c r="X10585" s="19"/>
      <c r="Y10585" s="20"/>
    </row>
    <row r="10586" spans="24:25">
      <c r="X10586" s="19"/>
      <c r="Y10586" s="20"/>
    </row>
    <row r="10587" spans="24:25">
      <c r="X10587" s="19"/>
      <c r="Y10587" s="20"/>
    </row>
    <row r="10588" spans="24:25">
      <c r="X10588" s="19"/>
      <c r="Y10588" s="20"/>
    </row>
    <row r="10589" spans="24:25">
      <c r="X10589" s="19"/>
      <c r="Y10589" s="20"/>
    </row>
    <row r="10590" spans="24:25">
      <c r="X10590" s="19"/>
      <c r="Y10590" s="20"/>
    </row>
    <row r="10591" spans="24:25">
      <c r="X10591" s="19"/>
      <c r="Y10591" s="20"/>
    </row>
    <row r="10592" spans="24:25">
      <c r="X10592" s="19"/>
      <c r="Y10592" s="20"/>
    </row>
    <row r="10593" spans="24:25">
      <c r="X10593" s="19"/>
      <c r="Y10593" s="20"/>
    </row>
    <row r="10594" spans="24:25">
      <c r="X10594" s="19"/>
      <c r="Y10594" s="20"/>
    </row>
    <row r="10595" spans="24:25">
      <c r="X10595" s="19"/>
      <c r="Y10595" s="20"/>
    </row>
    <row r="10596" spans="24:25">
      <c r="X10596" s="19"/>
      <c r="Y10596" s="20"/>
    </row>
    <row r="10597" spans="24:25">
      <c r="X10597" s="19"/>
      <c r="Y10597" s="20"/>
    </row>
    <row r="10598" spans="24:25">
      <c r="X10598" s="19"/>
      <c r="Y10598" s="20"/>
    </row>
    <row r="10599" spans="24:25">
      <c r="X10599" s="19"/>
      <c r="Y10599" s="20"/>
    </row>
    <row r="10600" spans="24:25">
      <c r="X10600" s="19"/>
      <c r="Y10600" s="20"/>
    </row>
    <row r="10601" spans="24:25">
      <c r="X10601" s="19"/>
      <c r="Y10601" s="20"/>
    </row>
    <row r="10602" spans="24:25">
      <c r="X10602" s="19"/>
      <c r="Y10602" s="20"/>
    </row>
    <row r="10603" spans="24:25">
      <c r="X10603" s="19"/>
      <c r="Y10603" s="20"/>
    </row>
    <row r="10604" spans="24:25">
      <c r="X10604" s="19"/>
      <c r="Y10604" s="20"/>
    </row>
    <row r="10605" spans="24:25">
      <c r="X10605" s="19"/>
      <c r="Y10605" s="20"/>
    </row>
    <row r="10606" spans="24:25">
      <c r="X10606" s="19"/>
      <c r="Y10606" s="20"/>
    </row>
    <row r="10607" spans="24:25">
      <c r="X10607" s="19"/>
      <c r="Y10607" s="20"/>
    </row>
    <row r="10608" spans="24:25">
      <c r="X10608" s="19"/>
      <c r="Y10608" s="20"/>
    </row>
    <row r="10609" spans="24:25">
      <c r="X10609" s="19"/>
      <c r="Y10609" s="20"/>
    </row>
    <row r="10610" spans="24:25">
      <c r="X10610" s="19"/>
      <c r="Y10610" s="20"/>
    </row>
    <row r="10611" spans="24:25">
      <c r="X10611" s="19"/>
      <c r="Y10611" s="20"/>
    </row>
    <row r="10612" spans="24:25">
      <c r="X10612" s="19"/>
      <c r="Y10612" s="20"/>
    </row>
    <row r="10613" spans="24:25">
      <c r="X10613" s="19"/>
      <c r="Y10613" s="20"/>
    </row>
    <row r="10614" spans="24:25">
      <c r="X10614" s="19"/>
      <c r="Y10614" s="20"/>
    </row>
    <row r="10615" spans="24:25">
      <c r="X10615" s="19"/>
      <c r="Y10615" s="20"/>
    </row>
    <row r="10616" spans="24:25">
      <c r="X10616" s="19"/>
      <c r="Y10616" s="20"/>
    </row>
    <row r="10617" spans="24:25">
      <c r="X10617" s="19"/>
      <c r="Y10617" s="20"/>
    </row>
    <row r="10618" spans="24:25">
      <c r="X10618" s="19"/>
      <c r="Y10618" s="20"/>
    </row>
    <row r="10619" spans="24:25">
      <c r="X10619" s="19"/>
      <c r="Y10619" s="20"/>
    </row>
    <row r="10620" spans="24:25">
      <c r="X10620" s="19"/>
      <c r="Y10620" s="20"/>
    </row>
    <row r="10621" spans="24:25">
      <c r="X10621" s="19"/>
      <c r="Y10621" s="20"/>
    </row>
    <row r="10622" spans="24:25">
      <c r="X10622" s="19"/>
      <c r="Y10622" s="20"/>
    </row>
    <row r="10623" spans="24:25">
      <c r="X10623" s="19"/>
      <c r="Y10623" s="20"/>
    </row>
    <row r="10624" spans="24:25">
      <c r="X10624" s="19"/>
      <c r="Y10624" s="20"/>
    </row>
    <row r="10625" spans="24:25">
      <c r="X10625" s="19"/>
      <c r="Y10625" s="20"/>
    </row>
    <row r="10626" spans="24:25">
      <c r="X10626" s="19"/>
      <c r="Y10626" s="20"/>
    </row>
    <row r="10627" spans="24:25">
      <c r="X10627" s="19"/>
      <c r="Y10627" s="20"/>
    </row>
    <row r="10628" spans="24:25">
      <c r="X10628" s="19"/>
      <c r="Y10628" s="20"/>
    </row>
    <row r="10629" spans="24:25">
      <c r="X10629" s="19"/>
      <c r="Y10629" s="20"/>
    </row>
    <row r="10630" spans="24:25">
      <c r="X10630" s="19"/>
      <c r="Y10630" s="20"/>
    </row>
    <row r="10631" spans="24:25">
      <c r="X10631" s="19"/>
      <c r="Y10631" s="20"/>
    </row>
    <row r="10632" spans="24:25">
      <c r="X10632" s="19"/>
      <c r="Y10632" s="20"/>
    </row>
    <row r="10633" spans="24:25">
      <c r="X10633" s="19"/>
      <c r="Y10633" s="20"/>
    </row>
    <row r="10634" spans="24:25">
      <c r="X10634" s="19"/>
      <c r="Y10634" s="20"/>
    </row>
    <row r="10635" spans="24:25">
      <c r="X10635" s="19"/>
      <c r="Y10635" s="20"/>
    </row>
    <row r="10636" spans="24:25">
      <c r="X10636" s="19"/>
      <c r="Y10636" s="20"/>
    </row>
    <row r="10637" spans="24:25">
      <c r="X10637" s="19"/>
      <c r="Y10637" s="20"/>
    </row>
    <row r="10638" spans="24:25">
      <c r="X10638" s="19"/>
      <c r="Y10638" s="20"/>
    </row>
    <row r="10639" spans="24:25">
      <c r="X10639" s="19"/>
      <c r="Y10639" s="20"/>
    </row>
    <row r="10640" spans="24:25">
      <c r="X10640" s="19"/>
      <c r="Y10640" s="20"/>
    </row>
    <row r="10641" spans="24:25">
      <c r="X10641" s="19"/>
      <c r="Y10641" s="20"/>
    </row>
    <row r="10642" spans="24:25">
      <c r="X10642" s="19"/>
      <c r="Y10642" s="20"/>
    </row>
    <row r="10643" spans="24:25">
      <c r="X10643" s="19"/>
      <c r="Y10643" s="20"/>
    </row>
    <row r="10644" spans="24:25">
      <c r="X10644" s="19"/>
      <c r="Y10644" s="20"/>
    </row>
    <row r="10645" spans="24:25">
      <c r="X10645" s="19"/>
      <c r="Y10645" s="20"/>
    </row>
    <row r="10646" spans="24:25">
      <c r="X10646" s="19"/>
      <c r="Y10646" s="20"/>
    </row>
    <row r="10647" spans="24:25">
      <c r="X10647" s="19"/>
      <c r="Y10647" s="20"/>
    </row>
    <row r="10648" spans="24:25">
      <c r="X10648" s="19"/>
      <c r="Y10648" s="20"/>
    </row>
    <row r="10649" spans="24:25">
      <c r="X10649" s="19"/>
      <c r="Y10649" s="20"/>
    </row>
    <row r="10650" spans="24:25">
      <c r="X10650" s="19"/>
      <c r="Y10650" s="20"/>
    </row>
    <row r="10651" spans="24:25">
      <c r="X10651" s="19"/>
      <c r="Y10651" s="20"/>
    </row>
    <row r="10652" spans="24:25">
      <c r="X10652" s="19"/>
      <c r="Y10652" s="20"/>
    </row>
    <row r="10653" spans="24:25">
      <c r="X10653" s="19"/>
      <c r="Y10653" s="20"/>
    </row>
    <row r="10654" spans="24:25">
      <c r="X10654" s="19"/>
      <c r="Y10654" s="20"/>
    </row>
    <row r="10655" spans="24:25">
      <c r="X10655" s="19"/>
      <c r="Y10655" s="20"/>
    </row>
    <row r="10656" spans="24:25">
      <c r="X10656" s="19"/>
      <c r="Y10656" s="20"/>
    </row>
    <row r="10657" spans="24:25">
      <c r="X10657" s="19"/>
      <c r="Y10657" s="20"/>
    </row>
    <row r="10658" spans="24:25">
      <c r="X10658" s="19"/>
      <c r="Y10658" s="20"/>
    </row>
    <row r="10659" spans="24:25">
      <c r="X10659" s="19"/>
      <c r="Y10659" s="20"/>
    </row>
    <row r="10660" spans="24:25">
      <c r="X10660" s="19"/>
      <c r="Y10660" s="20"/>
    </row>
    <row r="10661" spans="24:25">
      <c r="X10661" s="19"/>
      <c r="Y10661" s="20"/>
    </row>
    <row r="10662" spans="24:25">
      <c r="X10662" s="19"/>
      <c r="Y10662" s="20"/>
    </row>
    <row r="10663" spans="24:25">
      <c r="X10663" s="19"/>
      <c r="Y10663" s="20"/>
    </row>
    <row r="10664" spans="24:25">
      <c r="X10664" s="19"/>
      <c r="Y10664" s="20"/>
    </row>
    <row r="10665" spans="24:25">
      <c r="X10665" s="19"/>
      <c r="Y10665" s="20"/>
    </row>
    <row r="10666" spans="24:25">
      <c r="X10666" s="19"/>
      <c r="Y10666" s="20"/>
    </row>
    <row r="10667" spans="24:25">
      <c r="X10667" s="19"/>
      <c r="Y10667" s="20"/>
    </row>
    <row r="10668" spans="24:25">
      <c r="X10668" s="19"/>
      <c r="Y10668" s="20"/>
    </row>
    <row r="10669" spans="24:25">
      <c r="X10669" s="19"/>
      <c r="Y10669" s="20"/>
    </row>
    <row r="10670" spans="24:25">
      <c r="X10670" s="19"/>
      <c r="Y10670" s="20"/>
    </row>
    <row r="10671" spans="24:25">
      <c r="X10671" s="19"/>
      <c r="Y10671" s="20"/>
    </row>
    <row r="10672" spans="24:25">
      <c r="X10672" s="19"/>
      <c r="Y10672" s="20"/>
    </row>
    <row r="10673" spans="24:25">
      <c r="X10673" s="19"/>
      <c r="Y10673" s="20"/>
    </row>
    <row r="10674" spans="24:25">
      <c r="X10674" s="19"/>
      <c r="Y10674" s="20"/>
    </row>
    <row r="10675" spans="24:25">
      <c r="X10675" s="19"/>
      <c r="Y10675" s="20"/>
    </row>
    <row r="10676" spans="24:25">
      <c r="X10676" s="19"/>
      <c r="Y10676" s="20"/>
    </row>
    <row r="10677" spans="24:25">
      <c r="X10677" s="19"/>
      <c r="Y10677" s="20"/>
    </row>
    <row r="10678" spans="24:25">
      <c r="X10678" s="19"/>
      <c r="Y10678" s="20"/>
    </row>
    <row r="10679" spans="24:25">
      <c r="X10679" s="19"/>
      <c r="Y10679" s="20"/>
    </row>
    <row r="10680" spans="24:25">
      <c r="X10680" s="19"/>
      <c r="Y10680" s="20"/>
    </row>
    <row r="10681" spans="24:25">
      <c r="X10681" s="19"/>
      <c r="Y10681" s="20"/>
    </row>
    <row r="10682" spans="24:25">
      <c r="X10682" s="19"/>
      <c r="Y10682" s="20"/>
    </row>
    <row r="10683" spans="24:25">
      <c r="X10683" s="19"/>
      <c r="Y10683" s="20"/>
    </row>
    <row r="10684" spans="24:25">
      <c r="X10684" s="19"/>
      <c r="Y10684" s="20"/>
    </row>
    <row r="10685" spans="24:25">
      <c r="X10685" s="19"/>
      <c r="Y10685" s="20"/>
    </row>
    <row r="10686" spans="24:25">
      <c r="X10686" s="19"/>
      <c r="Y10686" s="20"/>
    </row>
    <row r="10687" spans="24:25">
      <c r="X10687" s="19"/>
      <c r="Y10687" s="20"/>
    </row>
    <row r="10688" spans="24:25">
      <c r="X10688" s="19"/>
      <c r="Y10688" s="20"/>
    </row>
    <row r="10689" spans="24:25">
      <c r="X10689" s="19"/>
      <c r="Y10689" s="20"/>
    </row>
    <row r="10690" spans="24:25">
      <c r="X10690" s="19"/>
      <c r="Y10690" s="20"/>
    </row>
    <row r="10691" spans="24:25">
      <c r="X10691" s="19"/>
      <c r="Y10691" s="20"/>
    </row>
    <row r="10692" spans="24:25">
      <c r="X10692" s="19"/>
      <c r="Y10692" s="20"/>
    </row>
    <row r="10693" spans="24:25">
      <c r="X10693" s="19"/>
      <c r="Y10693" s="20"/>
    </row>
    <row r="10694" spans="24:25">
      <c r="X10694" s="19"/>
      <c r="Y10694" s="20"/>
    </row>
    <row r="10695" spans="24:25">
      <c r="X10695" s="19"/>
      <c r="Y10695" s="20"/>
    </row>
    <row r="10696" spans="24:25">
      <c r="X10696" s="19"/>
      <c r="Y10696" s="20"/>
    </row>
    <row r="10697" spans="24:25">
      <c r="X10697" s="19"/>
      <c r="Y10697" s="20"/>
    </row>
    <row r="10698" spans="24:25">
      <c r="X10698" s="19"/>
      <c r="Y10698" s="20"/>
    </row>
    <row r="10699" spans="24:25">
      <c r="X10699" s="19"/>
      <c r="Y10699" s="20"/>
    </row>
    <row r="10700" spans="24:25">
      <c r="X10700" s="19"/>
      <c r="Y10700" s="20"/>
    </row>
    <row r="10701" spans="24:25">
      <c r="X10701" s="19"/>
      <c r="Y10701" s="20"/>
    </row>
    <row r="10702" spans="24:25">
      <c r="X10702" s="19"/>
      <c r="Y10702" s="20"/>
    </row>
    <row r="10703" spans="24:25">
      <c r="X10703" s="19"/>
      <c r="Y10703" s="20"/>
    </row>
    <row r="10704" spans="24:25">
      <c r="X10704" s="19"/>
      <c r="Y10704" s="20"/>
    </row>
    <row r="10705" spans="24:25">
      <c r="X10705" s="19"/>
      <c r="Y10705" s="20"/>
    </row>
    <row r="10706" spans="24:25">
      <c r="X10706" s="19"/>
      <c r="Y10706" s="20"/>
    </row>
    <row r="10707" spans="24:25">
      <c r="X10707" s="19"/>
      <c r="Y10707" s="20"/>
    </row>
    <row r="10708" spans="24:25">
      <c r="X10708" s="19"/>
      <c r="Y10708" s="20"/>
    </row>
    <row r="10709" spans="24:25">
      <c r="X10709" s="19"/>
      <c r="Y10709" s="20"/>
    </row>
    <row r="10710" spans="24:25">
      <c r="X10710" s="19"/>
      <c r="Y10710" s="20"/>
    </row>
    <row r="10711" spans="24:25">
      <c r="X10711" s="19"/>
      <c r="Y10711" s="20"/>
    </row>
    <row r="10712" spans="24:25">
      <c r="X10712" s="19"/>
      <c r="Y10712" s="20"/>
    </row>
    <row r="10713" spans="24:25">
      <c r="X10713" s="19"/>
      <c r="Y10713" s="20"/>
    </row>
    <row r="10714" spans="24:25">
      <c r="X10714" s="19"/>
      <c r="Y10714" s="20"/>
    </row>
    <row r="10715" spans="24:25">
      <c r="X10715" s="19"/>
      <c r="Y10715" s="20"/>
    </row>
    <row r="10716" spans="24:25">
      <c r="X10716" s="19"/>
      <c r="Y10716" s="20"/>
    </row>
    <row r="10717" spans="24:25">
      <c r="X10717" s="19"/>
      <c r="Y10717" s="20"/>
    </row>
    <row r="10718" spans="24:25">
      <c r="X10718" s="19"/>
      <c r="Y10718" s="20"/>
    </row>
    <row r="10719" spans="24:25">
      <c r="X10719" s="19"/>
      <c r="Y10719" s="20"/>
    </row>
    <row r="10720" spans="24:25">
      <c r="X10720" s="19"/>
      <c r="Y10720" s="20"/>
    </row>
    <row r="10721" spans="24:25">
      <c r="X10721" s="19"/>
      <c r="Y10721" s="20"/>
    </row>
    <row r="10722" spans="24:25">
      <c r="X10722" s="19"/>
      <c r="Y10722" s="20"/>
    </row>
    <row r="10723" spans="24:25">
      <c r="X10723" s="19"/>
      <c r="Y10723" s="20"/>
    </row>
    <row r="10724" spans="24:25">
      <c r="X10724" s="19"/>
      <c r="Y10724" s="20"/>
    </row>
    <row r="10725" spans="24:25">
      <c r="X10725" s="19"/>
      <c r="Y10725" s="20"/>
    </row>
    <row r="10726" spans="24:25">
      <c r="X10726" s="19"/>
      <c r="Y10726" s="20"/>
    </row>
    <row r="10727" spans="24:25">
      <c r="X10727" s="19"/>
      <c r="Y10727" s="20"/>
    </row>
    <row r="10728" spans="24:25">
      <c r="X10728" s="19"/>
      <c r="Y10728" s="20"/>
    </row>
    <row r="10729" spans="24:25">
      <c r="X10729" s="19"/>
      <c r="Y10729" s="20"/>
    </row>
    <row r="10730" spans="24:25">
      <c r="X10730" s="19"/>
      <c r="Y10730" s="20"/>
    </row>
    <row r="10731" spans="24:25">
      <c r="X10731" s="19"/>
      <c r="Y10731" s="20"/>
    </row>
    <row r="10732" spans="24:25">
      <c r="X10732" s="19"/>
      <c r="Y10732" s="20"/>
    </row>
    <row r="10733" spans="24:25">
      <c r="X10733" s="19"/>
      <c r="Y10733" s="20"/>
    </row>
    <row r="10734" spans="24:25">
      <c r="X10734" s="19"/>
      <c r="Y10734" s="20"/>
    </row>
    <row r="10735" spans="24:25">
      <c r="X10735" s="19"/>
      <c r="Y10735" s="20"/>
    </row>
    <row r="10736" spans="24:25">
      <c r="X10736" s="19"/>
      <c r="Y10736" s="20"/>
    </row>
    <row r="10737" spans="24:25">
      <c r="X10737" s="19"/>
      <c r="Y10737" s="20"/>
    </row>
    <row r="10738" spans="24:25">
      <c r="X10738" s="19"/>
      <c r="Y10738" s="20"/>
    </row>
    <row r="10739" spans="24:25">
      <c r="X10739" s="19"/>
      <c r="Y10739" s="20"/>
    </row>
    <row r="10740" spans="24:25">
      <c r="X10740" s="19"/>
      <c r="Y10740" s="20"/>
    </row>
    <row r="10741" spans="24:25">
      <c r="X10741" s="19"/>
      <c r="Y10741" s="20"/>
    </row>
    <row r="10742" spans="24:25">
      <c r="X10742" s="19"/>
      <c r="Y10742" s="20"/>
    </row>
    <row r="10743" spans="24:25">
      <c r="X10743" s="19"/>
      <c r="Y10743" s="20"/>
    </row>
    <row r="10744" spans="24:25">
      <c r="X10744" s="19"/>
      <c r="Y10744" s="20"/>
    </row>
    <row r="10745" spans="24:25">
      <c r="X10745" s="19"/>
      <c r="Y10745" s="20"/>
    </row>
    <row r="10746" spans="24:25">
      <c r="X10746" s="19"/>
      <c r="Y10746" s="20"/>
    </row>
    <row r="10747" spans="24:25">
      <c r="X10747" s="19"/>
      <c r="Y10747" s="20"/>
    </row>
    <row r="10748" spans="24:25">
      <c r="X10748" s="19"/>
      <c r="Y10748" s="20"/>
    </row>
    <row r="10749" spans="24:25">
      <c r="X10749" s="19"/>
      <c r="Y10749" s="20"/>
    </row>
    <row r="10750" spans="24:25">
      <c r="X10750" s="19"/>
      <c r="Y10750" s="20"/>
    </row>
    <row r="10751" spans="24:25">
      <c r="X10751" s="19"/>
      <c r="Y10751" s="20"/>
    </row>
    <row r="10752" spans="24:25">
      <c r="X10752" s="19"/>
      <c r="Y10752" s="20"/>
    </row>
    <row r="10753" spans="24:25">
      <c r="X10753" s="19"/>
      <c r="Y10753" s="20"/>
    </row>
    <row r="10754" spans="24:25">
      <c r="X10754" s="19"/>
      <c r="Y10754" s="20"/>
    </row>
    <row r="10755" spans="24:25">
      <c r="X10755" s="19"/>
      <c r="Y10755" s="20"/>
    </row>
    <row r="10756" spans="24:25">
      <c r="X10756" s="19"/>
      <c r="Y10756" s="20"/>
    </row>
    <row r="10757" spans="24:25">
      <c r="X10757" s="19"/>
      <c r="Y10757" s="20"/>
    </row>
    <row r="10758" spans="24:25">
      <c r="X10758" s="19"/>
      <c r="Y10758" s="20"/>
    </row>
    <row r="10759" spans="24:25">
      <c r="X10759" s="19"/>
      <c r="Y10759" s="20"/>
    </row>
    <row r="10760" spans="24:25">
      <c r="X10760" s="19"/>
      <c r="Y10760" s="20"/>
    </row>
    <row r="10761" spans="24:25">
      <c r="X10761" s="19"/>
      <c r="Y10761" s="20"/>
    </row>
    <row r="10762" spans="24:25">
      <c r="X10762" s="19"/>
      <c r="Y10762" s="20"/>
    </row>
    <row r="10763" spans="24:25">
      <c r="X10763" s="19"/>
      <c r="Y10763" s="20"/>
    </row>
    <row r="10764" spans="24:25">
      <c r="X10764" s="19"/>
      <c r="Y10764" s="20"/>
    </row>
    <row r="10765" spans="24:25">
      <c r="X10765" s="19"/>
      <c r="Y10765" s="20"/>
    </row>
    <row r="10766" spans="24:25">
      <c r="X10766" s="19"/>
      <c r="Y10766" s="20"/>
    </row>
    <row r="10767" spans="24:25">
      <c r="X10767" s="19"/>
      <c r="Y10767" s="20"/>
    </row>
    <row r="10768" spans="24:25">
      <c r="X10768" s="19"/>
      <c r="Y10768" s="20"/>
    </row>
    <row r="10769" spans="24:25">
      <c r="X10769" s="19"/>
      <c r="Y10769" s="20"/>
    </row>
    <row r="10770" spans="24:25">
      <c r="X10770" s="19"/>
      <c r="Y10770" s="20"/>
    </row>
    <row r="10771" spans="24:25">
      <c r="X10771" s="19"/>
      <c r="Y10771" s="20"/>
    </row>
    <row r="10772" spans="24:25">
      <c r="X10772" s="19"/>
      <c r="Y10772" s="20"/>
    </row>
    <row r="10773" spans="24:25">
      <c r="X10773" s="19"/>
      <c r="Y10773" s="20"/>
    </row>
    <row r="10774" spans="24:25">
      <c r="X10774" s="19"/>
      <c r="Y10774" s="20"/>
    </row>
    <row r="10775" spans="24:25">
      <c r="X10775" s="19"/>
      <c r="Y10775" s="20"/>
    </row>
    <row r="10776" spans="24:25">
      <c r="X10776" s="19"/>
      <c r="Y10776" s="20"/>
    </row>
    <row r="10777" spans="24:25">
      <c r="X10777" s="19"/>
      <c r="Y10777" s="20"/>
    </row>
    <row r="10778" spans="24:25">
      <c r="X10778" s="19"/>
      <c r="Y10778" s="20"/>
    </row>
    <row r="10779" spans="24:25">
      <c r="X10779" s="19"/>
      <c r="Y10779" s="20"/>
    </row>
    <row r="10780" spans="24:25">
      <c r="X10780" s="19"/>
      <c r="Y10780" s="20"/>
    </row>
    <row r="10781" spans="24:25">
      <c r="X10781" s="19"/>
      <c r="Y10781" s="20"/>
    </row>
    <row r="10782" spans="24:25">
      <c r="X10782" s="19"/>
      <c r="Y10782" s="20"/>
    </row>
    <row r="10783" spans="24:25">
      <c r="X10783" s="19"/>
      <c r="Y10783" s="20"/>
    </row>
    <row r="10784" spans="24:25">
      <c r="X10784" s="19"/>
      <c r="Y10784" s="20"/>
    </row>
    <row r="10785" spans="24:25">
      <c r="X10785" s="19"/>
      <c r="Y10785" s="20"/>
    </row>
    <row r="10786" spans="24:25">
      <c r="X10786" s="19"/>
      <c r="Y10786" s="20"/>
    </row>
    <row r="10787" spans="24:25">
      <c r="X10787" s="19"/>
      <c r="Y10787" s="20"/>
    </row>
    <row r="10788" spans="24:25">
      <c r="X10788" s="19"/>
      <c r="Y10788" s="20"/>
    </row>
    <row r="10789" spans="24:25">
      <c r="X10789" s="19"/>
      <c r="Y10789" s="20"/>
    </row>
    <row r="10790" spans="24:25">
      <c r="X10790" s="19"/>
      <c r="Y10790" s="20"/>
    </row>
    <row r="10791" spans="24:25">
      <c r="X10791" s="19"/>
      <c r="Y10791" s="20"/>
    </row>
    <row r="10792" spans="24:25">
      <c r="X10792" s="19"/>
      <c r="Y10792" s="20"/>
    </row>
    <row r="10793" spans="24:25">
      <c r="X10793" s="19"/>
      <c r="Y10793" s="20"/>
    </row>
    <row r="10794" spans="24:25">
      <c r="X10794" s="19"/>
      <c r="Y10794" s="20"/>
    </row>
    <row r="10795" spans="24:25">
      <c r="X10795" s="19"/>
      <c r="Y10795" s="20"/>
    </row>
    <row r="10796" spans="24:25">
      <c r="X10796" s="19"/>
      <c r="Y10796" s="20"/>
    </row>
    <row r="10797" spans="24:25">
      <c r="X10797" s="19"/>
      <c r="Y10797" s="20"/>
    </row>
    <row r="10798" spans="24:25">
      <c r="X10798" s="19"/>
      <c r="Y10798" s="20"/>
    </row>
    <row r="10799" spans="24:25">
      <c r="X10799" s="19"/>
      <c r="Y10799" s="20"/>
    </row>
    <row r="10800" spans="24:25">
      <c r="X10800" s="19"/>
      <c r="Y10800" s="20"/>
    </row>
    <row r="10801" spans="24:25">
      <c r="X10801" s="19"/>
      <c r="Y10801" s="20"/>
    </row>
    <row r="10802" spans="24:25">
      <c r="X10802" s="19"/>
      <c r="Y10802" s="20"/>
    </row>
    <row r="10803" spans="24:25">
      <c r="X10803" s="19"/>
      <c r="Y10803" s="20"/>
    </row>
    <row r="10804" spans="24:25">
      <c r="X10804" s="19"/>
      <c r="Y10804" s="20"/>
    </row>
    <row r="10805" spans="24:25">
      <c r="X10805" s="19"/>
      <c r="Y10805" s="20"/>
    </row>
    <row r="10806" spans="24:25">
      <c r="X10806" s="19"/>
      <c r="Y10806" s="20"/>
    </row>
    <row r="10807" spans="24:25">
      <c r="X10807" s="19"/>
      <c r="Y10807" s="20"/>
    </row>
    <row r="10808" spans="24:25">
      <c r="X10808" s="19"/>
      <c r="Y10808" s="20"/>
    </row>
    <row r="10809" spans="24:25">
      <c r="X10809" s="19"/>
      <c r="Y10809" s="20"/>
    </row>
    <row r="10810" spans="24:25">
      <c r="X10810" s="19"/>
      <c r="Y10810" s="20"/>
    </row>
    <row r="10811" spans="24:25">
      <c r="X10811" s="19"/>
      <c r="Y10811" s="20"/>
    </row>
    <row r="10812" spans="24:25">
      <c r="X10812" s="19"/>
      <c r="Y10812" s="20"/>
    </row>
    <row r="10813" spans="24:25">
      <c r="X10813" s="19"/>
      <c r="Y10813" s="20"/>
    </row>
    <row r="10814" spans="24:25">
      <c r="X10814" s="19"/>
      <c r="Y10814" s="20"/>
    </row>
    <row r="10815" spans="24:25">
      <c r="X10815" s="19"/>
      <c r="Y10815" s="20"/>
    </row>
    <row r="10816" spans="24:25">
      <c r="X10816" s="19"/>
      <c r="Y10816" s="20"/>
    </row>
    <row r="10817" spans="24:25">
      <c r="X10817" s="19"/>
      <c r="Y10817" s="20"/>
    </row>
    <row r="10818" spans="24:25">
      <c r="X10818" s="19"/>
      <c r="Y10818" s="20"/>
    </row>
    <row r="10819" spans="24:25">
      <c r="X10819" s="19"/>
      <c r="Y10819" s="20"/>
    </row>
    <row r="10820" spans="24:25">
      <c r="X10820" s="19"/>
      <c r="Y10820" s="20"/>
    </row>
    <row r="10821" spans="24:25">
      <c r="X10821" s="19"/>
      <c r="Y10821" s="20"/>
    </row>
    <row r="10822" spans="24:25">
      <c r="X10822" s="19"/>
      <c r="Y10822" s="20"/>
    </row>
    <row r="10823" spans="24:25">
      <c r="X10823" s="19"/>
      <c r="Y10823" s="20"/>
    </row>
    <row r="10824" spans="24:25">
      <c r="X10824" s="19"/>
      <c r="Y10824" s="20"/>
    </row>
    <row r="10825" spans="24:25">
      <c r="X10825" s="19"/>
      <c r="Y10825" s="20"/>
    </row>
    <row r="10826" spans="24:25">
      <c r="X10826" s="19"/>
      <c r="Y10826" s="20"/>
    </row>
    <row r="10827" spans="24:25">
      <c r="X10827" s="19"/>
      <c r="Y10827" s="20"/>
    </row>
    <row r="10828" spans="24:25">
      <c r="X10828" s="19"/>
      <c r="Y10828" s="20"/>
    </row>
    <row r="10829" spans="24:25">
      <c r="X10829" s="19"/>
      <c r="Y10829" s="20"/>
    </row>
    <row r="10830" spans="24:25">
      <c r="X10830" s="19"/>
      <c r="Y10830" s="20"/>
    </row>
    <row r="10831" spans="24:25">
      <c r="X10831" s="19"/>
      <c r="Y10831" s="20"/>
    </row>
    <row r="10832" spans="24:25">
      <c r="X10832" s="19"/>
      <c r="Y10832" s="20"/>
    </row>
    <row r="10833" spans="24:25">
      <c r="X10833" s="19"/>
      <c r="Y10833" s="20"/>
    </row>
    <row r="10834" spans="24:25">
      <c r="X10834" s="19"/>
      <c r="Y10834" s="20"/>
    </row>
    <row r="10835" spans="24:25">
      <c r="X10835" s="19"/>
      <c r="Y10835" s="20"/>
    </row>
    <row r="10836" spans="24:25">
      <c r="X10836" s="19"/>
      <c r="Y10836" s="20"/>
    </row>
    <row r="10837" spans="24:25">
      <c r="X10837" s="19"/>
      <c r="Y10837" s="20"/>
    </row>
    <row r="10838" spans="24:25">
      <c r="X10838" s="19"/>
      <c r="Y10838" s="20"/>
    </row>
    <row r="10839" spans="24:25">
      <c r="X10839" s="19"/>
      <c r="Y10839" s="20"/>
    </row>
    <row r="10840" spans="24:25">
      <c r="X10840" s="19"/>
      <c r="Y10840" s="20"/>
    </row>
    <row r="10841" spans="24:25">
      <c r="X10841" s="19"/>
      <c r="Y10841" s="20"/>
    </row>
    <row r="10842" spans="24:25">
      <c r="X10842" s="19"/>
      <c r="Y10842" s="20"/>
    </row>
    <row r="10843" spans="24:25">
      <c r="X10843" s="19"/>
      <c r="Y10843" s="20"/>
    </row>
    <row r="10844" spans="24:25">
      <c r="X10844" s="19"/>
      <c r="Y10844" s="20"/>
    </row>
    <row r="10845" spans="24:25">
      <c r="X10845" s="19"/>
      <c r="Y10845" s="20"/>
    </row>
    <row r="10846" spans="24:25">
      <c r="X10846" s="19"/>
      <c r="Y10846" s="20"/>
    </row>
    <row r="10847" spans="24:25">
      <c r="X10847" s="19"/>
      <c r="Y10847" s="20"/>
    </row>
    <row r="10848" spans="24:25">
      <c r="X10848" s="19"/>
      <c r="Y10848" s="20"/>
    </row>
    <row r="10849" spans="24:25">
      <c r="X10849" s="19"/>
      <c r="Y10849" s="20"/>
    </row>
    <row r="10850" spans="24:25">
      <c r="X10850" s="19"/>
      <c r="Y10850" s="20"/>
    </row>
    <row r="10851" spans="24:25">
      <c r="X10851" s="19"/>
      <c r="Y10851" s="20"/>
    </row>
    <row r="10852" spans="24:25">
      <c r="X10852" s="19"/>
      <c r="Y10852" s="20"/>
    </row>
    <row r="10853" spans="24:25">
      <c r="X10853" s="19"/>
      <c r="Y10853" s="20"/>
    </row>
    <row r="10854" spans="24:25">
      <c r="X10854" s="19"/>
      <c r="Y10854" s="20"/>
    </row>
    <row r="10855" spans="24:25">
      <c r="X10855" s="19"/>
      <c r="Y10855" s="20"/>
    </row>
    <row r="10856" spans="24:25">
      <c r="X10856" s="19"/>
      <c r="Y10856" s="20"/>
    </row>
    <row r="10857" spans="24:25">
      <c r="X10857" s="19"/>
      <c r="Y10857" s="20"/>
    </row>
    <row r="10858" spans="24:25">
      <c r="X10858" s="19"/>
      <c r="Y10858" s="20"/>
    </row>
    <row r="10859" spans="24:25">
      <c r="X10859" s="19"/>
      <c r="Y10859" s="20"/>
    </row>
    <row r="10860" spans="24:25">
      <c r="X10860" s="19"/>
      <c r="Y10860" s="20"/>
    </row>
    <row r="10861" spans="24:25">
      <c r="X10861" s="19"/>
      <c r="Y10861" s="20"/>
    </row>
    <row r="10862" spans="24:25">
      <c r="X10862" s="19"/>
      <c r="Y10862" s="20"/>
    </row>
    <row r="10863" spans="24:25">
      <c r="X10863" s="19"/>
      <c r="Y10863" s="20"/>
    </row>
    <row r="10864" spans="24:25">
      <c r="X10864" s="19"/>
      <c r="Y10864" s="20"/>
    </row>
    <row r="10865" spans="24:25">
      <c r="X10865" s="19"/>
      <c r="Y10865" s="20"/>
    </row>
    <row r="10866" spans="24:25">
      <c r="X10866" s="19"/>
      <c r="Y10866" s="20"/>
    </row>
    <row r="10867" spans="24:25">
      <c r="X10867" s="19"/>
      <c r="Y10867" s="20"/>
    </row>
    <row r="10868" spans="24:25">
      <c r="X10868" s="19"/>
      <c r="Y10868" s="20"/>
    </row>
    <row r="10869" spans="24:25">
      <c r="X10869" s="19"/>
      <c r="Y10869" s="20"/>
    </row>
    <row r="10870" spans="24:25">
      <c r="X10870" s="19"/>
      <c r="Y10870" s="20"/>
    </row>
    <row r="10871" spans="24:25">
      <c r="X10871" s="19"/>
      <c r="Y10871" s="20"/>
    </row>
    <row r="10872" spans="24:25">
      <c r="X10872" s="19"/>
      <c r="Y10872" s="20"/>
    </row>
    <row r="10873" spans="24:25">
      <c r="X10873" s="19"/>
      <c r="Y10873" s="20"/>
    </row>
    <row r="10874" spans="24:25">
      <c r="X10874" s="19"/>
      <c r="Y10874" s="20"/>
    </row>
    <row r="10875" spans="24:25">
      <c r="X10875" s="19"/>
      <c r="Y10875" s="20"/>
    </row>
    <row r="10876" spans="24:25">
      <c r="X10876" s="19"/>
      <c r="Y10876" s="20"/>
    </row>
    <row r="10877" spans="24:25">
      <c r="X10877" s="19"/>
      <c r="Y10877" s="20"/>
    </row>
    <row r="10878" spans="24:25">
      <c r="X10878" s="19"/>
      <c r="Y10878" s="20"/>
    </row>
    <row r="10879" spans="24:25">
      <c r="X10879" s="19"/>
      <c r="Y10879" s="20"/>
    </row>
    <row r="10880" spans="24:25">
      <c r="X10880" s="19"/>
      <c r="Y10880" s="20"/>
    </row>
    <row r="10881" spans="24:25">
      <c r="X10881" s="19"/>
      <c r="Y10881" s="20"/>
    </row>
    <row r="10882" spans="24:25">
      <c r="X10882" s="19"/>
      <c r="Y10882" s="20"/>
    </row>
    <row r="10883" spans="24:25">
      <c r="X10883" s="19"/>
      <c r="Y10883" s="20"/>
    </row>
    <row r="10884" spans="24:25">
      <c r="X10884" s="19"/>
      <c r="Y10884" s="20"/>
    </row>
    <row r="10885" spans="24:25">
      <c r="X10885" s="19"/>
      <c r="Y10885" s="20"/>
    </row>
    <row r="10886" spans="24:25">
      <c r="X10886" s="19"/>
      <c r="Y10886" s="20"/>
    </row>
    <row r="10887" spans="24:25">
      <c r="X10887" s="19"/>
      <c r="Y10887" s="20"/>
    </row>
    <row r="10888" spans="24:25">
      <c r="X10888" s="19"/>
      <c r="Y10888" s="20"/>
    </row>
    <row r="10889" spans="24:25">
      <c r="X10889" s="19"/>
      <c r="Y10889" s="20"/>
    </row>
    <row r="10890" spans="24:25">
      <c r="X10890" s="19"/>
      <c r="Y10890" s="20"/>
    </row>
    <row r="10891" spans="24:25">
      <c r="X10891" s="19"/>
      <c r="Y10891" s="20"/>
    </row>
    <row r="10892" spans="24:25">
      <c r="X10892" s="19"/>
      <c r="Y10892" s="20"/>
    </row>
    <row r="10893" spans="24:25">
      <c r="X10893" s="19"/>
      <c r="Y10893" s="20"/>
    </row>
    <row r="10894" spans="24:25">
      <c r="X10894" s="19"/>
      <c r="Y10894" s="20"/>
    </row>
    <row r="10895" spans="24:25">
      <c r="X10895" s="19"/>
      <c r="Y10895" s="20"/>
    </row>
    <row r="10896" spans="24:25">
      <c r="X10896" s="19"/>
      <c r="Y10896" s="20"/>
    </row>
    <row r="10897" spans="24:25">
      <c r="X10897" s="19"/>
      <c r="Y10897" s="20"/>
    </row>
    <row r="10898" spans="24:25">
      <c r="X10898" s="19"/>
      <c r="Y10898" s="20"/>
    </row>
    <row r="10899" spans="24:25">
      <c r="X10899" s="19"/>
      <c r="Y10899" s="20"/>
    </row>
    <row r="10900" spans="24:25">
      <c r="X10900" s="19"/>
      <c r="Y10900" s="20"/>
    </row>
    <row r="10901" spans="24:25">
      <c r="X10901" s="19"/>
      <c r="Y10901" s="20"/>
    </row>
    <row r="10902" spans="24:25">
      <c r="X10902" s="19"/>
      <c r="Y10902" s="20"/>
    </row>
    <row r="10903" spans="24:25">
      <c r="X10903" s="19"/>
      <c r="Y10903" s="20"/>
    </row>
    <row r="10904" spans="24:25">
      <c r="X10904" s="19"/>
      <c r="Y10904" s="20"/>
    </row>
    <row r="10905" spans="24:25">
      <c r="X10905" s="19"/>
      <c r="Y10905" s="20"/>
    </row>
    <row r="10906" spans="24:25">
      <c r="X10906" s="19"/>
      <c r="Y10906" s="20"/>
    </row>
    <row r="10907" spans="24:25">
      <c r="X10907" s="19"/>
      <c r="Y10907" s="20"/>
    </row>
    <row r="10908" spans="24:25">
      <c r="X10908" s="19"/>
      <c r="Y10908" s="20"/>
    </row>
    <row r="10909" spans="24:25">
      <c r="X10909" s="19"/>
      <c r="Y10909" s="20"/>
    </row>
    <row r="10910" spans="24:25">
      <c r="X10910" s="19"/>
      <c r="Y10910" s="20"/>
    </row>
    <row r="10911" spans="24:25">
      <c r="X10911" s="19"/>
      <c r="Y10911" s="20"/>
    </row>
    <row r="10912" spans="24:25">
      <c r="X10912" s="19"/>
      <c r="Y10912" s="20"/>
    </row>
    <row r="10913" spans="24:25">
      <c r="X10913" s="19"/>
      <c r="Y10913" s="20"/>
    </row>
    <row r="10914" spans="24:25">
      <c r="X10914" s="19"/>
      <c r="Y10914" s="20"/>
    </row>
    <row r="10915" spans="24:25">
      <c r="X10915" s="19"/>
      <c r="Y10915" s="20"/>
    </row>
    <row r="10916" spans="24:25">
      <c r="X10916" s="19"/>
      <c r="Y10916" s="20"/>
    </row>
    <row r="10917" spans="24:25">
      <c r="X10917" s="19"/>
      <c r="Y10917" s="20"/>
    </row>
    <row r="10918" spans="24:25">
      <c r="X10918" s="19"/>
      <c r="Y10918" s="20"/>
    </row>
    <row r="10919" spans="24:25">
      <c r="X10919" s="19"/>
      <c r="Y10919" s="20"/>
    </row>
    <row r="10920" spans="24:25">
      <c r="X10920" s="19"/>
      <c r="Y10920" s="20"/>
    </row>
    <row r="10921" spans="24:25">
      <c r="X10921" s="19"/>
      <c r="Y10921" s="20"/>
    </row>
    <row r="10922" spans="24:25">
      <c r="X10922" s="19"/>
      <c r="Y10922" s="20"/>
    </row>
    <row r="10923" spans="24:25">
      <c r="X10923" s="19"/>
      <c r="Y10923" s="20"/>
    </row>
    <row r="10924" spans="24:25">
      <c r="X10924" s="19"/>
      <c r="Y10924" s="20"/>
    </row>
    <row r="10925" spans="24:25">
      <c r="X10925" s="19"/>
      <c r="Y10925" s="20"/>
    </row>
    <row r="10926" spans="24:25">
      <c r="X10926" s="19"/>
      <c r="Y10926" s="20"/>
    </row>
    <row r="10927" spans="24:25">
      <c r="X10927" s="19"/>
      <c r="Y10927" s="20"/>
    </row>
    <row r="10928" spans="24:25">
      <c r="X10928" s="19"/>
      <c r="Y10928" s="20"/>
    </row>
    <row r="10929" spans="24:25">
      <c r="X10929" s="19"/>
      <c r="Y10929" s="20"/>
    </row>
    <row r="10930" spans="24:25">
      <c r="X10930" s="19"/>
      <c r="Y10930" s="20"/>
    </row>
    <row r="10931" spans="24:25">
      <c r="X10931" s="19"/>
      <c r="Y10931" s="20"/>
    </row>
    <row r="10932" spans="24:25">
      <c r="X10932" s="19"/>
      <c r="Y10932" s="20"/>
    </row>
    <row r="10933" spans="24:25">
      <c r="X10933" s="19"/>
      <c r="Y10933" s="20"/>
    </row>
    <row r="10934" spans="24:25">
      <c r="X10934" s="19"/>
      <c r="Y10934" s="20"/>
    </row>
    <row r="10935" spans="24:25">
      <c r="X10935" s="19"/>
      <c r="Y10935" s="20"/>
    </row>
    <row r="10936" spans="24:25">
      <c r="X10936" s="19"/>
      <c r="Y10936" s="20"/>
    </row>
    <row r="10937" spans="24:25">
      <c r="X10937" s="19"/>
      <c r="Y10937" s="20"/>
    </row>
    <row r="10938" spans="24:25">
      <c r="X10938" s="19"/>
      <c r="Y10938" s="20"/>
    </row>
    <row r="10939" spans="24:25">
      <c r="X10939" s="19"/>
      <c r="Y10939" s="20"/>
    </row>
    <row r="10940" spans="24:25">
      <c r="X10940" s="19"/>
      <c r="Y10940" s="20"/>
    </row>
    <row r="10941" spans="24:25">
      <c r="X10941" s="19"/>
      <c r="Y10941" s="20"/>
    </row>
    <row r="10942" spans="24:25">
      <c r="X10942" s="19"/>
      <c r="Y10942" s="20"/>
    </row>
    <row r="10943" spans="24:25">
      <c r="X10943" s="19"/>
      <c r="Y10943" s="20"/>
    </row>
    <row r="10944" spans="24:25">
      <c r="X10944" s="19"/>
      <c r="Y10944" s="20"/>
    </row>
    <row r="10945" spans="24:25">
      <c r="X10945" s="19"/>
      <c r="Y10945" s="20"/>
    </row>
    <row r="10946" spans="24:25">
      <c r="X10946" s="19"/>
      <c r="Y10946" s="20"/>
    </row>
    <row r="10947" spans="24:25">
      <c r="X10947" s="19"/>
      <c r="Y10947" s="20"/>
    </row>
    <row r="10948" spans="24:25">
      <c r="X10948" s="19"/>
      <c r="Y10948" s="20"/>
    </row>
    <row r="10949" spans="24:25">
      <c r="X10949" s="19"/>
      <c r="Y10949" s="20"/>
    </row>
    <row r="10950" spans="24:25">
      <c r="X10950" s="19"/>
      <c r="Y10950" s="20"/>
    </row>
    <row r="10951" spans="24:25">
      <c r="X10951" s="19"/>
      <c r="Y10951" s="20"/>
    </row>
    <row r="10952" spans="24:25">
      <c r="X10952" s="19"/>
      <c r="Y10952" s="20"/>
    </row>
    <row r="10953" spans="24:25">
      <c r="X10953" s="19"/>
      <c r="Y10953" s="20"/>
    </row>
    <row r="10954" spans="24:25">
      <c r="X10954" s="19"/>
      <c r="Y10954" s="20"/>
    </row>
    <row r="10955" spans="24:25">
      <c r="X10955" s="19"/>
      <c r="Y10955" s="20"/>
    </row>
    <row r="10956" spans="24:25">
      <c r="X10956" s="19"/>
      <c r="Y10956" s="20"/>
    </row>
    <row r="10957" spans="24:25">
      <c r="X10957" s="19"/>
      <c r="Y10957" s="20"/>
    </row>
    <row r="10958" spans="24:25">
      <c r="X10958" s="19"/>
      <c r="Y10958" s="20"/>
    </row>
    <row r="10959" spans="24:25">
      <c r="X10959" s="19"/>
      <c r="Y10959" s="20"/>
    </row>
    <row r="10960" spans="24:25">
      <c r="X10960" s="19"/>
      <c r="Y10960" s="20"/>
    </row>
    <row r="10961" spans="24:25">
      <c r="X10961" s="19"/>
      <c r="Y10961" s="20"/>
    </row>
    <row r="10962" spans="24:25">
      <c r="X10962" s="19"/>
      <c r="Y10962" s="20"/>
    </row>
    <row r="10963" spans="24:25">
      <c r="X10963" s="19"/>
      <c r="Y10963" s="20"/>
    </row>
    <row r="10964" spans="24:25">
      <c r="X10964" s="19"/>
      <c r="Y10964" s="20"/>
    </row>
    <row r="10965" spans="24:25">
      <c r="X10965" s="19"/>
      <c r="Y10965" s="20"/>
    </row>
    <row r="10966" spans="24:25">
      <c r="X10966" s="19"/>
      <c r="Y10966" s="20"/>
    </row>
    <row r="10967" spans="24:25">
      <c r="X10967" s="19"/>
      <c r="Y10967" s="20"/>
    </row>
    <row r="10968" spans="24:25">
      <c r="X10968" s="19"/>
      <c r="Y10968" s="20"/>
    </row>
    <row r="10969" spans="24:25">
      <c r="X10969" s="19"/>
      <c r="Y10969" s="20"/>
    </row>
    <row r="10970" spans="24:25">
      <c r="X10970" s="19"/>
      <c r="Y10970" s="20"/>
    </row>
    <row r="10971" spans="24:25">
      <c r="X10971" s="19"/>
      <c r="Y10971" s="20"/>
    </row>
    <row r="10972" spans="24:25">
      <c r="X10972" s="19"/>
      <c r="Y10972" s="20"/>
    </row>
    <row r="10973" spans="24:25">
      <c r="X10973" s="19"/>
      <c r="Y10973" s="20"/>
    </row>
    <row r="10974" spans="24:25">
      <c r="X10974" s="19"/>
      <c r="Y10974" s="20"/>
    </row>
    <row r="10975" spans="24:25">
      <c r="X10975" s="19"/>
      <c r="Y10975" s="20"/>
    </row>
    <row r="10976" spans="24:25">
      <c r="X10976" s="19"/>
      <c r="Y10976" s="20"/>
    </row>
    <row r="10977" spans="24:25">
      <c r="X10977" s="19"/>
      <c r="Y10977" s="20"/>
    </row>
    <row r="10978" spans="24:25">
      <c r="X10978" s="19"/>
      <c r="Y10978" s="20"/>
    </row>
    <row r="10979" spans="24:25">
      <c r="X10979" s="19"/>
      <c r="Y10979" s="20"/>
    </row>
    <row r="10980" spans="24:25">
      <c r="X10980" s="19"/>
      <c r="Y10980" s="20"/>
    </row>
    <row r="10981" spans="24:25">
      <c r="X10981" s="19"/>
      <c r="Y10981" s="20"/>
    </row>
    <row r="10982" spans="24:25">
      <c r="X10982" s="19"/>
      <c r="Y10982" s="20"/>
    </row>
    <row r="10983" spans="24:25">
      <c r="X10983" s="19"/>
      <c r="Y10983" s="20"/>
    </row>
    <row r="10984" spans="24:25">
      <c r="X10984" s="19"/>
      <c r="Y10984" s="20"/>
    </row>
    <row r="10985" spans="24:25">
      <c r="X10985" s="19"/>
      <c r="Y10985" s="20"/>
    </row>
    <row r="10986" spans="24:25">
      <c r="X10986" s="19"/>
      <c r="Y10986" s="20"/>
    </row>
    <row r="10987" spans="24:25">
      <c r="X10987" s="19"/>
      <c r="Y10987" s="20"/>
    </row>
    <row r="10988" spans="24:25">
      <c r="X10988" s="19"/>
      <c r="Y10988" s="20"/>
    </row>
    <row r="10989" spans="24:25">
      <c r="X10989" s="19"/>
      <c r="Y10989" s="20"/>
    </row>
    <row r="10990" spans="24:25">
      <c r="X10990" s="19"/>
      <c r="Y10990" s="20"/>
    </row>
    <row r="10991" spans="24:25">
      <c r="X10991" s="19"/>
      <c r="Y10991" s="20"/>
    </row>
    <row r="10992" spans="24:25">
      <c r="X10992" s="19"/>
      <c r="Y10992" s="20"/>
    </row>
    <row r="10993" spans="24:25">
      <c r="X10993" s="19"/>
      <c r="Y10993" s="20"/>
    </row>
    <row r="10994" spans="24:25">
      <c r="X10994" s="19"/>
      <c r="Y10994" s="20"/>
    </row>
    <row r="10995" spans="24:25">
      <c r="X10995" s="19"/>
      <c r="Y10995" s="20"/>
    </row>
    <row r="10996" spans="24:25">
      <c r="X10996" s="19"/>
      <c r="Y10996" s="20"/>
    </row>
    <row r="10997" spans="24:25">
      <c r="X10997" s="19"/>
      <c r="Y10997" s="20"/>
    </row>
    <row r="10998" spans="24:25">
      <c r="X10998" s="19"/>
      <c r="Y10998" s="20"/>
    </row>
    <row r="10999" spans="24:25">
      <c r="X10999" s="19"/>
      <c r="Y10999" s="20"/>
    </row>
    <row r="11000" spans="24:25">
      <c r="X11000" s="19"/>
      <c r="Y11000" s="20"/>
    </row>
    <row r="11001" spans="24:25">
      <c r="X11001" s="19"/>
      <c r="Y11001" s="20"/>
    </row>
    <row r="11002" spans="24:25">
      <c r="X11002" s="19"/>
      <c r="Y11002" s="20"/>
    </row>
    <row r="11003" spans="24:25">
      <c r="X11003" s="19"/>
      <c r="Y11003" s="20"/>
    </row>
    <row r="11004" spans="24:25">
      <c r="X11004" s="19"/>
      <c r="Y11004" s="20"/>
    </row>
    <row r="11005" spans="24:25">
      <c r="X11005" s="19"/>
      <c r="Y11005" s="20"/>
    </row>
    <row r="11006" spans="24:25">
      <c r="X11006" s="19"/>
      <c r="Y11006" s="20"/>
    </row>
    <row r="11007" spans="24:25">
      <c r="X11007" s="19"/>
      <c r="Y11007" s="20"/>
    </row>
    <row r="11008" spans="24:25">
      <c r="X11008" s="19"/>
      <c r="Y11008" s="20"/>
    </row>
    <row r="11009" spans="24:25">
      <c r="X11009" s="19"/>
      <c r="Y11009" s="20"/>
    </row>
    <row r="11010" spans="24:25">
      <c r="X11010" s="19"/>
      <c r="Y11010" s="20"/>
    </row>
    <row r="11011" spans="24:25">
      <c r="X11011" s="19"/>
      <c r="Y11011" s="20"/>
    </row>
    <row r="11012" spans="24:25">
      <c r="X11012" s="19"/>
      <c r="Y11012" s="20"/>
    </row>
    <row r="11013" spans="24:25">
      <c r="X11013" s="19"/>
      <c r="Y11013" s="20"/>
    </row>
    <row r="11014" spans="24:25">
      <c r="X11014" s="19"/>
      <c r="Y11014" s="20"/>
    </row>
    <row r="11015" spans="24:25">
      <c r="X11015" s="19"/>
      <c r="Y11015" s="20"/>
    </row>
    <row r="11016" spans="24:25">
      <c r="X11016" s="19"/>
      <c r="Y11016" s="20"/>
    </row>
    <row r="11017" spans="24:25">
      <c r="X11017" s="19"/>
      <c r="Y11017" s="20"/>
    </row>
    <row r="11018" spans="24:25">
      <c r="X11018" s="19"/>
      <c r="Y11018" s="20"/>
    </row>
    <row r="11019" spans="24:25">
      <c r="X11019" s="19"/>
      <c r="Y11019" s="20"/>
    </row>
    <row r="11020" spans="24:25">
      <c r="X11020" s="19"/>
      <c r="Y11020" s="20"/>
    </row>
    <row r="11021" spans="24:25">
      <c r="X11021" s="19"/>
      <c r="Y11021" s="20"/>
    </row>
    <row r="11022" spans="24:25">
      <c r="X11022" s="19"/>
      <c r="Y11022" s="20"/>
    </row>
    <row r="11023" spans="24:25">
      <c r="X11023" s="19"/>
      <c r="Y11023" s="20"/>
    </row>
    <row r="11024" spans="24:25">
      <c r="X11024" s="19"/>
      <c r="Y11024" s="20"/>
    </row>
    <row r="11025" spans="24:25">
      <c r="X11025" s="19"/>
      <c r="Y11025" s="20"/>
    </row>
    <row r="11026" spans="24:25">
      <c r="X11026" s="19"/>
      <c r="Y11026" s="20"/>
    </row>
    <row r="11027" spans="24:25">
      <c r="X11027" s="19"/>
      <c r="Y11027" s="20"/>
    </row>
    <row r="11028" spans="24:25">
      <c r="X11028" s="19"/>
      <c r="Y11028" s="20"/>
    </row>
    <row r="11029" spans="24:25">
      <c r="X11029" s="19"/>
      <c r="Y11029" s="20"/>
    </row>
    <row r="11030" spans="24:25">
      <c r="X11030" s="19"/>
      <c r="Y11030" s="20"/>
    </row>
    <row r="11031" spans="24:25">
      <c r="X11031" s="19"/>
      <c r="Y11031" s="20"/>
    </row>
    <row r="11032" spans="24:25">
      <c r="X11032" s="19"/>
      <c r="Y11032" s="20"/>
    </row>
    <row r="11033" spans="24:25">
      <c r="X11033" s="19"/>
      <c r="Y11033" s="20"/>
    </row>
    <row r="11034" spans="24:25">
      <c r="X11034" s="19"/>
      <c r="Y11034" s="20"/>
    </row>
    <row r="11035" spans="24:25">
      <c r="X11035" s="19"/>
      <c r="Y11035" s="20"/>
    </row>
    <row r="11036" spans="24:25">
      <c r="X11036" s="19"/>
      <c r="Y11036" s="20"/>
    </row>
    <row r="11037" spans="24:25">
      <c r="X11037" s="19"/>
      <c r="Y11037" s="20"/>
    </row>
    <row r="11038" spans="24:25">
      <c r="X11038" s="19"/>
      <c r="Y11038" s="20"/>
    </row>
    <row r="11039" spans="24:25">
      <c r="X11039" s="19"/>
      <c r="Y11039" s="20"/>
    </row>
    <row r="11040" spans="24:25">
      <c r="X11040" s="19"/>
      <c r="Y11040" s="20"/>
    </row>
    <row r="11041" spans="24:25">
      <c r="X11041" s="19"/>
      <c r="Y11041" s="20"/>
    </row>
    <row r="11042" spans="24:25">
      <c r="X11042" s="19"/>
      <c r="Y11042" s="20"/>
    </row>
    <row r="11043" spans="24:25">
      <c r="X11043" s="19"/>
      <c r="Y11043" s="20"/>
    </row>
    <row r="11044" spans="24:25">
      <c r="X11044" s="19"/>
      <c r="Y11044" s="20"/>
    </row>
    <row r="11045" spans="24:25">
      <c r="X11045" s="19"/>
      <c r="Y11045" s="20"/>
    </row>
    <row r="11046" spans="24:25">
      <c r="X11046" s="19"/>
      <c r="Y11046" s="20"/>
    </row>
    <row r="11047" spans="24:25">
      <c r="X11047" s="19"/>
      <c r="Y11047" s="20"/>
    </row>
    <row r="11048" spans="24:25">
      <c r="X11048" s="19"/>
      <c r="Y11048" s="20"/>
    </row>
    <row r="11049" spans="24:25">
      <c r="X11049" s="19"/>
      <c r="Y11049" s="20"/>
    </row>
    <row r="11050" spans="24:25">
      <c r="X11050" s="19"/>
      <c r="Y11050" s="20"/>
    </row>
    <row r="11051" spans="24:25">
      <c r="X11051" s="19"/>
      <c r="Y11051" s="20"/>
    </row>
    <row r="11052" spans="24:25">
      <c r="X11052" s="19"/>
      <c r="Y11052" s="20"/>
    </row>
    <row r="11053" spans="24:25">
      <c r="X11053" s="19"/>
      <c r="Y11053" s="20"/>
    </row>
    <row r="11054" spans="24:25">
      <c r="X11054" s="19"/>
      <c r="Y11054" s="20"/>
    </row>
    <row r="11055" spans="24:25">
      <c r="X11055" s="19"/>
      <c r="Y11055" s="20"/>
    </row>
    <row r="11056" spans="24:25">
      <c r="X11056" s="19"/>
      <c r="Y11056" s="20"/>
    </row>
    <row r="11057" spans="24:25">
      <c r="X11057" s="19"/>
      <c r="Y11057" s="20"/>
    </row>
    <row r="11058" spans="24:25">
      <c r="X11058" s="19"/>
      <c r="Y11058" s="20"/>
    </row>
    <row r="11059" spans="24:25">
      <c r="X11059" s="19"/>
      <c r="Y11059" s="20"/>
    </row>
    <row r="11060" spans="24:25">
      <c r="X11060" s="19"/>
      <c r="Y11060" s="20"/>
    </row>
    <row r="11061" spans="24:25">
      <c r="X11061" s="19"/>
      <c r="Y11061" s="20"/>
    </row>
    <row r="11062" spans="24:25">
      <c r="X11062" s="19"/>
      <c r="Y11062" s="20"/>
    </row>
    <row r="11063" spans="24:25">
      <c r="X11063" s="19"/>
      <c r="Y11063" s="20"/>
    </row>
    <row r="11064" spans="24:25">
      <c r="X11064" s="19"/>
      <c r="Y11064" s="20"/>
    </row>
    <row r="11065" spans="24:25">
      <c r="X11065" s="19"/>
      <c r="Y11065" s="20"/>
    </row>
    <row r="11066" spans="24:25">
      <c r="X11066" s="19"/>
      <c r="Y11066" s="20"/>
    </row>
    <row r="11067" spans="24:25">
      <c r="X11067" s="19"/>
      <c r="Y11067" s="20"/>
    </row>
    <row r="11068" spans="24:25">
      <c r="X11068" s="19"/>
      <c r="Y11068" s="20"/>
    </row>
    <row r="11069" spans="24:25">
      <c r="X11069" s="19"/>
      <c r="Y11069" s="20"/>
    </row>
    <row r="11070" spans="24:25">
      <c r="X11070" s="19"/>
      <c r="Y11070" s="20"/>
    </row>
    <row r="11071" spans="24:25">
      <c r="X11071" s="19"/>
      <c r="Y11071" s="20"/>
    </row>
    <row r="11072" spans="24:25">
      <c r="X11072" s="19"/>
      <c r="Y11072" s="20"/>
    </row>
    <row r="11073" spans="24:25">
      <c r="X11073" s="19"/>
      <c r="Y11073" s="20"/>
    </row>
    <row r="11074" spans="24:25">
      <c r="X11074" s="19"/>
      <c r="Y11074" s="20"/>
    </row>
    <row r="11075" spans="24:25">
      <c r="X11075" s="19"/>
      <c r="Y11075" s="20"/>
    </row>
    <row r="11076" spans="24:25">
      <c r="X11076" s="19"/>
      <c r="Y11076" s="20"/>
    </row>
    <row r="11077" spans="24:25">
      <c r="X11077" s="19"/>
      <c r="Y11077" s="20"/>
    </row>
    <row r="11078" spans="24:25">
      <c r="X11078" s="19"/>
      <c r="Y11078" s="20"/>
    </row>
    <row r="11079" spans="24:25">
      <c r="X11079" s="19"/>
      <c r="Y11079" s="20"/>
    </row>
    <row r="11080" spans="24:25">
      <c r="X11080" s="19"/>
      <c r="Y11080" s="20"/>
    </row>
    <row r="11081" spans="24:25">
      <c r="X11081" s="19"/>
      <c r="Y11081" s="20"/>
    </row>
    <row r="11082" spans="24:25">
      <c r="X11082" s="19"/>
      <c r="Y11082" s="20"/>
    </row>
    <row r="11083" spans="24:25">
      <c r="X11083" s="19"/>
      <c r="Y11083" s="20"/>
    </row>
    <row r="11084" spans="24:25">
      <c r="X11084" s="19"/>
      <c r="Y11084" s="20"/>
    </row>
    <row r="11085" spans="24:25">
      <c r="X11085" s="19"/>
      <c r="Y11085" s="20"/>
    </row>
    <row r="11086" spans="24:25">
      <c r="X11086" s="19"/>
      <c r="Y11086" s="20"/>
    </row>
    <row r="11087" spans="24:25">
      <c r="X11087" s="19"/>
      <c r="Y11087" s="20"/>
    </row>
    <row r="11088" spans="24:25">
      <c r="X11088" s="19"/>
      <c r="Y11088" s="20"/>
    </row>
    <row r="11089" spans="24:25">
      <c r="X11089" s="19"/>
      <c r="Y11089" s="20"/>
    </row>
    <row r="11090" spans="24:25">
      <c r="X11090" s="19"/>
      <c r="Y11090" s="20"/>
    </row>
    <row r="11091" spans="24:25">
      <c r="X11091" s="19"/>
      <c r="Y11091" s="20"/>
    </row>
    <row r="11092" spans="24:25">
      <c r="X11092" s="19"/>
      <c r="Y11092" s="20"/>
    </row>
    <row r="11093" spans="24:25">
      <c r="X11093" s="19"/>
      <c r="Y11093" s="20"/>
    </row>
    <row r="11094" spans="24:25">
      <c r="X11094" s="19"/>
      <c r="Y11094" s="20"/>
    </row>
    <row r="11095" spans="24:25">
      <c r="X11095" s="19"/>
      <c r="Y11095" s="20"/>
    </row>
    <row r="11096" spans="24:25">
      <c r="X11096" s="19"/>
      <c r="Y11096" s="20"/>
    </row>
    <row r="11097" spans="24:25">
      <c r="X11097" s="19"/>
      <c r="Y11097" s="20"/>
    </row>
    <row r="11098" spans="24:25">
      <c r="X11098" s="19"/>
      <c r="Y11098" s="20"/>
    </row>
    <row r="11099" spans="24:25">
      <c r="X11099" s="19"/>
      <c r="Y11099" s="20"/>
    </row>
    <row r="11100" spans="24:25">
      <c r="X11100" s="19"/>
      <c r="Y11100" s="20"/>
    </row>
    <row r="11101" spans="24:25">
      <c r="X11101" s="19"/>
      <c r="Y11101" s="20"/>
    </row>
    <row r="11102" spans="24:25">
      <c r="X11102" s="19"/>
      <c r="Y11102" s="20"/>
    </row>
    <row r="11103" spans="24:25">
      <c r="X11103" s="19"/>
      <c r="Y11103" s="20"/>
    </row>
    <row r="11104" spans="24:25">
      <c r="X11104" s="19"/>
      <c r="Y11104" s="20"/>
    </row>
    <row r="11105" spans="24:25">
      <c r="X11105" s="19"/>
      <c r="Y11105" s="20"/>
    </row>
    <row r="11106" spans="24:25">
      <c r="X11106" s="19"/>
      <c r="Y11106" s="20"/>
    </row>
    <row r="11107" spans="24:25">
      <c r="X11107" s="19"/>
      <c r="Y11107" s="20"/>
    </row>
    <row r="11108" spans="24:25">
      <c r="X11108" s="19"/>
      <c r="Y11108" s="20"/>
    </row>
    <row r="11109" spans="24:25">
      <c r="X11109" s="19"/>
      <c r="Y11109" s="20"/>
    </row>
    <row r="11110" spans="24:25">
      <c r="X11110" s="19"/>
      <c r="Y11110" s="20"/>
    </row>
    <row r="11111" spans="24:25">
      <c r="X11111" s="19"/>
      <c r="Y11111" s="20"/>
    </row>
    <row r="11112" spans="24:25">
      <c r="X11112" s="19"/>
      <c r="Y11112" s="20"/>
    </row>
    <row r="11113" spans="24:25">
      <c r="X11113" s="19"/>
      <c r="Y11113" s="20"/>
    </row>
    <row r="11114" spans="24:25">
      <c r="X11114" s="19"/>
      <c r="Y11114" s="20"/>
    </row>
    <row r="11115" spans="24:25">
      <c r="X11115" s="19"/>
      <c r="Y11115" s="20"/>
    </row>
    <row r="11116" spans="24:25">
      <c r="X11116" s="19"/>
      <c r="Y11116" s="20"/>
    </row>
    <row r="11117" spans="24:25">
      <c r="X11117" s="19"/>
      <c r="Y11117" s="20"/>
    </row>
    <row r="11118" spans="24:25">
      <c r="X11118" s="19"/>
      <c r="Y11118" s="20"/>
    </row>
    <row r="11119" spans="24:25">
      <c r="X11119" s="19"/>
      <c r="Y11119" s="20"/>
    </row>
    <row r="11120" spans="24:25">
      <c r="X11120" s="19"/>
      <c r="Y11120" s="20"/>
    </row>
    <row r="11121" spans="24:25">
      <c r="X11121" s="19"/>
      <c r="Y11121" s="20"/>
    </row>
    <row r="11122" spans="24:25">
      <c r="X11122" s="19"/>
      <c r="Y11122" s="20"/>
    </row>
    <row r="11123" spans="24:25">
      <c r="X11123" s="19"/>
      <c r="Y11123" s="20"/>
    </row>
    <row r="11124" spans="24:25">
      <c r="X11124" s="19"/>
      <c r="Y11124" s="20"/>
    </row>
    <row r="11125" spans="24:25">
      <c r="X11125" s="19"/>
      <c r="Y11125" s="20"/>
    </row>
    <row r="11126" spans="24:25">
      <c r="X11126" s="19"/>
      <c r="Y11126" s="20"/>
    </row>
    <row r="11127" spans="24:25">
      <c r="X11127" s="19"/>
      <c r="Y11127" s="20"/>
    </row>
    <row r="11128" spans="24:25">
      <c r="X11128" s="19"/>
      <c r="Y11128" s="20"/>
    </row>
    <row r="11129" spans="24:25">
      <c r="X11129" s="19"/>
      <c r="Y11129" s="20"/>
    </row>
    <row r="11130" spans="24:25">
      <c r="X11130" s="19"/>
      <c r="Y11130" s="20"/>
    </row>
    <row r="11131" spans="24:25">
      <c r="X11131" s="19"/>
      <c r="Y11131" s="20"/>
    </row>
    <row r="11132" spans="24:25">
      <c r="X11132" s="19"/>
      <c r="Y11132" s="20"/>
    </row>
    <row r="11133" spans="24:25">
      <c r="X11133" s="19"/>
      <c r="Y11133" s="20"/>
    </row>
    <row r="11134" spans="24:25">
      <c r="X11134" s="19"/>
      <c r="Y11134" s="20"/>
    </row>
    <row r="11135" spans="24:25">
      <c r="X11135" s="19"/>
      <c r="Y11135" s="20"/>
    </row>
    <row r="11136" spans="24:25">
      <c r="X11136" s="19"/>
      <c r="Y11136" s="20"/>
    </row>
    <row r="11137" spans="24:25">
      <c r="X11137" s="19"/>
      <c r="Y11137" s="20"/>
    </row>
    <row r="11138" spans="24:25">
      <c r="X11138" s="19"/>
      <c r="Y11138" s="20"/>
    </row>
    <row r="11139" spans="24:25">
      <c r="X11139" s="19"/>
      <c r="Y11139" s="20"/>
    </row>
    <row r="11140" spans="24:25">
      <c r="X11140" s="19"/>
      <c r="Y11140" s="20"/>
    </row>
    <row r="11141" spans="24:25">
      <c r="X11141" s="19"/>
      <c r="Y11141" s="20"/>
    </row>
    <row r="11142" spans="24:25">
      <c r="X11142" s="19"/>
      <c r="Y11142" s="20"/>
    </row>
    <row r="11143" spans="24:25">
      <c r="X11143" s="19"/>
      <c r="Y11143" s="20"/>
    </row>
    <row r="11144" spans="24:25">
      <c r="X11144" s="19"/>
      <c r="Y11144" s="20"/>
    </row>
    <row r="11145" spans="24:25">
      <c r="X11145" s="19"/>
      <c r="Y11145" s="20"/>
    </row>
    <row r="11146" spans="24:25">
      <c r="X11146" s="19"/>
      <c r="Y11146" s="20"/>
    </row>
    <row r="11147" spans="24:25">
      <c r="X11147" s="19"/>
      <c r="Y11147" s="20"/>
    </row>
    <row r="11148" spans="24:25">
      <c r="X11148" s="19"/>
      <c r="Y11148" s="20"/>
    </row>
    <row r="11149" spans="24:25">
      <c r="X11149" s="19"/>
      <c r="Y11149" s="20"/>
    </row>
    <row r="11150" spans="24:25">
      <c r="X11150" s="19"/>
      <c r="Y11150" s="20"/>
    </row>
    <row r="11151" spans="24:25">
      <c r="X11151" s="19"/>
      <c r="Y11151" s="20"/>
    </row>
    <row r="11152" spans="24:25">
      <c r="X11152" s="19"/>
      <c r="Y11152" s="20"/>
    </row>
    <row r="11153" spans="24:25">
      <c r="X11153" s="19"/>
      <c r="Y11153" s="20"/>
    </row>
    <row r="11154" spans="24:25">
      <c r="X11154" s="19"/>
      <c r="Y11154" s="20"/>
    </row>
    <row r="11155" spans="24:25">
      <c r="X11155" s="19"/>
      <c r="Y11155" s="20"/>
    </row>
    <row r="11156" spans="24:25">
      <c r="X11156" s="19"/>
      <c r="Y11156" s="20"/>
    </row>
    <row r="11157" spans="24:25">
      <c r="X11157" s="19"/>
      <c r="Y11157" s="20"/>
    </row>
    <row r="11158" spans="24:25">
      <c r="X11158" s="19"/>
      <c r="Y11158" s="20"/>
    </row>
    <row r="11159" spans="24:25">
      <c r="X11159" s="19"/>
      <c r="Y11159" s="20"/>
    </row>
    <row r="11160" spans="24:25">
      <c r="X11160" s="19"/>
      <c r="Y11160" s="20"/>
    </row>
    <row r="11161" spans="24:25">
      <c r="X11161" s="19"/>
      <c r="Y11161" s="20"/>
    </row>
    <row r="11162" spans="24:25">
      <c r="X11162" s="19"/>
      <c r="Y11162" s="20"/>
    </row>
    <row r="11163" spans="24:25">
      <c r="X11163" s="19"/>
      <c r="Y11163" s="20"/>
    </row>
    <row r="11164" spans="24:25">
      <c r="X11164" s="19"/>
      <c r="Y11164" s="20"/>
    </row>
    <row r="11165" spans="24:25">
      <c r="X11165" s="19"/>
      <c r="Y11165" s="20"/>
    </row>
    <row r="11166" spans="24:25">
      <c r="X11166" s="19"/>
      <c r="Y11166" s="20"/>
    </row>
    <row r="11167" spans="24:25">
      <c r="X11167" s="19"/>
      <c r="Y11167" s="20"/>
    </row>
    <row r="11168" spans="24:25">
      <c r="X11168" s="19"/>
      <c r="Y11168" s="20"/>
    </row>
    <row r="11169" spans="24:25">
      <c r="X11169" s="19"/>
      <c r="Y11169" s="20"/>
    </row>
    <row r="11170" spans="24:25">
      <c r="X11170" s="19"/>
      <c r="Y11170" s="20"/>
    </row>
    <row r="11171" spans="24:25">
      <c r="X11171" s="19"/>
      <c r="Y11171" s="20"/>
    </row>
    <row r="11172" spans="24:25">
      <c r="X11172" s="19"/>
      <c r="Y11172" s="20"/>
    </row>
    <row r="11173" spans="24:25">
      <c r="X11173" s="19"/>
      <c r="Y11173" s="20"/>
    </row>
    <row r="11174" spans="24:25">
      <c r="X11174" s="19"/>
      <c r="Y11174" s="20"/>
    </row>
    <row r="11175" spans="24:25">
      <c r="X11175" s="19"/>
      <c r="Y11175" s="20"/>
    </row>
    <row r="11176" spans="24:25">
      <c r="X11176" s="19"/>
      <c r="Y11176" s="20"/>
    </row>
    <row r="11177" spans="24:25">
      <c r="X11177" s="19"/>
      <c r="Y11177" s="20"/>
    </row>
    <row r="11178" spans="24:25">
      <c r="X11178" s="19"/>
      <c r="Y11178" s="20"/>
    </row>
    <row r="11179" spans="24:25">
      <c r="X11179" s="19"/>
      <c r="Y11179" s="20"/>
    </row>
    <row r="11180" spans="24:25">
      <c r="X11180" s="19"/>
      <c r="Y11180" s="20"/>
    </row>
    <row r="11181" spans="24:25">
      <c r="X11181" s="19"/>
      <c r="Y11181" s="20"/>
    </row>
    <row r="11182" spans="24:25">
      <c r="X11182" s="19"/>
      <c r="Y11182" s="20"/>
    </row>
    <row r="11183" spans="24:25">
      <c r="X11183" s="19"/>
      <c r="Y11183" s="20"/>
    </row>
    <row r="11184" spans="24:25">
      <c r="X11184" s="19"/>
      <c r="Y11184" s="20"/>
    </row>
    <row r="11185" spans="24:25">
      <c r="X11185" s="19"/>
      <c r="Y11185" s="20"/>
    </row>
    <row r="11186" spans="24:25">
      <c r="X11186" s="19"/>
      <c r="Y11186" s="20"/>
    </row>
    <row r="11187" spans="24:25">
      <c r="X11187" s="19"/>
      <c r="Y11187" s="20"/>
    </row>
    <row r="11188" spans="24:25">
      <c r="X11188" s="19"/>
      <c r="Y11188" s="20"/>
    </row>
    <row r="11189" spans="24:25">
      <c r="X11189" s="19"/>
      <c r="Y11189" s="20"/>
    </row>
    <row r="11190" spans="24:25">
      <c r="X11190" s="19"/>
      <c r="Y11190" s="20"/>
    </row>
    <row r="11191" spans="24:25">
      <c r="X11191" s="19"/>
      <c r="Y11191" s="20"/>
    </row>
    <row r="11192" spans="24:25">
      <c r="X11192" s="19"/>
      <c r="Y11192" s="20"/>
    </row>
    <row r="11193" spans="24:25">
      <c r="X11193" s="19"/>
      <c r="Y11193" s="20"/>
    </row>
    <row r="11194" spans="24:25">
      <c r="X11194" s="19"/>
      <c r="Y11194" s="20"/>
    </row>
    <row r="11195" spans="24:25">
      <c r="X11195" s="19"/>
      <c r="Y11195" s="20"/>
    </row>
    <row r="11196" spans="24:25">
      <c r="X11196" s="19"/>
      <c r="Y11196" s="20"/>
    </row>
    <row r="11197" spans="24:25">
      <c r="X11197" s="19"/>
      <c r="Y11197" s="20"/>
    </row>
    <row r="11198" spans="24:25">
      <c r="X11198" s="19"/>
      <c r="Y11198" s="20"/>
    </row>
    <row r="11199" spans="24:25">
      <c r="X11199" s="19"/>
      <c r="Y11199" s="20"/>
    </row>
    <row r="11200" spans="24:25">
      <c r="X11200" s="19"/>
      <c r="Y11200" s="20"/>
    </row>
    <row r="11201" spans="24:25">
      <c r="X11201" s="19"/>
      <c r="Y11201" s="20"/>
    </row>
    <row r="11202" spans="24:25">
      <c r="X11202" s="19"/>
      <c r="Y11202" s="20"/>
    </row>
    <row r="11203" spans="24:25">
      <c r="X11203" s="19"/>
      <c r="Y11203" s="20"/>
    </row>
    <row r="11204" spans="24:25">
      <c r="X11204" s="19"/>
      <c r="Y11204" s="20"/>
    </row>
    <row r="11205" spans="24:25">
      <c r="X11205" s="19"/>
      <c r="Y11205" s="20"/>
    </row>
    <row r="11206" spans="24:25">
      <c r="X11206" s="19"/>
      <c r="Y11206" s="20"/>
    </row>
    <row r="11207" spans="24:25">
      <c r="X11207" s="19"/>
      <c r="Y11207" s="20"/>
    </row>
    <row r="11208" spans="24:25">
      <c r="X11208" s="19"/>
      <c r="Y11208" s="20"/>
    </row>
    <row r="11209" spans="24:25">
      <c r="X11209" s="19"/>
      <c r="Y11209" s="20"/>
    </row>
    <row r="11210" spans="24:25">
      <c r="X11210" s="19"/>
      <c r="Y11210" s="20"/>
    </row>
    <row r="11211" spans="24:25">
      <c r="X11211" s="19"/>
      <c r="Y11211" s="20"/>
    </row>
    <row r="11212" spans="24:25">
      <c r="X11212" s="19"/>
      <c r="Y11212" s="20"/>
    </row>
    <row r="11213" spans="24:25">
      <c r="X11213" s="19"/>
      <c r="Y11213" s="20"/>
    </row>
    <row r="11214" spans="24:25">
      <c r="X11214" s="19"/>
      <c r="Y11214" s="20"/>
    </row>
    <row r="11215" spans="24:25">
      <c r="X11215" s="19"/>
      <c r="Y11215" s="20"/>
    </row>
    <row r="11216" spans="24:25">
      <c r="X11216" s="19"/>
      <c r="Y11216" s="20"/>
    </row>
    <row r="11217" spans="24:25">
      <c r="X11217" s="19"/>
      <c r="Y11217" s="20"/>
    </row>
    <row r="11218" spans="24:25">
      <c r="X11218" s="19"/>
      <c r="Y11218" s="20"/>
    </row>
    <row r="11219" spans="24:25">
      <c r="X11219" s="19"/>
      <c r="Y11219" s="20"/>
    </row>
    <row r="11220" spans="24:25">
      <c r="X11220" s="19"/>
      <c r="Y11220" s="20"/>
    </row>
    <row r="11221" spans="24:25">
      <c r="X11221" s="19"/>
      <c r="Y11221" s="20"/>
    </row>
    <row r="11222" spans="24:25">
      <c r="X11222" s="19"/>
      <c r="Y11222" s="20"/>
    </row>
    <row r="11223" spans="24:25">
      <c r="X11223" s="19"/>
      <c r="Y11223" s="20"/>
    </row>
    <row r="11224" spans="24:25">
      <c r="X11224" s="19"/>
      <c r="Y11224" s="20"/>
    </row>
    <row r="11225" spans="24:25">
      <c r="X11225" s="19"/>
      <c r="Y11225" s="20"/>
    </row>
    <row r="11226" spans="24:25">
      <c r="X11226" s="19"/>
      <c r="Y11226" s="20"/>
    </row>
    <row r="11227" spans="24:25">
      <c r="X11227" s="19"/>
      <c r="Y11227" s="20"/>
    </row>
    <row r="11228" spans="24:25">
      <c r="X11228" s="19"/>
      <c r="Y11228" s="20"/>
    </row>
    <row r="11229" spans="24:25">
      <c r="X11229" s="19"/>
      <c r="Y11229" s="20"/>
    </row>
    <row r="11230" spans="24:25">
      <c r="X11230" s="19"/>
      <c r="Y11230" s="20"/>
    </row>
    <row r="11231" spans="24:25">
      <c r="X11231" s="19"/>
      <c r="Y11231" s="20"/>
    </row>
    <row r="11232" spans="24:25">
      <c r="X11232" s="19"/>
      <c r="Y11232" s="20"/>
    </row>
    <row r="11233" spans="24:25">
      <c r="X11233" s="19"/>
      <c r="Y11233" s="20"/>
    </row>
    <row r="11234" spans="24:25">
      <c r="X11234" s="19"/>
      <c r="Y11234" s="20"/>
    </row>
    <row r="11235" spans="24:25">
      <c r="X11235" s="19"/>
      <c r="Y11235" s="20"/>
    </row>
    <row r="11236" spans="24:25">
      <c r="X11236" s="19"/>
      <c r="Y11236" s="20"/>
    </row>
    <row r="11237" spans="24:25">
      <c r="X11237" s="19"/>
      <c r="Y11237" s="20"/>
    </row>
    <row r="11238" spans="24:25">
      <c r="X11238" s="19"/>
      <c r="Y11238" s="20"/>
    </row>
    <row r="11239" spans="24:25">
      <c r="X11239" s="19"/>
      <c r="Y11239" s="20"/>
    </row>
    <row r="11240" spans="24:25">
      <c r="X11240" s="19"/>
      <c r="Y11240" s="20"/>
    </row>
    <row r="11241" spans="24:25">
      <c r="X11241" s="19"/>
      <c r="Y11241" s="20"/>
    </row>
    <row r="11242" spans="24:25">
      <c r="X11242" s="19"/>
      <c r="Y11242" s="20"/>
    </row>
    <row r="11243" spans="24:25">
      <c r="X11243" s="19"/>
      <c r="Y11243" s="20"/>
    </row>
    <row r="11244" spans="24:25">
      <c r="X11244" s="19"/>
      <c r="Y11244" s="20"/>
    </row>
    <row r="11245" spans="24:25">
      <c r="X11245" s="19"/>
      <c r="Y11245" s="20"/>
    </row>
    <row r="11246" spans="24:25">
      <c r="X11246" s="19"/>
      <c r="Y11246" s="20"/>
    </row>
    <row r="11247" spans="24:25">
      <c r="X11247" s="19"/>
      <c r="Y11247" s="20"/>
    </row>
    <row r="11248" spans="24:25">
      <c r="X11248" s="19"/>
      <c r="Y11248" s="20"/>
    </row>
    <row r="11249" spans="24:25">
      <c r="X11249" s="19"/>
      <c r="Y11249" s="20"/>
    </row>
    <row r="11250" spans="24:25">
      <c r="X11250" s="19"/>
      <c r="Y11250" s="20"/>
    </row>
    <row r="11251" spans="24:25">
      <c r="X11251" s="19"/>
      <c r="Y11251" s="20"/>
    </row>
    <row r="11252" spans="24:25">
      <c r="X11252" s="19"/>
      <c r="Y11252" s="20"/>
    </row>
    <row r="11253" spans="24:25">
      <c r="X11253" s="19"/>
      <c r="Y11253" s="20"/>
    </row>
    <row r="11254" spans="24:25">
      <c r="X11254" s="19"/>
      <c r="Y11254" s="20"/>
    </row>
    <row r="11255" spans="24:25">
      <c r="X11255" s="19"/>
      <c r="Y11255" s="20"/>
    </row>
    <row r="11256" spans="24:25">
      <c r="X11256" s="19"/>
      <c r="Y11256" s="20"/>
    </row>
    <row r="11257" spans="24:25">
      <c r="X11257" s="19"/>
      <c r="Y11257" s="20"/>
    </row>
    <row r="11258" spans="24:25">
      <c r="X11258" s="19"/>
      <c r="Y11258" s="20"/>
    </row>
    <row r="11259" spans="24:25">
      <c r="X11259" s="19"/>
      <c r="Y11259" s="20"/>
    </row>
    <row r="11260" spans="24:25">
      <c r="X11260" s="19"/>
      <c r="Y11260" s="20"/>
    </row>
    <row r="11261" spans="24:25">
      <c r="X11261" s="19"/>
      <c r="Y11261" s="20"/>
    </row>
    <row r="11262" spans="24:25">
      <c r="X11262" s="19"/>
      <c r="Y11262" s="20"/>
    </row>
    <row r="11263" spans="24:25">
      <c r="X11263" s="19"/>
      <c r="Y11263" s="20"/>
    </row>
    <row r="11264" spans="24:25">
      <c r="X11264" s="19"/>
      <c r="Y11264" s="20"/>
    </row>
    <row r="11265" spans="24:25">
      <c r="X11265" s="19"/>
      <c r="Y11265" s="20"/>
    </row>
    <row r="11266" spans="24:25">
      <c r="X11266" s="19"/>
      <c r="Y11266" s="20"/>
    </row>
    <row r="11267" spans="24:25">
      <c r="X11267" s="19"/>
      <c r="Y11267" s="20"/>
    </row>
    <row r="11268" spans="24:25">
      <c r="X11268" s="19"/>
      <c r="Y11268" s="20"/>
    </row>
    <row r="11269" spans="24:25">
      <c r="X11269" s="19"/>
      <c r="Y11269" s="20"/>
    </row>
    <row r="11270" spans="24:25">
      <c r="X11270" s="19"/>
      <c r="Y11270" s="20"/>
    </row>
    <row r="11271" spans="24:25">
      <c r="X11271" s="19"/>
      <c r="Y11271" s="20"/>
    </row>
    <row r="11272" spans="24:25">
      <c r="X11272" s="19"/>
      <c r="Y11272" s="20"/>
    </row>
    <row r="11273" spans="24:25">
      <c r="X11273" s="19"/>
      <c r="Y11273" s="20"/>
    </row>
    <row r="11274" spans="24:25">
      <c r="X11274" s="19"/>
      <c r="Y11274" s="20"/>
    </row>
    <row r="11275" spans="24:25">
      <c r="X11275" s="19"/>
      <c r="Y11275" s="20"/>
    </row>
    <row r="11276" spans="24:25">
      <c r="X11276" s="19"/>
      <c r="Y11276" s="20"/>
    </row>
    <row r="11277" spans="24:25">
      <c r="X11277" s="19"/>
      <c r="Y11277" s="20"/>
    </row>
    <row r="11278" spans="24:25">
      <c r="X11278" s="19"/>
      <c r="Y11278" s="20"/>
    </row>
    <row r="11279" spans="24:25">
      <c r="X11279" s="19"/>
      <c r="Y11279" s="20"/>
    </row>
    <row r="11280" spans="24:25">
      <c r="X11280" s="19"/>
      <c r="Y11280" s="20"/>
    </row>
    <row r="11281" spans="24:25">
      <c r="X11281" s="19"/>
      <c r="Y11281" s="20"/>
    </row>
    <row r="11282" spans="24:25">
      <c r="X11282" s="19"/>
      <c r="Y11282" s="20"/>
    </row>
    <row r="11283" spans="24:25">
      <c r="X11283" s="19"/>
      <c r="Y11283" s="20"/>
    </row>
    <row r="11284" spans="24:25">
      <c r="X11284" s="19"/>
      <c r="Y11284" s="20"/>
    </row>
    <row r="11285" spans="24:25">
      <c r="X11285" s="19"/>
      <c r="Y11285" s="20"/>
    </row>
    <row r="11286" spans="24:25">
      <c r="X11286" s="19"/>
      <c r="Y11286" s="20"/>
    </row>
    <row r="11287" spans="24:25">
      <c r="X11287" s="19"/>
      <c r="Y11287" s="20"/>
    </row>
    <row r="11288" spans="24:25">
      <c r="X11288" s="19"/>
      <c r="Y11288" s="20"/>
    </row>
    <row r="11289" spans="24:25">
      <c r="X11289" s="19"/>
      <c r="Y11289" s="20"/>
    </row>
    <row r="11290" spans="24:25">
      <c r="X11290" s="19"/>
      <c r="Y11290" s="20"/>
    </row>
    <row r="11291" spans="24:25">
      <c r="X11291" s="19"/>
      <c r="Y11291" s="20"/>
    </row>
    <row r="11292" spans="24:25">
      <c r="X11292" s="19"/>
      <c r="Y11292" s="20"/>
    </row>
    <row r="11293" spans="24:25">
      <c r="X11293" s="19"/>
      <c r="Y11293" s="20"/>
    </row>
    <row r="11294" spans="24:25">
      <c r="X11294" s="19"/>
      <c r="Y11294" s="20"/>
    </row>
    <row r="11295" spans="24:25">
      <c r="X11295" s="19"/>
      <c r="Y11295" s="20"/>
    </row>
    <row r="11296" spans="24:25">
      <c r="X11296" s="19"/>
      <c r="Y11296" s="20"/>
    </row>
    <row r="11297" spans="24:25">
      <c r="X11297" s="19"/>
      <c r="Y11297" s="20"/>
    </row>
    <row r="11298" spans="24:25">
      <c r="X11298" s="19"/>
      <c r="Y11298" s="20"/>
    </row>
    <row r="11299" spans="24:25">
      <c r="X11299" s="19"/>
      <c r="Y11299" s="20"/>
    </row>
    <row r="11300" spans="24:25">
      <c r="X11300" s="19"/>
      <c r="Y11300" s="20"/>
    </row>
    <row r="11301" spans="24:25">
      <c r="X11301" s="19"/>
      <c r="Y11301" s="20"/>
    </row>
    <row r="11302" spans="24:25">
      <c r="X11302" s="19"/>
      <c r="Y11302" s="20"/>
    </row>
    <row r="11303" spans="24:25">
      <c r="X11303" s="19"/>
      <c r="Y11303" s="20"/>
    </row>
    <row r="11304" spans="24:25">
      <c r="X11304" s="19"/>
      <c r="Y11304" s="20"/>
    </row>
    <row r="11305" spans="24:25">
      <c r="X11305" s="19"/>
      <c r="Y11305" s="20"/>
    </row>
    <row r="11306" spans="24:25">
      <c r="X11306" s="19"/>
      <c r="Y11306" s="20"/>
    </row>
    <row r="11307" spans="24:25">
      <c r="X11307" s="19"/>
      <c r="Y11307" s="20"/>
    </row>
    <row r="11308" spans="24:25">
      <c r="X11308" s="19"/>
      <c r="Y11308" s="20"/>
    </row>
    <row r="11309" spans="24:25">
      <c r="X11309" s="19"/>
      <c r="Y11309" s="20"/>
    </row>
    <row r="11310" spans="24:25">
      <c r="X11310" s="19"/>
      <c r="Y11310" s="20"/>
    </row>
    <row r="11311" spans="24:25">
      <c r="X11311" s="19"/>
      <c r="Y11311" s="20"/>
    </row>
    <row r="11312" spans="24:25">
      <c r="X11312" s="19"/>
      <c r="Y11312" s="20"/>
    </row>
    <row r="11313" spans="24:25">
      <c r="X11313" s="19"/>
      <c r="Y11313" s="20"/>
    </row>
    <row r="11314" spans="24:25">
      <c r="X11314" s="19"/>
      <c r="Y11314" s="20"/>
    </row>
    <row r="11315" spans="24:25">
      <c r="X11315" s="19"/>
      <c r="Y11315" s="20"/>
    </row>
    <row r="11316" spans="24:25">
      <c r="X11316" s="19"/>
      <c r="Y11316" s="20"/>
    </row>
    <row r="11317" spans="24:25">
      <c r="X11317" s="19"/>
      <c r="Y11317" s="20"/>
    </row>
    <row r="11318" spans="24:25">
      <c r="X11318" s="19"/>
      <c r="Y11318" s="20"/>
    </row>
    <row r="11319" spans="24:25">
      <c r="X11319" s="19"/>
      <c r="Y11319" s="20"/>
    </row>
    <row r="11320" spans="24:25">
      <c r="X11320" s="19"/>
      <c r="Y11320" s="20"/>
    </row>
    <row r="11321" spans="24:25">
      <c r="X11321" s="19"/>
      <c r="Y11321" s="20"/>
    </row>
    <row r="11322" spans="24:25">
      <c r="X11322" s="19"/>
      <c r="Y11322" s="20"/>
    </row>
    <row r="11323" spans="24:25">
      <c r="X11323" s="19"/>
      <c r="Y11323" s="20"/>
    </row>
    <row r="11324" spans="24:25">
      <c r="X11324" s="19"/>
      <c r="Y11324" s="20"/>
    </row>
    <row r="11325" spans="24:25">
      <c r="X11325" s="19"/>
      <c r="Y11325" s="20"/>
    </row>
    <row r="11326" spans="24:25">
      <c r="X11326" s="19"/>
      <c r="Y11326" s="20"/>
    </row>
    <row r="11327" spans="24:25">
      <c r="X11327" s="19"/>
      <c r="Y11327" s="20"/>
    </row>
    <row r="11328" spans="24:25">
      <c r="X11328" s="19"/>
      <c r="Y11328" s="20"/>
    </row>
    <row r="11329" spans="24:25">
      <c r="X11329" s="19"/>
      <c r="Y11329" s="20"/>
    </row>
    <row r="11330" spans="24:25">
      <c r="X11330" s="19"/>
      <c r="Y11330" s="20"/>
    </row>
    <row r="11331" spans="24:25">
      <c r="X11331" s="19"/>
      <c r="Y11331" s="20"/>
    </row>
    <row r="11332" spans="24:25">
      <c r="X11332" s="19"/>
      <c r="Y11332" s="20"/>
    </row>
    <row r="11333" spans="24:25">
      <c r="X11333" s="19"/>
      <c r="Y11333" s="20"/>
    </row>
    <row r="11334" spans="24:25">
      <c r="X11334" s="19"/>
      <c r="Y11334" s="20"/>
    </row>
    <row r="11335" spans="24:25">
      <c r="X11335" s="19"/>
      <c r="Y11335" s="20"/>
    </row>
    <row r="11336" spans="24:25">
      <c r="X11336" s="19"/>
      <c r="Y11336" s="20"/>
    </row>
    <row r="11337" spans="24:25">
      <c r="X11337" s="19"/>
      <c r="Y11337" s="20"/>
    </row>
    <row r="11338" spans="24:25">
      <c r="X11338" s="19"/>
      <c r="Y11338" s="20"/>
    </row>
    <row r="11339" spans="24:25">
      <c r="X11339" s="19"/>
      <c r="Y11339" s="20"/>
    </row>
    <row r="11340" spans="24:25">
      <c r="X11340" s="19"/>
      <c r="Y11340" s="20"/>
    </row>
    <row r="11341" spans="24:25">
      <c r="X11341" s="19"/>
      <c r="Y11341" s="20"/>
    </row>
    <row r="11342" spans="24:25">
      <c r="X11342" s="19"/>
      <c r="Y11342" s="20"/>
    </row>
    <row r="11343" spans="24:25">
      <c r="X11343" s="19"/>
      <c r="Y11343" s="20"/>
    </row>
    <row r="11344" spans="24:25">
      <c r="X11344" s="19"/>
      <c r="Y11344" s="20"/>
    </row>
    <row r="11345" spans="24:25">
      <c r="X11345" s="19"/>
      <c r="Y11345" s="20"/>
    </row>
    <row r="11346" spans="24:25">
      <c r="X11346" s="19"/>
      <c r="Y11346" s="20"/>
    </row>
    <row r="11347" spans="24:25">
      <c r="X11347" s="19"/>
      <c r="Y11347" s="20"/>
    </row>
    <row r="11348" spans="24:25">
      <c r="X11348" s="19"/>
      <c r="Y11348" s="20"/>
    </row>
    <row r="11349" spans="24:25">
      <c r="X11349" s="19"/>
      <c r="Y11349" s="20"/>
    </row>
    <row r="11350" spans="24:25">
      <c r="X11350" s="19"/>
      <c r="Y11350" s="20"/>
    </row>
    <row r="11351" spans="24:25">
      <c r="X11351" s="19"/>
      <c r="Y11351" s="20"/>
    </row>
    <row r="11352" spans="24:25">
      <c r="X11352" s="19"/>
      <c r="Y11352" s="20"/>
    </row>
    <row r="11353" spans="24:25">
      <c r="X11353" s="19"/>
      <c r="Y11353" s="20"/>
    </row>
    <row r="11354" spans="24:25">
      <c r="X11354" s="19"/>
      <c r="Y11354" s="20"/>
    </row>
    <row r="11355" spans="24:25">
      <c r="X11355" s="19"/>
      <c r="Y11355" s="20"/>
    </row>
    <row r="11356" spans="24:25">
      <c r="X11356" s="19"/>
      <c r="Y11356" s="20"/>
    </row>
    <row r="11357" spans="24:25">
      <c r="X11357" s="19"/>
      <c r="Y11357" s="20"/>
    </row>
    <row r="11358" spans="24:25">
      <c r="X11358" s="19"/>
      <c r="Y11358" s="20"/>
    </row>
    <row r="11359" spans="24:25">
      <c r="X11359" s="19"/>
      <c r="Y11359" s="20"/>
    </row>
    <row r="11360" spans="24:25">
      <c r="X11360" s="19"/>
      <c r="Y11360" s="20"/>
    </row>
    <row r="11361" spans="24:25">
      <c r="X11361" s="19"/>
      <c r="Y11361" s="20"/>
    </row>
    <row r="11362" spans="24:25">
      <c r="X11362" s="19"/>
      <c r="Y11362" s="20"/>
    </row>
    <row r="11363" spans="24:25">
      <c r="X11363" s="19"/>
      <c r="Y11363" s="20"/>
    </row>
    <row r="11364" spans="24:25">
      <c r="X11364" s="19"/>
      <c r="Y11364" s="20"/>
    </row>
    <row r="11365" spans="24:25">
      <c r="X11365" s="19"/>
      <c r="Y11365" s="20"/>
    </row>
    <row r="11366" spans="24:25">
      <c r="X11366" s="19"/>
      <c r="Y11366" s="20"/>
    </row>
    <row r="11367" spans="24:25">
      <c r="X11367" s="19"/>
      <c r="Y11367" s="20"/>
    </row>
    <row r="11368" spans="24:25">
      <c r="X11368" s="19"/>
      <c r="Y11368" s="20"/>
    </row>
    <row r="11369" spans="24:25">
      <c r="X11369" s="19"/>
      <c r="Y11369" s="20"/>
    </row>
    <row r="11370" spans="24:25">
      <c r="X11370" s="19"/>
      <c r="Y11370" s="20"/>
    </row>
    <row r="11371" spans="24:25">
      <c r="X11371" s="19"/>
      <c r="Y11371" s="20"/>
    </row>
    <row r="11372" spans="24:25">
      <c r="X11372" s="19"/>
      <c r="Y11372" s="20"/>
    </row>
    <row r="11373" spans="24:25">
      <c r="X11373" s="19"/>
      <c r="Y11373" s="20"/>
    </row>
    <row r="11374" spans="24:25">
      <c r="X11374" s="19"/>
      <c r="Y11374" s="20"/>
    </row>
    <row r="11375" spans="24:25">
      <c r="X11375" s="19"/>
      <c r="Y11375" s="20"/>
    </row>
    <row r="11376" spans="24:25">
      <c r="X11376" s="19"/>
      <c r="Y11376" s="20"/>
    </row>
    <row r="11377" spans="24:25">
      <c r="X11377" s="19"/>
      <c r="Y11377" s="20"/>
    </row>
    <row r="11378" spans="24:25">
      <c r="X11378" s="19"/>
      <c r="Y11378" s="20"/>
    </row>
    <row r="11379" spans="24:25">
      <c r="X11379" s="19"/>
      <c r="Y11379" s="20"/>
    </row>
    <row r="11380" spans="24:25">
      <c r="X11380" s="19"/>
      <c r="Y11380" s="20"/>
    </row>
    <row r="11381" spans="24:25">
      <c r="X11381" s="19"/>
      <c r="Y11381" s="20"/>
    </row>
    <row r="11382" spans="24:25">
      <c r="X11382" s="19"/>
      <c r="Y11382" s="20"/>
    </row>
    <row r="11383" spans="24:25">
      <c r="X11383" s="19"/>
      <c r="Y11383" s="20"/>
    </row>
    <row r="11384" spans="24:25">
      <c r="X11384" s="19"/>
      <c r="Y11384" s="20"/>
    </row>
    <row r="11385" spans="24:25">
      <c r="X11385" s="19"/>
      <c r="Y11385" s="20"/>
    </row>
    <row r="11386" spans="24:25">
      <c r="X11386" s="19"/>
      <c r="Y11386" s="20"/>
    </row>
    <row r="11387" spans="24:25">
      <c r="X11387" s="19"/>
      <c r="Y11387" s="20"/>
    </row>
    <row r="11388" spans="24:25">
      <c r="X11388" s="19"/>
      <c r="Y11388" s="20"/>
    </row>
    <row r="11389" spans="24:25">
      <c r="X11389" s="19"/>
      <c r="Y11389" s="20"/>
    </row>
    <row r="11390" spans="24:25">
      <c r="X11390" s="19"/>
      <c r="Y11390" s="20"/>
    </row>
    <row r="11391" spans="24:25">
      <c r="X11391" s="19"/>
      <c r="Y11391" s="20"/>
    </row>
    <row r="11392" spans="24:25">
      <c r="X11392" s="19"/>
      <c r="Y11392" s="20"/>
    </row>
    <row r="11393" spans="24:25">
      <c r="X11393" s="19"/>
      <c r="Y11393" s="20"/>
    </row>
    <row r="11394" spans="24:25">
      <c r="X11394" s="19"/>
      <c r="Y11394" s="20"/>
    </row>
    <row r="11395" spans="24:25">
      <c r="X11395" s="19"/>
      <c r="Y11395" s="20"/>
    </row>
    <row r="11396" spans="24:25">
      <c r="X11396" s="19"/>
      <c r="Y11396" s="20"/>
    </row>
    <row r="11397" spans="24:25">
      <c r="X11397" s="19"/>
      <c r="Y11397" s="20"/>
    </row>
    <row r="11398" spans="24:25">
      <c r="X11398" s="19"/>
      <c r="Y11398" s="20"/>
    </row>
    <row r="11399" spans="24:25">
      <c r="X11399" s="19"/>
      <c r="Y11399" s="20"/>
    </row>
    <row r="11400" spans="24:25">
      <c r="X11400" s="19"/>
      <c r="Y11400" s="20"/>
    </row>
    <row r="11401" spans="24:25">
      <c r="X11401" s="19"/>
      <c r="Y11401" s="20"/>
    </row>
    <row r="11402" spans="24:25">
      <c r="X11402" s="19"/>
      <c r="Y11402" s="20"/>
    </row>
    <row r="11403" spans="24:25">
      <c r="X11403" s="19"/>
      <c r="Y11403" s="20"/>
    </row>
    <row r="11404" spans="24:25">
      <c r="X11404" s="19"/>
      <c r="Y11404" s="20"/>
    </row>
    <row r="11405" spans="24:25">
      <c r="X11405" s="19"/>
      <c r="Y11405" s="20"/>
    </row>
    <row r="11406" spans="24:25">
      <c r="X11406" s="19"/>
      <c r="Y11406" s="20"/>
    </row>
    <row r="11407" spans="24:25">
      <c r="X11407" s="19"/>
      <c r="Y11407" s="20"/>
    </row>
    <row r="11408" spans="24:25">
      <c r="X11408" s="19"/>
      <c r="Y11408" s="20"/>
    </row>
    <row r="11409" spans="24:25">
      <c r="X11409" s="19"/>
      <c r="Y11409" s="20"/>
    </row>
    <row r="11410" spans="24:25">
      <c r="X11410" s="19"/>
      <c r="Y11410" s="20"/>
    </row>
    <row r="11411" spans="24:25">
      <c r="X11411" s="19"/>
      <c r="Y11411" s="20"/>
    </row>
    <row r="11412" spans="24:25">
      <c r="X11412" s="19"/>
      <c r="Y11412" s="20"/>
    </row>
    <row r="11413" spans="24:25">
      <c r="X11413" s="19"/>
      <c r="Y11413" s="20"/>
    </row>
    <row r="11414" spans="24:25">
      <c r="X11414" s="19"/>
      <c r="Y11414" s="20"/>
    </row>
    <row r="11415" spans="24:25">
      <c r="X11415" s="19"/>
      <c r="Y11415" s="20"/>
    </row>
    <row r="11416" spans="24:25">
      <c r="X11416" s="19"/>
      <c r="Y11416" s="20"/>
    </row>
    <row r="11417" spans="24:25">
      <c r="X11417" s="19"/>
      <c r="Y11417" s="20"/>
    </row>
    <row r="11418" spans="24:25">
      <c r="X11418" s="19"/>
      <c r="Y11418" s="20"/>
    </row>
    <row r="11419" spans="24:25">
      <c r="X11419" s="19"/>
      <c r="Y11419" s="20"/>
    </row>
    <row r="11420" spans="24:25">
      <c r="X11420" s="19"/>
      <c r="Y11420" s="20"/>
    </row>
    <row r="11421" spans="24:25">
      <c r="X11421" s="19"/>
      <c r="Y11421" s="20"/>
    </row>
    <row r="11422" spans="24:25">
      <c r="X11422" s="19"/>
      <c r="Y11422" s="20"/>
    </row>
    <row r="11423" spans="24:25">
      <c r="X11423" s="19"/>
      <c r="Y11423" s="20"/>
    </row>
    <row r="11424" spans="24:25">
      <c r="X11424" s="19"/>
      <c r="Y11424" s="20"/>
    </row>
    <row r="11425" spans="24:25">
      <c r="X11425" s="19"/>
      <c r="Y11425" s="20"/>
    </row>
    <row r="11426" spans="24:25">
      <c r="X11426" s="19"/>
      <c r="Y11426" s="20"/>
    </row>
    <row r="11427" spans="24:25">
      <c r="X11427" s="19"/>
      <c r="Y11427" s="20"/>
    </row>
    <row r="11428" spans="24:25">
      <c r="X11428" s="19"/>
      <c r="Y11428" s="20"/>
    </row>
    <row r="11429" spans="24:25">
      <c r="X11429" s="19"/>
      <c r="Y11429" s="20"/>
    </row>
    <row r="11430" spans="24:25">
      <c r="X11430" s="19"/>
      <c r="Y11430" s="20"/>
    </row>
    <row r="11431" spans="24:25">
      <c r="X11431" s="19"/>
      <c r="Y11431" s="20"/>
    </row>
    <row r="11432" spans="24:25">
      <c r="X11432" s="19"/>
      <c r="Y11432" s="20"/>
    </row>
    <row r="11433" spans="24:25">
      <c r="X11433" s="19"/>
      <c r="Y11433" s="20"/>
    </row>
    <row r="11434" spans="24:25">
      <c r="X11434" s="19"/>
      <c r="Y11434" s="20"/>
    </row>
    <row r="11435" spans="24:25">
      <c r="X11435" s="19"/>
      <c r="Y11435" s="20"/>
    </row>
    <row r="11436" spans="24:25">
      <c r="X11436" s="19"/>
      <c r="Y11436" s="20"/>
    </row>
    <row r="11437" spans="24:25">
      <c r="X11437" s="19"/>
      <c r="Y11437" s="20"/>
    </row>
    <row r="11438" spans="24:25">
      <c r="X11438" s="19"/>
      <c r="Y11438" s="20"/>
    </row>
    <row r="11439" spans="24:25">
      <c r="X11439" s="19"/>
      <c r="Y11439" s="20"/>
    </row>
    <row r="11440" spans="24:25">
      <c r="X11440" s="19"/>
      <c r="Y11440" s="20"/>
    </row>
    <row r="11441" spans="24:25">
      <c r="X11441" s="19"/>
      <c r="Y11441" s="20"/>
    </row>
    <row r="11442" spans="24:25">
      <c r="X11442" s="19"/>
      <c r="Y11442" s="20"/>
    </row>
    <row r="11443" spans="24:25">
      <c r="X11443" s="19"/>
      <c r="Y11443" s="20"/>
    </row>
    <row r="11444" spans="24:25">
      <c r="X11444" s="19"/>
      <c r="Y11444" s="20"/>
    </row>
    <row r="11445" spans="24:25">
      <c r="X11445" s="19"/>
      <c r="Y11445" s="20"/>
    </row>
    <row r="11446" spans="24:25">
      <c r="X11446" s="19"/>
      <c r="Y11446" s="20"/>
    </row>
    <row r="11447" spans="24:25">
      <c r="X11447" s="19"/>
      <c r="Y11447" s="20"/>
    </row>
    <row r="11448" spans="24:25">
      <c r="X11448" s="19"/>
      <c r="Y11448" s="20"/>
    </row>
    <row r="11449" spans="24:25">
      <c r="X11449" s="19"/>
      <c r="Y11449" s="20"/>
    </row>
    <row r="11450" spans="24:25">
      <c r="X11450" s="19"/>
      <c r="Y11450" s="20"/>
    </row>
    <row r="11451" spans="24:25">
      <c r="X11451" s="19"/>
      <c r="Y11451" s="20"/>
    </row>
    <row r="11452" spans="24:25">
      <c r="X11452" s="19"/>
      <c r="Y11452" s="20"/>
    </row>
    <row r="11453" spans="24:25">
      <c r="X11453" s="19"/>
      <c r="Y11453" s="20"/>
    </row>
    <row r="11454" spans="24:25">
      <c r="X11454" s="19"/>
      <c r="Y11454" s="20"/>
    </row>
    <row r="11455" spans="24:25">
      <c r="X11455" s="19"/>
      <c r="Y11455" s="20"/>
    </row>
    <row r="11456" spans="24:25">
      <c r="X11456" s="19"/>
      <c r="Y11456" s="20"/>
    </row>
    <row r="11457" spans="24:25">
      <c r="X11457" s="19"/>
      <c r="Y11457" s="20"/>
    </row>
    <row r="11458" spans="24:25">
      <c r="X11458" s="19"/>
      <c r="Y11458" s="20"/>
    </row>
    <row r="11459" spans="24:25">
      <c r="X11459" s="19"/>
      <c r="Y11459" s="20"/>
    </row>
    <row r="11460" spans="24:25">
      <c r="X11460" s="19"/>
      <c r="Y11460" s="20"/>
    </row>
    <row r="11461" spans="24:25">
      <c r="X11461" s="19"/>
      <c r="Y11461" s="20"/>
    </row>
    <row r="11462" spans="24:25">
      <c r="X11462" s="19"/>
      <c r="Y11462" s="20"/>
    </row>
    <row r="11463" spans="24:25">
      <c r="X11463" s="19"/>
      <c r="Y11463" s="20"/>
    </row>
    <row r="11464" spans="24:25">
      <c r="X11464" s="19"/>
      <c r="Y11464" s="20"/>
    </row>
    <row r="11465" spans="24:25">
      <c r="X11465" s="19"/>
      <c r="Y11465" s="20"/>
    </row>
    <row r="11466" spans="24:25">
      <c r="X11466" s="19"/>
      <c r="Y11466" s="20"/>
    </row>
    <row r="11467" spans="24:25">
      <c r="X11467" s="19"/>
      <c r="Y11467" s="20"/>
    </row>
    <row r="11468" spans="24:25">
      <c r="X11468" s="19"/>
      <c r="Y11468" s="20"/>
    </row>
    <row r="11469" spans="24:25">
      <c r="X11469" s="19"/>
      <c r="Y11469" s="20"/>
    </row>
    <row r="11470" spans="24:25">
      <c r="X11470" s="19"/>
      <c r="Y11470" s="20"/>
    </row>
    <row r="11471" spans="24:25">
      <c r="X11471" s="19"/>
      <c r="Y11471" s="20"/>
    </row>
    <row r="11472" spans="24:25">
      <c r="X11472" s="19"/>
      <c r="Y11472" s="20"/>
    </row>
    <row r="11473" spans="24:25">
      <c r="X11473" s="19"/>
      <c r="Y11473" s="20"/>
    </row>
    <row r="11474" spans="24:25">
      <c r="X11474" s="19"/>
      <c r="Y11474" s="20"/>
    </row>
    <row r="11475" spans="24:25">
      <c r="X11475" s="19"/>
      <c r="Y11475" s="20"/>
    </row>
    <row r="11476" spans="24:25">
      <c r="X11476" s="19"/>
      <c r="Y11476" s="20"/>
    </row>
    <row r="11477" spans="24:25">
      <c r="X11477" s="19"/>
      <c r="Y11477" s="20"/>
    </row>
    <row r="11478" spans="24:25">
      <c r="X11478" s="19"/>
      <c r="Y11478" s="20"/>
    </row>
    <row r="11479" spans="24:25">
      <c r="X11479" s="19"/>
      <c r="Y11479" s="20"/>
    </row>
    <row r="11480" spans="24:25">
      <c r="X11480" s="19"/>
      <c r="Y11480" s="20"/>
    </row>
    <row r="11481" spans="24:25">
      <c r="X11481" s="19"/>
      <c r="Y11481" s="20"/>
    </row>
    <row r="11482" spans="24:25">
      <c r="X11482" s="19"/>
      <c r="Y11482" s="20"/>
    </row>
    <row r="11483" spans="24:25">
      <c r="X11483" s="19"/>
      <c r="Y11483" s="20"/>
    </row>
    <row r="11484" spans="24:25">
      <c r="X11484" s="19"/>
      <c r="Y11484" s="20"/>
    </row>
    <row r="11485" spans="24:25">
      <c r="X11485" s="19"/>
      <c r="Y11485" s="20"/>
    </row>
    <row r="11486" spans="24:25">
      <c r="X11486" s="19"/>
      <c r="Y11486" s="20"/>
    </row>
    <row r="11487" spans="24:25">
      <c r="X11487" s="19"/>
      <c r="Y11487" s="20"/>
    </row>
    <row r="11488" spans="24:25">
      <c r="X11488" s="19"/>
      <c r="Y11488" s="20"/>
    </row>
    <row r="11489" spans="24:25">
      <c r="X11489" s="19"/>
      <c r="Y11489" s="20"/>
    </row>
    <row r="11490" spans="24:25">
      <c r="X11490" s="19"/>
      <c r="Y11490" s="20"/>
    </row>
    <row r="11491" spans="24:25">
      <c r="X11491" s="19"/>
      <c r="Y11491" s="20"/>
    </row>
    <row r="11492" spans="24:25">
      <c r="X11492" s="19"/>
      <c r="Y11492" s="20"/>
    </row>
    <row r="11493" spans="24:25">
      <c r="X11493" s="19"/>
      <c r="Y11493" s="20"/>
    </row>
    <row r="11494" spans="24:25">
      <c r="X11494" s="19"/>
      <c r="Y11494" s="20"/>
    </row>
    <row r="11495" spans="24:25">
      <c r="X11495" s="19"/>
      <c r="Y11495" s="20"/>
    </row>
    <row r="11496" spans="24:25">
      <c r="X11496" s="19"/>
      <c r="Y11496" s="20"/>
    </row>
    <row r="11497" spans="24:25">
      <c r="X11497" s="19"/>
      <c r="Y11497" s="20"/>
    </row>
    <row r="11498" spans="24:25">
      <c r="X11498" s="19"/>
      <c r="Y11498" s="20"/>
    </row>
    <row r="11499" spans="24:25">
      <c r="X11499" s="19"/>
      <c r="Y11499" s="20"/>
    </row>
    <row r="11500" spans="24:25">
      <c r="X11500" s="19"/>
      <c r="Y11500" s="20"/>
    </row>
    <row r="11501" spans="24:25">
      <c r="X11501" s="19"/>
      <c r="Y11501" s="20"/>
    </row>
    <row r="11502" spans="24:25">
      <c r="X11502" s="19"/>
      <c r="Y11502" s="20"/>
    </row>
    <row r="11503" spans="24:25">
      <c r="X11503" s="19"/>
      <c r="Y11503" s="20"/>
    </row>
    <row r="11504" spans="24:25">
      <c r="X11504" s="19"/>
      <c r="Y11504" s="20"/>
    </row>
    <row r="11505" spans="24:25">
      <c r="X11505" s="19"/>
      <c r="Y11505" s="20"/>
    </row>
    <row r="11506" spans="24:25">
      <c r="X11506" s="19"/>
      <c r="Y11506" s="20"/>
    </row>
    <row r="11507" spans="24:25">
      <c r="X11507" s="19"/>
      <c r="Y11507" s="20"/>
    </row>
    <row r="11508" spans="24:25">
      <c r="X11508" s="19"/>
      <c r="Y11508" s="20"/>
    </row>
    <row r="11509" spans="24:25">
      <c r="X11509" s="19"/>
      <c r="Y11509" s="20"/>
    </row>
    <row r="11510" spans="24:25">
      <c r="X11510" s="19"/>
      <c r="Y11510" s="20"/>
    </row>
    <row r="11511" spans="24:25">
      <c r="X11511" s="19"/>
      <c r="Y11511" s="20"/>
    </row>
    <row r="11512" spans="24:25">
      <c r="X11512" s="19"/>
      <c r="Y11512" s="20"/>
    </row>
    <row r="11513" spans="24:25">
      <c r="X11513" s="19"/>
      <c r="Y11513" s="20"/>
    </row>
    <row r="11514" spans="24:25">
      <c r="X11514" s="19"/>
      <c r="Y11514" s="20"/>
    </row>
    <row r="11515" spans="24:25">
      <c r="X11515" s="19"/>
      <c r="Y11515" s="20"/>
    </row>
    <row r="11516" spans="24:25">
      <c r="X11516" s="19"/>
      <c r="Y11516" s="20"/>
    </row>
    <row r="11517" spans="24:25">
      <c r="X11517" s="19"/>
      <c r="Y11517" s="20"/>
    </row>
    <row r="11518" spans="24:25">
      <c r="X11518" s="19"/>
      <c r="Y11518" s="20"/>
    </row>
    <row r="11519" spans="24:25">
      <c r="X11519" s="19"/>
      <c r="Y11519" s="20"/>
    </row>
    <row r="11520" spans="24:25">
      <c r="X11520" s="19"/>
      <c r="Y11520" s="20"/>
    </row>
    <row r="11521" spans="24:25">
      <c r="X11521" s="19"/>
      <c r="Y11521" s="20"/>
    </row>
    <row r="11522" spans="24:25">
      <c r="X11522" s="19"/>
      <c r="Y11522" s="20"/>
    </row>
    <row r="11523" spans="24:25">
      <c r="X11523" s="19"/>
      <c r="Y11523" s="20"/>
    </row>
    <row r="11524" spans="24:25">
      <c r="X11524" s="19"/>
      <c r="Y11524" s="20"/>
    </row>
    <row r="11525" spans="24:25">
      <c r="X11525" s="19"/>
      <c r="Y11525" s="20"/>
    </row>
    <row r="11526" spans="24:25">
      <c r="X11526" s="19"/>
      <c r="Y11526" s="20"/>
    </row>
    <row r="11527" spans="24:25">
      <c r="X11527" s="19"/>
      <c r="Y11527" s="20"/>
    </row>
    <row r="11528" spans="24:25">
      <c r="X11528" s="19"/>
      <c r="Y11528" s="20"/>
    </row>
    <row r="11529" spans="24:25">
      <c r="X11529" s="19"/>
      <c r="Y11529" s="20"/>
    </row>
    <row r="11530" spans="24:25">
      <c r="X11530" s="19"/>
      <c r="Y11530" s="20"/>
    </row>
    <row r="11531" spans="24:25">
      <c r="X11531" s="19"/>
      <c r="Y11531" s="20"/>
    </row>
    <row r="11532" spans="24:25">
      <c r="X11532" s="19"/>
      <c r="Y11532" s="20"/>
    </row>
    <row r="11533" spans="24:25">
      <c r="X11533" s="19"/>
      <c r="Y11533" s="20"/>
    </row>
    <row r="11534" spans="24:25">
      <c r="X11534" s="19"/>
      <c r="Y11534" s="20"/>
    </row>
    <row r="11535" spans="24:25">
      <c r="X11535" s="19"/>
      <c r="Y11535" s="20"/>
    </row>
    <row r="11536" spans="24:25">
      <c r="X11536" s="19"/>
      <c r="Y11536" s="20"/>
    </row>
    <row r="11537" spans="24:25">
      <c r="X11537" s="19"/>
      <c r="Y11537" s="20"/>
    </row>
    <row r="11538" spans="24:25">
      <c r="X11538" s="19"/>
      <c r="Y11538" s="20"/>
    </row>
    <row r="11539" spans="24:25">
      <c r="X11539" s="19"/>
      <c r="Y11539" s="20"/>
    </row>
    <row r="11540" spans="24:25">
      <c r="X11540" s="19"/>
      <c r="Y11540" s="20"/>
    </row>
    <row r="11541" spans="24:25">
      <c r="X11541" s="19"/>
      <c r="Y11541" s="20"/>
    </row>
    <row r="11542" spans="24:25">
      <c r="X11542" s="19"/>
      <c r="Y11542" s="20"/>
    </row>
    <row r="11543" spans="24:25">
      <c r="X11543" s="19"/>
      <c r="Y11543" s="20"/>
    </row>
    <row r="11544" spans="24:25">
      <c r="X11544" s="19"/>
      <c r="Y11544" s="20"/>
    </row>
    <row r="11545" spans="24:25">
      <c r="X11545" s="19"/>
      <c r="Y11545" s="20"/>
    </row>
    <row r="11546" spans="24:25">
      <c r="X11546" s="19"/>
      <c r="Y11546" s="20"/>
    </row>
    <row r="11547" spans="24:25">
      <c r="X11547" s="19"/>
      <c r="Y11547" s="20"/>
    </row>
    <row r="11548" spans="24:25">
      <c r="X11548" s="19"/>
      <c r="Y11548" s="20"/>
    </row>
    <row r="11549" spans="24:25">
      <c r="X11549" s="19"/>
      <c r="Y11549" s="20"/>
    </row>
    <row r="11550" spans="24:25">
      <c r="X11550" s="19"/>
      <c r="Y11550" s="20"/>
    </row>
    <row r="11551" spans="24:25">
      <c r="X11551" s="19"/>
      <c r="Y11551" s="20"/>
    </row>
    <row r="11552" spans="24:25">
      <c r="X11552" s="19"/>
      <c r="Y11552" s="20"/>
    </row>
    <row r="11553" spans="24:25">
      <c r="X11553" s="19"/>
      <c r="Y11553" s="20"/>
    </row>
    <row r="11554" spans="24:25">
      <c r="X11554" s="19"/>
      <c r="Y11554" s="20"/>
    </row>
    <row r="11555" spans="24:25">
      <c r="X11555" s="19"/>
      <c r="Y11555" s="20"/>
    </row>
    <row r="11556" spans="24:25">
      <c r="X11556" s="19"/>
      <c r="Y11556" s="20"/>
    </row>
    <row r="11557" spans="24:25">
      <c r="X11557" s="19"/>
      <c r="Y11557" s="20"/>
    </row>
    <row r="11558" spans="24:25">
      <c r="X11558" s="19"/>
      <c r="Y11558" s="20"/>
    </row>
    <row r="11559" spans="24:25">
      <c r="X11559" s="19"/>
      <c r="Y11559" s="20"/>
    </row>
    <row r="11560" spans="24:25">
      <c r="X11560" s="19"/>
      <c r="Y11560" s="20"/>
    </row>
    <row r="11561" spans="24:25">
      <c r="X11561" s="19"/>
      <c r="Y11561" s="20"/>
    </row>
    <row r="11562" spans="24:25">
      <c r="X11562" s="19"/>
      <c r="Y11562" s="20"/>
    </row>
    <row r="11563" spans="24:25">
      <c r="X11563" s="19"/>
      <c r="Y11563" s="20"/>
    </row>
    <row r="11564" spans="24:25">
      <c r="X11564" s="19"/>
      <c r="Y11564" s="20"/>
    </row>
    <row r="11565" spans="24:25">
      <c r="X11565" s="19"/>
      <c r="Y11565" s="20"/>
    </row>
    <row r="11566" spans="24:25">
      <c r="X11566" s="19"/>
      <c r="Y11566" s="20"/>
    </row>
    <row r="11567" spans="24:25">
      <c r="X11567" s="19"/>
      <c r="Y11567" s="20"/>
    </row>
    <row r="11568" spans="24:25">
      <c r="X11568" s="19"/>
      <c r="Y11568" s="20"/>
    </row>
    <row r="11569" spans="24:25">
      <c r="X11569" s="19"/>
      <c r="Y11569" s="20"/>
    </row>
    <row r="11570" spans="24:25">
      <c r="X11570" s="19"/>
      <c r="Y11570" s="20"/>
    </row>
    <row r="11571" spans="24:25">
      <c r="X11571" s="19"/>
      <c r="Y11571" s="20"/>
    </row>
    <row r="11572" spans="24:25">
      <c r="X11572" s="19"/>
      <c r="Y11572" s="20"/>
    </row>
    <row r="11573" spans="24:25">
      <c r="X11573" s="19"/>
      <c r="Y11573" s="20"/>
    </row>
    <row r="11574" spans="24:25">
      <c r="X11574" s="19"/>
      <c r="Y11574" s="20"/>
    </row>
    <row r="11575" spans="24:25">
      <c r="X11575" s="19"/>
      <c r="Y11575" s="20"/>
    </row>
    <row r="11576" spans="24:25">
      <c r="X11576" s="19"/>
      <c r="Y11576" s="20"/>
    </row>
    <row r="11577" spans="24:25">
      <c r="X11577" s="19"/>
      <c r="Y11577" s="20"/>
    </row>
    <row r="11578" spans="24:25">
      <c r="X11578" s="19"/>
      <c r="Y11578" s="20"/>
    </row>
    <row r="11579" spans="24:25">
      <c r="X11579" s="19"/>
      <c r="Y11579" s="20"/>
    </row>
    <row r="11580" spans="24:25">
      <c r="X11580" s="19"/>
      <c r="Y11580" s="20"/>
    </row>
    <row r="11581" spans="24:25">
      <c r="X11581" s="19"/>
      <c r="Y11581" s="20"/>
    </row>
    <row r="11582" spans="24:25">
      <c r="X11582" s="19"/>
      <c r="Y11582" s="20"/>
    </row>
    <row r="11583" spans="24:25">
      <c r="X11583" s="19"/>
      <c r="Y11583" s="20"/>
    </row>
    <row r="11584" spans="24:25">
      <c r="X11584" s="19"/>
      <c r="Y11584" s="20"/>
    </row>
    <row r="11585" spans="24:25">
      <c r="X11585" s="19"/>
      <c r="Y11585" s="20"/>
    </row>
    <row r="11586" spans="24:25">
      <c r="X11586" s="19"/>
      <c r="Y11586" s="20"/>
    </row>
    <row r="11587" spans="24:25">
      <c r="X11587" s="19"/>
      <c r="Y11587" s="20"/>
    </row>
    <row r="11588" spans="24:25">
      <c r="X11588" s="19"/>
      <c r="Y11588" s="20"/>
    </row>
    <row r="11589" spans="24:25">
      <c r="X11589" s="19"/>
      <c r="Y11589" s="20"/>
    </row>
    <row r="11590" spans="24:25">
      <c r="X11590" s="19"/>
      <c r="Y11590" s="20"/>
    </row>
    <row r="11591" spans="24:25">
      <c r="X11591" s="19"/>
      <c r="Y11591" s="20"/>
    </row>
    <row r="11592" spans="24:25">
      <c r="X11592" s="19"/>
      <c r="Y11592" s="20"/>
    </row>
    <row r="11593" spans="24:25">
      <c r="X11593" s="19"/>
      <c r="Y11593" s="20"/>
    </row>
    <row r="11594" spans="24:25">
      <c r="X11594" s="19"/>
      <c r="Y11594" s="20"/>
    </row>
    <row r="11595" spans="24:25">
      <c r="X11595" s="19"/>
      <c r="Y11595" s="20"/>
    </row>
    <row r="11596" spans="24:25">
      <c r="X11596" s="19"/>
      <c r="Y11596" s="20"/>
    </row>
    <row r="11597" spans="24:25">
      <c r="X11597" s="19"/>
      <c r="Y11597" s="20"/>
    </row>
    <row r="11598" spans="24:25">
      <c r="X11598" s="19"/>
      <c r="Y11598" s="20"/>
    </row>
    <row r="11599" spans="24:25">
      <c r="X11599" s="19"/>
      <c r="Y11599" s="20"/>
    </row>
    <row r="11600" spans="24:25">
      <c r="X11600" s="19"/>
      <c r="Y11600" s="20"/>
    </row>
    <row r="11601" spans="24:25">
      <c r="X11601" s="19"/>
      <c r="Y11601" s="20"/>
    </row>
    <row r="11602" spans="24:25">
      <c r="X11602" s="19"/>
      <c r="Y11602" s="20"/>
    </row>
    <row r="11603" spans="24:25">
      <c r="X11603" s="19"/>
      <c r="Y11603" s="20"/>
    </row>
    <row r="11604" spans="24:25">
      <c r="X11604" s="19"/>
      <c r="Y11604" s="20"/>
    </row>
    <row r="11605" spans="24:25">
      <c r="X11605" s="19"/>
      <c r="Y11605" s="20"/>
    </row>
    <row r="11606" spans="24:25">
      <c r="X11606" s="19"/>
      <c r="Y11606" s="20"/>
    </row>
    <row r="11607" spans="24:25">
      <c r="X11607" s="19"/>
      <c r="Y11607" s="20"/>
    </row>
    <row r="11608" spans="24:25">
      <c r="X11608" s="19"/>
      <c r="Y11608" s="20"/>
    </row>
    <row r="11609" spans="24:25">
      <c r="X11609" s="19"/>
      <c r="Y11609" s="20"/>
    </row>
    <row r="11610" spans="24:25">
      <c r="X11610" s="19"/>
      <c r="Y11610" s="20"/>
    </row>
    <row r="11611" spans="24:25">
      <c r="X11611" s="19"/>
      <c r="Y11611" s="20"/>
    </row>
    <row r="11612" spans="24:25">
      <c r="X11612" s="19"/>
      <c r="Y11612" s="20"/>
    </row>
    <row r="11613" spans="24:25">
      <c r="X11613" s="19"/>
      <c r="Y11613" s="20"/>
    </row>
    <row r="11614" spans="24:25">
      <c r="X11614" s="19"/>
      <c r="Y11614" s="20"/>
    </row>
    <row r="11615" spans="24:25">
      <c r="X11615" s="19"/>
      <c r="Y11615" s="20"/>
    </row>
    <row r="11616" spans="24:25">
      <c r="X11616" s="19"/>
      <c r="Y11616" s="20"/>
    </row>
    <row r="11617" spans="24:25">
      <c r="X11617" s="19"/>
      <c r="Y11617" s="20"/>
    </row>
    <row r="11618" spans="24:25">
      <c r="X11618" s="19"/>
      <c r="Y11618" s="20"/>
    </row>
    <row r="11619" spans="24:25">
      <c r="X11619" s="19"/>
      <c r="Y11619" s="20"/>
    </row>
    <row r="11620" spans="24:25">
      <c r="X11620" s="19"/>
      <c r="Y11620" s="20"/>
    </row>
    <row r="11621" spans="24:25">
      <c r="X11621" s="19"/>
      <c r="Y11621" s="20"/>
    </row>
    <row r="11622" spans="24:25">
      <c r="X11622" s="19"/>
      <c r="Y11622" s="20"/>
    </row>
    <row r="11623" spans="24:25">
      <c r="X11623" s="19"/>
      <c r="Y11623" s="20"/>
    </row>
    <row r="11624" spans="24:25">
      <c r="X11624" s="19"/>
      <c r="Y11624" s="20"/>
    </row>
    <row r="11625" spans="24:25">
      <c r="X11625" s="19"/>
      <c r="Y11625" s="20"/>
    </row>
    <row r="11626" spans="24:25">
      <c r="X11626" s="19"/>
      <c r="Y11626" s="20"/>
    </row>
    <row r="11627" spans="24:25">
      <c r="X11627" s="19"/>
      <c r="Y11627" s="20"/>
    </row>
    <row r="11628" spans="24:25">
      <c r="X11628" s="19"/>
      <c r="Y11628" s="20"/>
    </row>
    <row r="11629" spans="24:25">
      <c r="X11629" s="19"/>
      <c r="Y11629" s="20"/>
    </row>
    <row r="11630" spans="24:25">
      <c r="X11630" s="19"/>
      <c r="Y11630" s="20"/>
    </row>
    <row r="11631" spans="24:25">
      <c r="X11631" s="19"/>
      <c r="Y11631" s="20"/>
    </row>
    <row r="11632" spans="24:25">
      <c r="X11632" s="19"/>
      <c r="Y11632" s="20"/>
    </row>
    <row r="11633" spans="24:25">
      <c r="X11633" s="19"/>
      <c r="Y11633" s="20"/>
    </row>
    <row r="11634" spans="24:25">
      <c r="X11634" s="19"/>
      <c r="Y11634" s="20"/>
    </row>
    <row r="11635" spans="24:25">
      <c r="X11635" s="19"/>
      <c r="Y11635" s="20"/>
    </row>
    <row r="11636" spans="24:25">
      <c r="X11636" s="19"/>
      <c r="Y11636" s="20"/>
    </row>
    <row r="11637" spans="24:25">
      <c r="X11637" s="19"/>
      <c r="Y11637" s="20"/>
    </row>
    <row r="11638" spans="24:25">
      <c r="X11638" s="19"/>
      <c r="Y11638" s="20"/>
    </row>
    <row r="11639" spans="24:25">
      <c r="X11639" s="19"/>
      <c r="Y11639" s="20"/>
    </row>
    <row r="11640" spans="24:25">
      <c r="X11640" s="19"/>
      <c r="Y11640" s="20"/>
    </row>
    <row r="11641" spans="24:25">
      <c r="X11641" s="19"/>
      <c r="Y11641" s="20"/>
    </row>
    <row r="11642" spans="24:25">
      <c r="X11642" s="19"/>
      <c r="Y11642" s="20"/>
    </row>
    <row r="11643" spans="24:25">
      <c r="X11643" s="19"/>
      <c r="Y11643" s="20"/>
    </row>
    <row r="11644" spans="24:25">
      <c r="X11644" s="19"/>
      <c r="Y11644" s="20"/>
    </row>
    <row r="11645" spans="24:25">
      <c r="X11645" s="19"/>
      <c r="Y11645" s="20"/>
    </row>
    <row r="11646" spans="24:25">
      <c r="X11646" s="19"/>
      <c r="Y11646" s="20"/>
    </row>
    <row r="11647" spans="24:25">
      <c r="X11647" s="19"/>
      <c r="Y11647" s="20"/>
    </row>
    <row r="11648" spans="24:25">
      <c r="X11648" s="19"/>
      <c r="Y11648" s="20"/>
    </row>
    <row r="11649" spans="24:25">
      <c r="X11649" s="19"/>
      <c r="Y11649" s="20"/>
    </row>
    <row r="11650" spans="24:25">
      <c r="X11650" s="19"/>
      <c r="Y11650" s="20"/>
    </row>
    <row r="11651" spans="24:25">
      <c r="X11651" s="19"/>
      <c r="Y11651" s="20"/>
    </row>
    <row r="11652" spans="24:25">
      <c r="X11652" s="19"/>
      <c r="Y11652" s="20"/>
    </row>
    <row r="11653" spans="24:25">
      <c r="X11653" s="19"/>
      <c r="Y11653" s="20"/>
    </row>
    <row r="11654" spans="24:25">
      <c r="X11654" s="19"/>
      <c r="Y11654" s="20"/>
    </row>
    <row r="11655" spans="24:25">
      <c r="X11655" s="19"/>
      <c r="Y11655" s="20"/>
    </row>
    <row r="11656" spans="24:25">
      <c r="X11656" s="19"/>
      <c r="Y11656" s="20"/>
    </row>
    <row r="11657" spans="24:25">
      <c r="X11657" s="19"/>
      <c r="Y11657" s="20"/>
    </row>
    <row r="11658" spans="24:25">
      <c r="X11658" s="19"/>
      <c r="Y11658" s="20"/>
    </row>
    <row r="11659" spans="24:25">
      <c r="X11659" s="19"/>
      <c r="Y11659" s="20"/>
    </row>
    <row r="11660" spans="24:25">
      <c r="X11660" s="19"/>
      <c r="Y11660" s="20"/>
    </row>
    <row r="11661" spans="24:25">
      <c r="X11661" s="19"/>
      <c r="Y11661" s="20"/>
    </row>
    <row r="11662" spans="24:25">
      <c r="X11662" s="19"/>
      <c r="Y11662" s="20"/>
    </row>
    <row r="11663" spans="24:25">
      <c r="X11663" s="19"/>
      <c r="Y11663" s="20"/>
    </row>
    <row r="11664" spans="24:25">
      <c r="X11664" s="19"/>
      <c r="Y11664" s="20"/>
    </row>
    <row r="11665" spans="24:25">
      <c r="X11665" s="19"/>
      <c r="Y11665" s="20"/>
    </row>
    <row r="11666" spans="24:25">
      <c r="X11666" s="19"/>
      <c r="Y11666" s="20"/>
    </row>
    <row r="11667" spans="24:25">
      <c r="X11667" s="19"/>
      <c r="Y11667" s="20"/>
    </row>
    <row r="11668" spans="24:25">
      <c r="X11668" s="19"/>
      <c r="Y11668" s="20"/>
    </row>
    <row r="11669" spans="24:25">
      <c r="X11669" s="19"/>
      <c r="Y11669" s="20"/>
    </row>
    <row r="11670" spans="24:25">
      <c r="X11670" s="19"/>
      <c r="Y11670" s="20"/>
    </row>
    <row r="11671" spans="24:25">
      <c r="X11671" s="19"/>
      <c r="Y11671" s="20"/>
    </row>
    <row r="11672" spans="24:25">
      <c r="X11672" s="19"/>
      <c r="Y11672" s="20"/>
    </row>
    <row r="11673" spans="24:25">
      <c r="X11673" s="19"/>
      <c r="Y11673" s="20"/>
    </row>
    <row r="11674" spans="24:25">
      <c r="X11674" s="19"/>
      <c r="Y11674" s="20"/>
    </row>
    <row r="11675" spans="24:25">
      <c r="X11675" s="19"/>
      <c r="Y11675" s="20"/>
    </row>
    <row r="11676" spans="24:25">
      <c r="X11676" s="19"/>
      <c r="Y11676" s="20"/>
    </row>
    <row r="11677" spans="24:25">
      <c r="X11677" s="19"/>
      <c r="Y11677" s="20"/>
    </row>
    <row r="11678" spans="24:25">
      <c r="X11678" s="19"/>
      <c r="Y11678" s="20"/>
    </row>
    <row r="11679" spans="24:25">
      <c r="X11679" s="19"/>
      <c r="Y11679" s="20"/>
    </row>
    <row r="11680" spans="24:25">
      <c r="X11680" s="19"/>
      <c r="Y11680" s="20"/>
    </row>
    <row r="11681" spans="24:25">
      <c r="X11681" s="19"/>
      <c r="Y11681" s="20"/>
    </row>
    <row r="11682" spans="24:25">
      <c r="X11682" s="19"/>
      <c r="Y11682" s="20"/>
    </row>
    <row r="11683" spans="24:25">
      <c r="X11683" s="19"/>
      <c r="Y11683" s="20"/>
    </row>
    <row r="11684" spans="24:25">
      <c r="X11684" s="19"/>
      <c r="Y11684" s="20"/>
    </row>
    <row r="11685" spans="24:25">
      <c r="X11685" s="19"/>
      <c r="Y11685" s="20"/>
    </row>
    <row r="11686" spans="24:25">
      <c r="X11686" s="19"/>
      <c r="Y11686" s="20"/>
    </row>
    <row r="11687" spans="24:25">
      <c r="X11687" s="19"/>
      <c r="Y11687" s="20"/>
    </row>
    <row r="11688" spans="24:25">
      <c r="X11688" s="19"/>
      <c r="Y11688" s="20"/>
    </row>
    <row r="11689" spans="24:25">
      <c r="X11689" s="19"/>
      <c r="Y11689" s="20"/>
    </row>
    <row r="11690" spans="24:25">
      <c r="X11690" s="19"/>
      <c r="Y11690" s="20"/>
    </row>
    <row r="11691" spans="24:25">
      <c r="X11691" s="19"/>
      <c r="Y11691" s="20"/>
    </row>
    <row r="11692" spans="24:25">
      <c r="X11692" s="19"/>
      <c r="Y11692" s="20"/>
    </row>
    <row r="11693" spans="24:25">
      <c r="X11693" s="19"/>
      <c r="Y11693" s="20"/>
    </row>
    <row r="11694" spans="24:25">
      <c r="X11694" s="19"/>
      <c r="Y11694" s="20"/>
    </row>
    <row r="11695" spans="24:25">
      <c r="X11695" s="19"/>
      <c r="Y11695" s="20"/>
    </row>
    <row r="11696" spans="24:25">
      <c r="X11696" s="19"/>
      <c r="Y11696" s="20"/>
    </row>
    <row r="11697" spans="24:25">
      <c r="X11697" s="19"/>
      <c r="Y11697" s="20"/>
    </row>
    <row r="11698" spans="24:25">
      <c r="X11698" s="19"/>
      <c r="Y11698" s="20"/>
    </row>
    <row r="11699" spans="24:25">
      <c r="X11699" s="19"/>
      <c r="Y11699" s="20"/>
    </row>
    <row r="11700" spans="24:25">
      <c r="X11700" s="19"/>
      <c r="Y11700" s="20"/>
    </row>
    <row r="11701" spans="24:25">
      <c r="X11701" s="19"/>
      <c r="Y11701" s="20"/>
    </row>
    <row r="11702" spans="24:25">
      <c r="X11702" s="19"/>
      <c r="Y11702" s="20"/>
    </row>
    <row r="11703" spans="24:25">
      <c r="X11703" s="19"/>
      <c r="Y11703" s="20"/>
    </row>
    <row r="11704" spans="24:25">
      <c r="X11704" s="19"/>
      <c r="Y11704" s="20"/>
    </row>
    <row r="11705" spans="24:25">
      <c r="X11705" s="19"/>
      <c r="Y11705" s="20"/>
    </row>
    <row r="11706" spans="24:25">
      <c r="X11706" s="19"/>
      <c r="Y11706" s="20"/>
    </row>
    <row r="11707" spans="24:25">
      <c r="X11707" s="19"/>
      <c r="Y11707" s="20"/>
    </row>
    <row r="11708" spans="24:25">
      <c r="X11708" s="19"/>
      <c r="Y11708" s="20"/>
    </row>
    <row r="11709" spans="24:25">
      <c r="X11709" s="19"/>
      <c r="Y11709" s="20"/>
    </row>
    <row r="11710" spans="24:25">
      <c r="X11710" s="19"/>
      <c r="Y11710" s="20"/>
    </row>
    <row r="11711" spans="24:25">
      <c r="X11711" s="19"/>
      <c r="Y11711" s="20"/>
    </row>
    <row r="11712" spans="24:25">
      <c r="X11712" s="19"/>
      <c r="Y11712" s="20"/>
    </row>
    <row r="11713" spans="24:25">
      <c r="X11713" s="19"/>
      <c r="Y11713" s="20"/>
    </row>
    <row r="11714" spans="24:25">
      <c r="X11714" s="19"/>
      <c r="Y11714" s="20"/>
    </row>
    <row r="11715" spans="24:25">
      <c r="X11715" s="19"/>
      <c r="Y11715" s="20"/>
    </row>
    <row r="11716" spans="24:25">
      <c r="X11716" s="19"/>
      <c r="Y11716" s="20"/>
    </row>
    <row r="11717" spans="24:25">
      <c r="X11717" s="19"/>
      <c r="Y11717" s="20"/>
    </row>
    <row r="11718" spans="24:25">
      <c r="X11718" s="19"/>
      <c r="Y11718" s="20"/>
    </row>
    <row r="11719" spans="24:25">
      <c r="X11719" s="19"/>
      <c r="Y11719" s="20"/>
    </row>
    <row r="11720" spans="24:25">
      <c r="X11720" s="19"/>
      <c r="Y11720" s="20"/>
    </row>
    <row r="11721" spans="24:25">
      <c r="X11721" s="19"/>
      <c r="Y11721" s="20"/>
    </row>
    <row r="11722" spans="24:25">
      <c r="X11722" s="19"/>
      <c r="Y11722" s="20"/>
    </row>
    <row r="11723" spans="24:25">
      <c r="X11723" s="19"/>
      <c r="Y11723" s="20"/>
    </row>
    <row r="11724" spans="24:25">
      <c r="X11724" s="19"/>
      <c r="Y11724" s="20"/>
    </row>
    <row r="11725" spans="24:25">
      <c r="X11725" s="19"/>
      <c r="Y11725" s="20"/>
    </row>
    <row r="11726" spans="24:25">
      <c r="X11726" s="19"/>
      <c r="Y11726" s="20"/>
    </row>
    <row r="11727" spans="24:25">
      <c r="X11727" s="19"/>
      <c r="Y11727" s="20"/>
    </row>
    <row r="11728" spans="24:25">
      <c r="X11728" s="19"/>
      <c r="Y11728" s="20"/>
    </row>
    <row r="11729" spans="24:25">
      <c r="X11729" s="19"/>
      <c r="Y11729" s="20"/>
    </row>
    <row r="11730" spans="24:25">
      <c r="X11730" s="19"/>
      <c r="Y11730" s="20"/>
    </row>
    <row r="11731" spans="24:25">
      <c r="X11731" s="19"/>
      <c r="Y11731" s="20"/>
    </row>
    <row r="11732" spans="24:25">
      <c r="X11732" s="19"/>
      <c r="Y11732" s="20"/>
    </row>
    <row r="11733" spans="24:25">
      <c r="X11733" s="19"/>
      <c r="Y11733" s="20"/>
    </row>
    <row r="11734" spans="24:25">
      <c r="X11734" s="19"/>
      <c r="Y11734" s="20"/>
    </row>
    <row r="11735" spans="24:25">
      <c r="X11735" s="19"/>
      <c r="Y11735" s="20"/>
    </row>
    <row r="11736" spans="24:25">
      <c r="X11736" s="19"/>
      <c r="Y11736" s="20"/>
    </row>
    <row r="11737" spans="24:25">
      <c r="X11737" s="19"/>
      <c r="Y11737" s="20"/>
    </row>
    <row r="11738" spans="24:25">
      <c r="X11738" s="19"/>
      <c r="Y11738" s="20"/>
    </row>
    <row r="11739" spans="24:25">
      <c r="X11739" s="19"/>
      <c r="Y11739" s="20"/>
    </row>
    <row r="11740" spans="24:25">
      <c r="X11740" s="19"/>
      <c r="Y11740" s="20"/>
    </row>
    <row r="11741" spans="24:25">
      <c r="X11741" s="19"/>
      <c r="Y11741" s="20"/>
    </row>
    <row r="11742" spans="24:25">
      <c r="X11742" s="19"/>
      <c r="Y11742" s="20"/>
    </row>
    <row r="11743" spans="24:25">
      <c r="X11743" s="19"/>
      <c r="Y11743" s="20"/>
    </row>
    <row r="11744" spans="24:25">
      <c r="X11744" s="19"/>
      <c r="Y11744" s="20"/>
    </row>
    <row r="11745" spans="24:25">
      <c r="X11745" s="19"/>
      <c r="Y11745" s="20"/>
    </row>
    <row r="11746" spans="24:25">
      <c r="X11746" s="19"/>
      <c r="Y11746" s="20"/>
    </row>
    <row r="11747" spans="24:25">
      <c r="X11747" s="19"/>
      <c r="Y11747" s="20"/>
    </row>
    <row r="11748" spans="24:25">
      <c r="X11748" s="19"/>
      <c r="Y11748" s="20"/>
    </row>
    <row r="11749" spans="24:25">
      <c r="X11749" s="19"/>
      <c r="Y11749" s="20"/>
    </row>
    <row r="11750" spans="24:25">
      <c r="X11750" s="19"/>
      <c r="Y11750" s="20"/>
    </row>
    <row r="11751" spans="24:25">
      <c r="X11751" s="19"/>
      <c r="Y11751" s="20"/>
    </row>
    <row r="11752" spans="24:25">
      <c r="X11752" s="19"/>
      <c r="Y11752" s="20"/>
    </row>
    <row r="11753" spans="24:25">
      <c r="X11753" s="19"/>
      <c r="Y11753" s="20"/>
    </row>
    <row r="11754" spans="24:25">
      <c r="X11754" s="19"/>
      <c r="Y11754" s="20"/>
    </row>
    <row r="11755" spans="24:25">
      <c r="X11755" s="19"/>
      <c r="Y11755" s="20"/>
    </row>
    <row r="11756" spans="24:25">
      <c r="X11756" s="19"/>
      <c r="Y11756" s="20"/>
    </row>
    <row r="11757" spans="24:25">
      <c r="X11757" s="19"/>
      <c r="Y11757" s="20"/>
    </row>
    <row r="11758" spans="24:25">
      <c r="X11758" s="19"/>
      <c r="Y11758" s="20"/>
    </row>
    <row r="11759" spans="24:25">
      <c r="X11759" s="19"/>
      <c r="Y11759" s="20"/>
    </row>
    <row r="11760" spans="24:25">
      <c r="X11760" s="19"/>
      <c r="Y11760" s="20"/>
    </row>
    <row r="11761" spans="24:25">
      <c r="X11761" s="19"/>
      <c r="Y11761" s="20"/>
    </row>
    <row r="11762" spans="24:25">
      <c r="X11762" s="19"/>
      <c r="Y11762" s="20"/>
    </row>
    <row r="11763" spans="24:25">
      <c r="X11763" s="19"/>
      <c r="Y11763" s="20"/>
    </row>
    <row r="11764" spans="24:25">
      <c r="X11764" s="19"/>
      <c r="Y11764" s="20"/>
    </row>
    <row r="11765" spans="24:25">
      <c r="X11765" s="19"/>
      <c r="Y11765" s="20"/>
    </row>
    <row r="11766" spans="24:25">
      <c r="X11766" s="19"/>
      <c r="Y11766" s="20"/>
    </row>
    <row r="11767" spans="24:25">
      <c r="X11767" s="19"/>
      <c r="Y11767" s="20"/>
    </row>
    <row r="11768" spans="24:25">
      <c r="X11768" s="19"/>
      <c r="Y11768" s="20"/>
    </row>
    <row r="11769" spans="24:25">
      <c r="X11769" s="19"/>
      <c r="Y11769" s="20"/>
    </row>
    <row r="11770" spans="24:25">
      <c r="X11770" s="19"/>
      <c r="Y11770" s="20"/>
    </row>
    <row r="11771" spans="24:25">
      <c r="X11771" s="19"/>
      <c r="Y11771" s="20"/>
    </row>
    <row r="11772" spans="24:25">
      <c r="X11772" s="19"/>
      <c r="Y11772" s="20"/>
    </row>
    <row r="11773" spans="24:25">
      <c r="X11773" s="19"/>
      <c r="Y11773" s="20"/>
    </row>
    <row r="11774" spans="24:25">
      <c r="X11774" s="19"/>
      <c r="Y11774" s="20"/>
    </row>
    <row r="11775" spans="24:25">
      <c r="X11775" s="19"/>
      <c r="Y11775" s="20"/>
    </row>
    <row r="11776" spans="24:25">
      <c r="X11776" s="19"/>
      <c r="Y11776" s="20"/>
    </row>
    <row r="11777" spans="24:25">
      <c r="X11777" s="19"/>
      <c r="Y11777" s="20"/>
    </row>
    <row r="11778" spans="24:25">
      <c r="X11778" s="19"/>
      <c r="Y11778" s="20"/>
    </row>
    <row r="11779" spans="24:25">
      <c r="X11779" s="19"/>
      <c r="Y11779" s="20"/>
    </row>
    <row r="11780" spans="24:25">
      <c r="X11780" s="19"/>
      <c r="Y11780" s="20"/>
    </row>
    <row r="11781" spans="24:25">
      <c r="X11781" s="19"/>
      <c r="Y11781" s="20"/>
    </row>
    <row r="11782" spans="24:25">
      <c r="X11782" s="19"/>
      <c r="Y11782" s="20"/>
    </row>
    <row r="11783" spans="24:25">
      <c r="X11783" s="19"/>
      <c r="Y11783" s="20"/>
    </row>
    <row r="11784" spans="24:25">
      <c r="X11784" s="19"/>
      <c r="Y11784" s="20"/>
    </row>
    <row r="11785" spans="24:25">
      <c r="X11785" s="19"/>
      <c r="Y11785" s="20"/>
    </row>
    <row r="11786" spans="24:25">
      <c r="X11786" s="19"/>
      <c r="Y11786" s="20"/>
    </row>
    <row r="11787" spans="24:25">
      <c r="X11787" s="19"/>
      <c r="Y11787" s="20"/>
    </row>
    <row r="11788" spans="24:25">
      <c r="X11788" s="19"/>
      <c r="Y11788" s="20"/>
    </row>
    <row r="11789" spans="24:25">
      <c r="X11789" s="19"/>
      <c r="Y11789" s="20"/>
    </row>
    <row r="11790" spans="24:25">
      <c r="X11790" s="19"/>
      <c r="Y11790" s="20"/>
    </row>
    <row r="11791" spans="24:25">
      <c r="X11791" s="19"/>
      <c r="Y11791" s="20"/>
    </row>
    <row r="11792" spans="24:25">
      <c r="X11792" s="19"/>
      <c r="Y11792" s="20"/>
    </row>
    <row r="11793" spans="24:25">
      <c r="X11793" s="19"/>
      <c r="Y11793" s="20"/>
    </row>
    <row r="11794" spans="24:25">
      <c r="X11794" s="19"/>
      <c r="Y11794" s="20"/>
    </row>
    <row r="11795" spans="24:25">
      <c r="X11795" s="19"/>
      <c r="Y11795" s="20"/>
    </row>
    <row r="11796" spans="24:25">
      <c r="X11796" s="19"/>
      <c r="Y11796" s="20"/>
    </row>
    <row r="11797" spans="24:25">
      <c r="X11797" s="19"/>
      <c r="Y11797" s="20"/>
    </row>
    <row r="11798" spans="24:25">
      <c r="X11798" s="19"/>
      <c r="Y11798" s="20"/>
    </row>
    <row r="11799" spans="24:25">
      <c r="X11799" s="19"/>
      <c r="Y11799" s="20"/>
    </row>
    <row r="11800" spans="24:25">
      <c r="X11800" s="19"/>
      <c r="Y11800" s="20"/>
    </row>
    <row r="11801" spans="24:25">
      <c r="X11801" s="19"/>
      <c r="Y11801" s="20"/>
    </row>
    <row r="11802" spans="24:25">
      <c r="X11802" s="19"/>
      <c r="Y11802" s="20"/>
    </row>
    <row r="11803" spans="24:25">
      <c r="X11803" s="19"/>
      <c r="Y11803" s="20"/>
    </row>
    <row r="11804" spans="24:25">
      <c r="X11804" s="19"/>
      <c r="Y11804" s="20"/>
    </row>
    <row r="11805" spans="24:25">
      <c r="X11805" s="19"/>
      <c r="Y11805" s="20"/>
    </row>
    <row r="11806" spans="24:25">
      <c r="X11806" s="19"/>
      <c r="Y11806" s="20"/>
    </row>
    <row r="11807" spans="24:25">
      <c r="X11807" s="19"/>
      <c r="Y11807" s="20"/>
    </row>
    <row r="11808" spans="24:25">
      <c r="X11808" s="19"/>
      <c r="Y11808" s="20"/>
    </row>
    <row r="11809" spans="24:25">
      <c r="X11809" s="19"/>
      <c r="Y11809" s="20"/>
    </row>
    <row r="11810" spans="24:25">
      <c r="X11810" s="19"/>
      <c r="Y11810" s="20"/>
    </row>
    <row r="11811" spans="24:25">
      <c r="X11811" s="19"/>
      <c r="Y11811" s="20"/>
    </row>
    <row r="11812" spans="24:25">
      <c r="X11812" s="19"/>
      <c r="Y11812" s="20"/>
    </row>
    <row r="11813" spans="24:25">
      <c r="X11813" s="19"/>
      <c r="Y11813" s="20"/>
    </row>
    <row r="11814" spans="24:25">
      <c r="X11814" s="19"/>
      <c r="Y11814" s="20"/>
    </row>
    <row r="11815" spans="24:25">
      <c r="X11815" s="19"/>
      <c r="Y11815" s="20"/>
    </row>
    <row r="11816" spans="24:25">
      <c r="X11816" s="19"/>
      <c r="Y11816" s="20"/>
    </row>
    <row r="11817" spans="24:25">
      <c r="X11817" s="19"/>
      <c r="Y11817" s="20"/>
    </row>
    <row r="11818" spans="24:25">
      <c r="X11818" s="19"/>
      <c r="Y11818" s="20"/>
    </row>
    <row r="11819" spans="24:25">
      <c r="X11819" s="19"/>
      <c r="Y11819" s="20"/>
    </row>
    <row r="11820" spans="24:25">
      <c r="X11820" s="19"/>
      <c r="Y11820" s="20"/>
    </row>
    <row r="11821" spans="24:25">
      <c r="X11821" s="19"/>
      <c r="Y11821" s="20"/>
    </row>
    <row r="11822" spans="24:25">
      <c r="X11822" s="19"/>
      <c r="Y11822" s="20"/>
    </row>
    <row r="11823" spans="24:25">
      <c r="X11823" s="19"/>
      <c r="Y11823" s="20"/>
    </row>
    <row r="11824" spans="24:25">
      <c r="X11824" s="19"/>
      <c r="Y11824" s="20"/>
    </row>
    <row r="11825" spans="24:25">
      <c r="X11825" s="19"/>
      <c r="Y11825" s="20"/>
    </row>
    <row r="11826" spans="24:25">
      <c r="X11826" s="19"/>
      <c r="Y11826" s="20"/>
    </row>
    <row r="11827" spans="24:25">
      <c r="X11827" s="19"/>
      <c r="Y11827" s="20"/>
    </row>
    <row r="11828" spans="24:25">
      <c r="X11828" s="19"/>
      <c r="Y11828" s="20"/>
    </row>
    <row r="11829" spans="24:25">
      <c r="X11829" s="19"/>
      <c r="Y11829" s="20"/>
    </row>
    <row r="11830" spans="24:25">
      <c r="X11830" s="19"/>
      <c r="Y11830" s="20"/>
    </row>
    <row r="11831" spans="24:25">
      <c r="X11831" s="19"/>
      <c r="Y11831" s="20"/>
    </row>
    <row r="11832" spans="24:25">
      <c r="X11832" s="19"/>
      <c r="Y11832" s="20"/>
    </row>
    <row r="11833" spans="24:25">
      <c r="X11833" s="19"/>
      <c r="Y11833" s="20"/>
    </row>
    <row r="11834" spans="24:25">
      <c r="X11834" s="19"/>
      <c r="Y11834" s="20"/>
    </row>
    <row r="11835" spans="24:25">
      <c r="X11835" s="19"/>
      <c r="Y11835" s="20"/>
    </row>
    <row r="11836" spans="24:25">
      <c r="X11836" s="19"/>
      <c r="Y11836" s="20"/>
    </row>
    <row r="11837" spans="24:25">
      <c r="X11837" s="19"/>
      <c r="Y11837" s="20"/>
    </row>
    <row r="11838" spans="24:25">
      <c r="X11838" s="19"/>
      <c r="Y11838" s="20"/>
    </row>
    <row r="11839" spans="24:25">
      <c r="X11839" s="19"/>
      <c r="Y11839" s="20"/>
    </row>
    <row r="11840" spans="24:25">
      <c r="X11840" s="19"/>
      <c r="Y11840" s="20"/>
    </row>
    <row r="11841" spans="24:25">
      <c r="X11841" s="19"/>
      <c r="Y11841" s="20"/>
    </row>
    <row r="11842" spans="24:25">
      <c r="X11842" s="19"/>
      <c r="Y11842" s="20"/>
    </row>
    <row r="11843" spans="24:25">
      <c r="X11843" s="19"/>
      <c r="Y11843" s="20"/>
    </row>
    <row r="11844" spans="24:25">
      <c r="X11844" s="19"/>
      <c r="Y11844" s="20"/>
    </row>
    <row r="11845" spans="24:25">
      <c r="X11845" s="19"/>
      <c r="Y11845" s="20"/>
    </row>
    <row r="11846" spans="24:25">
      <c r="X11846" s="19"/>
      <c r="Y11846" s="20"/>
    </row>
    <row r="11847" spans="24:25">
      <c r="X11847" s="19"/>
      <c r="Y11847" s="20"/>
    </row>
    <row r="11848" spans="24:25">
      <c r="X11848" s="19"/>
      <c r="Y11848" s="20"/>
    </row>
    <row r="11849" spans="24:25">
      <c r="X11849" s="19"/>
      <c r="Y11849" s="20"/>
    </row>
    <row r="11850" spans="24:25">
      <c r="X11850" s="19"/>
      <c r="Y11850" s="20"/>
    </row>
    <row r="11851" spans="24:25">
      <c r="X11851" s="19"/>
      <c r="Y11851" s="20"/>
    </row>
    <row r="11852" spans="24:25">
      <c r="X11852" s="19"/>
      <c r="Y11852" s="20"/>
    </row>
    <row r="11853" spans="24:25">
      <c r="X11853" s="19"/>
      <c r="Y11853" s="20"/>
    </row>
    <row r="11854" spans="24:25">
      <c r="X11854" s="19"/>
      <c r="Y11854" s="20"/>
    </row>
    <row r="11855" spans="24:25">
      <c r="X11855" s="19"/>
      <c r="Y11855" s="20"/>
    </row>
    <row r="11856" spans="24:25">
      <c r="X11856" s="19"/>
      <c r="Y11856" s="20"/>
    </row>
    <row r="11857" spans="24:25">
      <c r="X11857" s="19"/>
      <c r="Y11857" s="20"/>
    </row>
    <row r="11858" spans="24:25">
      <c r="X11858" s="19"/>
      <c r="Y11858" s="20"/>
    </row>
    <row r="11859" spans="24:25">
      <c r="X11859" s="19"/>
      <c r="Y11859" s="20"/>
    </row>
    <row r="11860" spans="24:25">
      <c r="X11860" s="19"/>
      <c r="Y11860" s="20"/>
    </row>
    <row r="11861" spans="24:25">
      <c r="X11861" s="19"/>
      <c r="Y11861" s="20"/>
    </row>
    <row r="11862" spans="24:25">
      <c r="X11862" s="19"/>
      <c r="Y11862" s="20"/>
    </row>
    <row r="11863" spans="24:25">
      <c r="X11863" s="19"/>
      <c r="Y11863" s="20"/>
    </row>
    <row r="11864" spans="24:25">
      <c r="X11864" s="19"/>
      <c r="Y11864" s="20"/>
    </row>
    <row r="11865" spans="24:25">
      <c r="X11865" s="19"/>
      <c r="Y11865" s="20"/>
    </row>
    <row r="11866" spans="24:25">
      <c r="X11866" s="19"/>
      <c r="Y11866" s="20"/>
    </row>
    <row r="11867" spans="24:25">
      <c r="X11867" s="19"/>
      <c r="Y11867" s="20"/>
    </row>
    <row r="11868" spans="24:25">
      <c r="X11868" s="19"/>
      <c r="Y11868" s="20"/>
    </row>
    <row r="11869" spans="24:25">
      <c r="X11869" s="19"/>
      <c r="Y11869" s="20"/>
    </row>
    <row r="11870" spans="24:25">
      <c r="X11870" s="19"/>
      <c r="Y11870" s="20"/>
    </row>
    <row r="11871" spans="24:25">
      <c r="X11871" s="19"/>
      <c r="Y11871" s="20"/>
    </row>
    <row r="11872" spans="24:25">
      <c r="X11872" s="19"/>
      <c r="Y11872" s="20"/>
    </row>
    <row r="11873" spans="24:25">
      <c r="X11873" s="19"/>
      <c r="Y11873" s="20"/>
    </row>
    <row r="11874" spans="24:25">
      <c r="X11874" s="19"/>
      <c r="Y11874" s="20"/>
    </row>
    <row r="11875" spans="24:25">
      <c r="X11875" s="19"/>
      <c r="Y11875" s="20"/>
    </row>
    <row r="11876" spans="24:25">
      <c r="X11876" s="19"/>
      <c r="Y11876" s="20"/>
    </row>
    <row r="11877" spans="24:25">
      <c r="X11877" s="19"/>
      <c r="Y11877" s="20"/>
    </row>
    <row r="11878" spans="24:25">
      <c r="X11878" s="19"/>
      <c r="Y11878" s="20"/>
    </row>
    <row r="11879" spans="24:25">
      <c r="X11879" s="19"/>
      <c r="Y11879" s="20"/>
    </row>
    <row r="11880" spans="24:25">
      <c r="X11880" s="19"/>
      <c r="Y11880" s="20"/>
    </row>
    <row r="11881" spans="24:25">
      <c r="X11881" s="19"/>
      <c r="Y11881" s="20"/>
    </row>
    <row r="11882" spans="24:25">
      <c r="X11882" s="19"/>
      <c r="Y11882" s="20"/>
    </row>
    <row r="11883" spans="24:25">
      <c r="X11883" s="19"/>
      <c r="Y11883" s="20"/>
    </row>
    <row r="11884" spans="24:25">
      <c r="X11884" s="19"/>
      <c r="Y11884" s="20"/>
    </row>
    <row r="11885" spans="24:25">
      <c r="X11885" s="19"/>
      <c r="Y11885" s="20"/>
    </row>
    <row r="11886" spans="24:25">
      <c r="X11886" s="19"/>
      <c r="Y11886" s="20"/>
    </row>
    <row r="11887" spans="24:25">
      <c r="X11887" s="19"/>
      <c r="Y11887" s="20"/>
    </row>
    <row r="11888" spans="24:25">
      <c r="X11888" s="19"/>
      <c r="Y11888" s="20"/>
    </row>
    <row r="11889" spans="24:25">
      <c r="X11889" s="19"/>
      <c r="Y11889" s="20"/>
    </row>
    <row r="11890" spans="24:25">
      <c r="X11890" s="19"/>
      <c r="Y11890" s="20"/>
    </row>
    <row r="11891" spans="24:25">
      <c r="X11891" s="19"/>
      <c r="Y11891" s="20"/>
    </row>
    <row r="11892" spans="24:25">
      <c r="X11892" s="19"/>
      <c r="Y11892" s="20"/>
    </row>
    <row r="11893" spans="24:25">
      <c r="X11893" s="19"/>
      <c r="Y11893" s="20"/>
    </row>
    <row r="11894" spans="24:25">
      <c r="X11894" s="19"/>
      <c r="Y11894" s="20"/>
    </row>
    <row r="11895" spans="24:25">
      <c r="X11895" s="19"/>
      <c r="Y11895" s="20"/>
    </row>
    <row r="11896" spans="24:25">
      <c r="X11896" s="19"/>
      <c r="Y11896" s="20"/>
    </row>
    <row r="11897" spans="24:25">
      <c r="X11897" s="19"/>
      <c r="Y11897" s="20"/>
    </row>
    <row r="11898" spans="24:25">
      <c r="X11898" s="19"/>
      <c r="Y11898" s="20"/>
    </row>
    <row r="11899" spans="24:25">
      <c r="X11899" s="19"/>
      <c r="Y11899" s="20"/>
    </row>
    <row r="11900" spans="24:25">
      <c r="X11900" s="19"/>
      <c r="Y11900" s="20"/>
    </row>
    <row r="11901" spans="24:25">
      <c r="X11901" s="19"/>
      <c r="Y11901" s="20"/>
    </row>
    <row r="11902" spans="24:25">
      <c r="X11902" s="19"/>
      <c r="Y11902" s="20"/>
    </row>
    <row r="11903" spans="24:25">
      <c r="X11903" s="19"/>
      <c r="Y11903" s="20"/>
    </row>
    <row r="11904" spans="24:25">
      <c r="X11904" s="19"/>
      <c r="Y11904" s="20"/>
    </row>
    <row r="11905" spans="24:25">
      <c r="X11905" s="19"/>
      <c r="Y11905" s="20"/>
    </row>
    <row r="11906" spans="24:25">
      <c r="X11906" s="19"/>
      <c r="Y11906" s="20"/>
    </row>
    <row r="11907" spans="24:25">
      <c r="X11907" s="19"/>
      <c r="Y11907" s="20"/>
    </row>
    <row r="11908" spans="24:25">
      <c r="X11908" s="19"/>
      <c r="Y11908" s="20"/>
    </row>
    <row r="11909" spans="24:25">
      <c r="X11909" s="19"/>
      <c r="Y11909" s="20"/>
    </row>
    <row r="11910" spans="24:25">
      <c r="X11910" s="19"/>
      <c r="Y11910" s="20"/>
    </row>
    <row r="11911" spans="24:25">
      <c r="X11911" s="19"/>
      <c r="Y11911" s="20"/>
    </row>
    <row r="11912" spans="24:25">
      <c r="X11912" s="19"/>
      <c r="Y11912" s="20"/>
    </row>
    <row r="11913" spans="24:25">
      <c r="X11913" s="19"/>
      <c r="Y11913" s="20"/>
    </row>
    <row r="11914" spans="24:25">
      <c r="X11914" s="19"/>
      <c r="Y11914" s="20"/>
    </row>
    <row r="11915" spans="24:25">
      <c r="X11915" s="19"/>
      <c r="Y11915" s="20"/>
    </row>
    <row r="11916" spans="24:25">
      <c r="X11916" s="19"/>
      <c r="Y11916" s="20"/>
    </row>
    <row r="11917" spans="24:25">
      <c r="X11917" s="19"/>
      <c r="Y11917" s="20"/>
    </row>
    <row r="11918" spans="24:25">
      <c r="X11918" s="19"/>
      <c r="Y11918" s="20"/>
    </row>
    <row r="11919" spans="24:25">
      <c r="X11919" s="19"/>
      <c r="Y11919" s="20"/>
    </row>
    <row r="11920" spans="24:25">
      <c r="X11920" s="19"/>
      <c r="Y11920" s="20"/>
    </row>
    <row r="11921" spans="24:25">
      <c r="X11921" s="19"/>
      <c r="Y11921" s="20"/>
    </row>
    <row r="11922" spans="24:25">
      <c r="X11922" s="19"/>
      <c r="Y11922" s="20"/>
    </row>
    <row r="11923" spans="24:25">
      <c r="X11923" s="19"/>
      <c r="Y11923" s="20"/>
    </row>
    <row r="11924" spans="24:25">
      <c r="X11924" s="19"/>
      <c r="Y11924" s="20"/>
    </row>
    <row r="11925" spans="24:25">
      <c r="X11925" s="19"/>
      <c r="Y11925" s="20"/>
    </row>
    <row r="11926" spans="24:25">
      <c r="X11926" s="19"/>
      <c r="Y11926" s="20"/>
    </row>
    <row r="11927" spans="24:25">
      <c r="X11927" s="19"/>
      <c r="Y11927" s="20"/>
    </row>
    <row r="11928" spans="24:25">
      <c r="X11928" s="19"/>
      <c r="Y11928" s="20"/>
    </row>
    <row r="11929" spans="24:25">
      <c r="X11929" s="19"/>
      <c r="Y11929" s="20"/>
    </row>
    <row r="11930" spans="24:25">
      <c r="X11930" s="19"/>
      <c r="Y11930" s="20"/>
    </row>
    <row r="11931" spans="24:25">
      <c r="X11931" s="19"/>
      <c r="Y11931" s="20"/>
    </row>
    <row r="11932" spans="24:25">
      <c r="X11932" s="19"/>
      <c r="Y11932" s="20"/>
    </row>
    <row r="11933" spans="24:25">
      <c r="X11933" s="19"/>
      <c r="Y11933" s="20"/>
    </row>
    <row r="11934" spans="24:25">
      <c r="X11934" s="19"/>
      <c r="Y11934" s="20"/>
    </row>
    <row r="11935" spans="24:25">
      <c r="X11935" s="19"/>
      <c r="Y11935" s="20"/>
    </row>
    <row r="11936" spans="24:25">
      <c r="X11936" s="19"/>
      <c r="Y11936" s="20"/>
    </row>
    <row r="11937" spans="24:25">
      <c r="X11937" s="19"/>
      <c r="Y11937" s="20"/>
    </row>
    <row r="11938" spans="24:25">
      <c r="X11938" s="19"/>
      <c r="Y11938" s="20"/>
    </row>
    <row r="11939" spans="24:25">
      <c r="X11939" s="19"/>
      <c r="Y11939" s="20"/>
    </row>
    <row r="11940" spans="24:25">
      <c r="X11940" s="19"/>
      <c r="Y11940" s="20"/>
    </row>
    <row r="11941" spans="24:25">
      <c r="X11941" s="19"/>
      <c r="Y11941" s="20"/>
    </row>
    <row r="11942" spans="24:25">
      <c r="X11942" s="19"/>
      <c r="Y11942" s="20"/>
    </row>
    <row r="11943" spans="24:25">
      <c r="X11943" s="19"/>
      <c r="Y11943" s="20"/>
    </row>
    <row r="11944" spans="24:25">
      <c r="X11944" s="19"/>
      <c r="Y11944" s="20"/>
    </row>
    <row r="11945" spans="24:25">
      <c r="X11945" s="19"/>
      <c r="Y11945" s="20"/>
    </row>
    <row r="11946" spans="24:25">
      <c r="X11946" s="19"/>
      <c r="Y11946" s="20"/>
    </row>
    <row r="11947" spans="24:25">
      <c r="X11947" s="19"/>
      <c r="Y11947" s="20"/>
    </row>
    <row r="11948" spans="24:25">
      <c r="X11948" s="19"/>
      <c r="Y11948" s="20"/>
    </row>
    <row r="11949" spans="24:25">
      <c r="X11949" s="19"/>
      <c r="Y11949" s="20"/>
    </row>
    <row r="11950" spans="24:25">
      <c r="X11950" s="19"/>
      <c r="Y11950" s="20"/>
    </row>
    <row r="11951" spans="24:25">
      <c r="X11951" s="19"/>
      <c r="Y11951" s="20"/>
    </row>
    <row r="11952" spans="24:25">
      <c r="X11952" s="19"/>
      <c r="Y11952" s="20"/>
    </row>
    <row r="11953" spans="24:25">
      <c r="X11953" s="19"/>
      <c r="Y11953" s="20"/>
    </row>
    <row r="11954" spans="24:25">
      <c r="X11954" s="19"/>
      <c r="Y11954" s="20"/>
    </row>
    <row r="11955" spans="24:25">
      <c r="X11955" s="19"/>
      <c r="Y11955" s="20"/>
    </row>
    <row r="11956" spans="24:25">
      <c r="X11956" s="19"/>
      <c r="Y11956" s="20"/>
    </row>
    <row r="11957" spans="24:25">
      <c r="X11957" s="19"/>
      <c r="Y11957" s="20"/>
    </row>
    <row r="11958" spans="24:25">
      <c r="X11958" s="19"/>
      <c r="Y11958" s="20"/>
    </row>
    <row r="11959" spans="24:25">
      <c r="X11959" s="19"/>
      <c r="Y11959" s="20"/>
    </row>
    <row r="11960" spans="24:25">
      <c r="X11960" s="19"/>
      <c r="Y11960" s="20"/>
    </row>
    <row r="11961" spans="24:25">
      <c r="X11961" s="19"/>
      <c r="Y11961" s="20"/>
    </row>
    <row r="11962" spans="24:25">
      <c r="X11962" s="19"/>
      <c r="Y11962" s="20"/>
    </row>
    <row r="11963" spans="24:25">
      <c r="X11963" s="19"/>
      <c r="Y11963" s="20"/>
    </row>
    <row r="11964" spans="24:25">
      <c r="X11964" s="19"/>
      <c r="Y11964" s="20"/>
    </row>
    <row r="11965" spans="24:25">
      <c r="X11965" s="19"/>
      <c r="Y11965" s="20"/>
    </row>
    <row r="11966" spans="24:25">
      <c r="X11966" s="19"/>
      <c r="Y11966" s="20"/>
    </row>
    <row r="11967" spans="24:25">
      <c r="X11967" s="19"/>
      <c r="Y11967" s="20"/>
    </row>
    <row r="11968" spans="24:25">
      <c r="X11968" s="19"/>
      <c r="Y11968" s="20"/>
    </row>
    <row r="11969" spans="24:25">
      <c r="X11969" s="19"/>
      <c r="Y11969" s="20"/>
    </row>
    <row r="11970" spans="24:25">
      <c r="X11970" s="19"/>
      <c r="Y11970" s="20"/>
    </row>
    <row r="11971" spans="24:25">
      <c r="X11971" s="19"/>
      <c r="Y11971" s="20"/>
    </row>
    <row r="11972" spans="24:25">
      <c r="X11972" s="19"/>
      <c r="Y11972" s="20"/>
    </row>
    <row r="11973" spans="24:25">
      <c r="X11973" s="19"/>
      <c r="Y11973" s="20"/>
    </row>
    <row r="11974" spans="24:25">
      <c r="X11974" s="19"/>
      <c r="Y11974" s="20"/>
    </row>
    <row r="11975" spans="24:25">
      <c r="X11975" s="19"/>
      <c r="Y11975" s="20"/>
    </row>
    <row r="11976" spans="24:25">
      <c r="X11976" s="19"/>
      <c r="Y11976" s="20"/>
    </row>
    <row r="11977" spans="24:25">
      <c r="X11977" s="19"/>
      <c r="Y11977" s="20"/>
    </row>
    <row r="11978" spans="24:25">
      <c r="X11978" s="19"/>
      <c r="Y11978" s="20"/>
    </row>
    <row r="11979" spans="24:25">
      <c r="X11979" s="19"/>
      <c r="Y11979" s="20"/>
    </row>
    <row r="11980" spans="24:25">
      <c r="X11980" s="19"/>
      <c r="Y11980" s="20"/>
    </row>
    <row r="11981" spans="24:25">
      <c r="X11981" s="19"/>
      <c r="Y11981" s="20"/>
    </row>
    <row r="11982" spans="24:25">
      <c r="X11982" s="19"/>
      <c r="Y11982" s="20"/>
    </row>
    <row r="11983" spans="24:25">
      <c r="X11983" s="19"/>
      <c r="Y11983" s="20"/>
    </row>
    <row r="11984" spans="24:25">
      <c r="X11984" s="19"/>
      <c r="Y11984" s="20"/>
    </row>
    <row r="11985" spans="24:25">
      <c r="X11985" s="19"/>
      <c r="Y11985" s="20"/>
    </row>
    <row r="11986" spans="24:25">
      <c r="X11986" s="19"/>
      <c r="Y11986" s="20"/>
    </row>
    <row r="11987" spans="24:25">
      <c r="X11987" s="19"/>
      <c r="Y11987" s="20"/>
    </row>
    <row r="11988" spans="24:25">
      <c r="X11988" s="19"/>
      <c r="Y11988" s="20"/>
    </row>
    <row r="11989" spans="24:25">
      <c r="X11989" s="19"/>
      <c r="Y11989" s="20"/>
    </row>
    <row r="11990" spans="24:25">
      <c r="X11990" s="19"/>
      <c r="Y11990" s="20"/>
    </row>
    <row r="11991" spans="24:25">
      <c r="X11991" s="19"/>
      <c r="Y11991" s="20"/>
    </row>
    <row r="11992" spans="24:25">
      <c r="X11992" s="19"/>
      <c r="Y11992" s="20"/>
    </row>
    <row r="11993" spans="24:25">
      <c r="X11993" s="19"/>
      <c r="Y11993" s="20"/>
    </row>
    <row r="11994" spans="24:25">
      <c r="X11994" s="19"/>
      <c r="Y11994" s="20"/>
    </row>
    <row r="11995" spans="24:25">
      <c r="X11995" s="19"/>
      <c r="Y11995" s="20"/>
    </row>
    <row r="11996" spans="24:25">
      <c r="X11996" s="19"/>
      <c r="Y11996" s="20"/>
    </row>
    <row r="11997" spans="24:25">
      <c r="X11997" s="19"/>
      <c r="Y11997" s="20"/>
    </row>
    <row r="11998" spans="24:25">
      <c r="X11998" s="19"/>
      <c r="Y11998" s="20"/>
    </row>
    <row r="11999" spans="24:25">
      <c r="X11999" s="19"/>
      <c r="Y11999" s="20"/>
    </row>
    <row r="12000" spans="24:25">
      <c r="X12000" s="19"/>
      <c r="Y12000" s="20"/>
    </row>
    <row r="12001" spans="24:25">
      <c r="X12001" s="19"/>
      <c r="Y12001" s="20"/>
    </row>
    <row r="12002" spans="24:25">
      <c r="X12002" s="19"/>
      <c r="Y12002" s="20"/>
    </row>
    <row r="12003" spans="24:25">
      <c r="X12003" s="19"/>
      <c r="Y12003" s="20"/>
    </row>
    <row r="12004" spans="24:25">
      <c r="X12004" s="19"/>
      <c r="Y12004" s="20"/>
    </row>
    <row r="12005" spans="24:25">
      <c r="X12005" s="19"/>
      <c r="Y12005" s="20"/>
    </row>
    <row r="12006" spans="24:25">
      <c r="X12006" s="19"/>
      <c r="Y12006" s="20"/>
    </row>
    <row r="12007" spans="24:25">
      <c r="X12007" s="19"/>
      <c r="Y12007" s="20"/>
    </row>
    <row r="12008" spans="24:25">
      <c r="X12008" s="19"/>
      <c r="Y12008" s="20"/>
    </row>
    <row r="12009" spans="24:25">
      <c r="X12009" s="19"/>
      <c r="Y12009" s="20"/>
    </row>
    <row r="12010" spans="24:25">
      <c r="X12010" s="19"/>
      <c r="Y12010" s="20"/>
    </row>
    <row r="12011" spans="24:25">
      <c r="X12011" s="19"/>
      <c r="Y12011" s="20"/>
    </row>
    <row r="12012" spans="24:25">
      <c r="X12012" s="19"/>
      <c r="Y12012" s="20"/>
    </row>
    <row r="12013" spans="24:25">
      <c r="X12013" s="19"/>
      <c r="Y12013" s="20"/>
    </row>
    <row r="12014" spans="24:25">
      <c r="X12014" s="19"/>
      <c r="Y12014" s="20"/>
    </row>
    <row r="12015" spans="24:25">
      <c r="X12015" s="19"/>
      <c r="Y12015" s="20"/>
    </row>
    <row r="12016" spans="24:25">
      <c r="X12016" s="19"/>
      <c r="Y12016" s="20"/>
    </row>
    <row r="12017" spans="24:25">
      <c r="X12017" s="19"/>
      <c r="Y12017" s="20"/>
    </row>
    <row r="12018" spans="24:25">
      <c r="X12018" s="19"/>
      <c r="Y12018" s="20"/>
    </row>
    <row r="12019" spans="24:25">
      <c r="X12019" s="19"/>
      <c r="Y12019" s="20"/>
    </row>
    <row r="12020" spans="24:25">
      <c r="X12020" s="19"/>
      <c r="Y12020" s="20"/>
    </row>
    <row r="12021" spans="24:25">
      <c r="X12021" s="19"/>
      <c r="Y12021" s="20"/>
    </row>
    <row r="12022" spans="24:25">
      <c r="X12022" s="19"/>
      <c r="Y12022" s="20"/>
    </row>
    <row r="12023" spans="24:25">
      <c r="X12023" s="19"/>
      <c r="Y12023" s="20"/>
    </row>
    <row r="12024" spans="24:25">
      <c r="X12024" s="19"/>
      <c r="Y12024" s="20"/>
    </row>
    <row r="12025" spans="24:25">
      <c r="X12025" s="19"/>
      <c r="Y12025" s="20"/>
    </row>
    <row r="12026" spans="24:25">
      <c r="X12026" s="19"/>
      <c r="Y12026" s="20"/>
    </row>
    <row r="12027" spans="24:25">
      <c r="X12027" s="19"/>
      <c r="Y12027" s="20"/>
    </row>
    <row r="12028" spans="24:25">
      <c r="X12028" s="19"/>
      <c r="Y12028" s="20"/>
    </row>
    <row r="12029" spans="24:25">
      <c r="X12029" s="19"/>
      <c r="Y12029" s="20"/>
    </row>
    <row r="12030" spans="24:25">
      <c r="X12030" s="19"/>
      <c r="Y12030" s="20"/>
    </row>
    <row r="12031" spans="24:25">
      <c r="X12031" s="19"/>
      <c r="Y12031" s="20"/>
    </row>
    <row r="12032" spans="24:25">
      <c r="X12032" s="19"/>
      <c r="Y12032" s="20"/>
    </row>
    <row r="12033" spans="24:25">
      <c r="X12033" s="19"/>
      <c r="Y12033" s="20"/>
    </row>
    <row r="12034" spans="24:25">
      <c r="X12034" s="19"/>
      <c r="Y12034" s="20"/>
    </row>
    <row r="12035" spans="24:25">
      <c r="X12035" s="19"/>
      <c r="Y12035" s="20"/>
    </row>
    <row r="12036" spans="24:25">
      <c r="X12036" s="19"/>
      <c r="Y12036" s="20"/>
    </row>
    <row r="12037" spans="24:25">
      <c r="X12037" s="19"/>
      <c r="Y12037" s="20"/>
    </row>
    <row r="12038" spans="24:25">
      <c r="X12038" s="19"/>
      <c r="Y12038" s="20"/>
    </row>
    <row r="12039" spans="24:25">
      <c r="X12039" s="19"/>
      <c r="Y12039" s="20"/>
    </row>
    <row r="12040" spans="24:25">
      <c r="X12040" s="19"/>
      <c r="Y12040" s="20"/>
    </row>
    <row r="12041" spans="24:25">
      <c r="X12041" s="19"/>
      <c r="Y12041" s="20"/>
    </row>
    <row r="12042" spans="24:25">
      <c r="X12042" s="19"/>
      <c r="Y12042" s="20"/>
    </row>
    <row r="12043" spans="24:25">
      <c r="X12043" s="19"/>
      <c r="Y12043" s="20"/>
    </row>
    <row r="12044" spans="24:25">
      <c r="X12044" s="19"/>
      <c r="Y12044" s="20"/>
    </row>
    <row r="12045" spans="24:25">
      <c r="X12045" s="19"/>
      <c r="Y12045" s="20"/>
    </row>
    <row r="12046" spans="24:25">
      <c r="X12046" s="19"/>
      <c r="Y12046" s="20"/>
    </row>
    <row r="12047" spans="24:25">
      <c r="X12047" s="19"/>
      <c r="Y12047" s="20"/>
    </row>
    <row r="12048" spans="24:25">
      <c r="X12048" s="19"/>
      <c r="Y12048" s="20"/>
    </row>
    <row r="12049" spans="24:25">
      <c r="X12049" s="19"/>
      <c r="Y12049" s="20"/>
    </row>
    <row r="12050" spans="24:25">
      <c r="X12050" s="19"/>
      <c r="Y12050" s="20"/>
    </row>
    <row r="12051" spans="24:25">
      <c r="X12051" s="19"/>
      <c r="Y12051" s="20"/>
    </row>
    <row r="12052" spans="24:25">
      <c r="X12052" s="19"/>
      <c r="Y12052" s="20"/>
    </row>
    <row r="12053" spans="24:25">
      <c r="X12053" s="19"/>
      <c r="Y12053" s="20"/>
    </row>
    <row r="12054" spans="24:25">
      <c r="X12054" s="19"/>
      <c r="Y12054" s="20"/>
    </row>
    <row r="12055" spans="24:25">
      <c r="X12055" s="19"/>
      <c r="Y12055" s="20"/>
    </row>
    <row r="12056" spans="24:25">
      <c r="X12056" s="19"/>
      <c r="Y12056" s="20"/>
    </row>
    <row r="12057" spans="24:25">
      <c r="X12057" s="19"/>
      <c r="Y12057" s="20"/>
    </row>
    <row r="12058" spans="24:25">
      <c r="X12058" s="19"/>
      <c r="Y12058" s="20"/>
    </row>
    <row r="12059" spans="24:25">
      <c r="X12059" s="19"/>
      <c r="Y12059" s="20"/>
    </row>
    <row r="12060" spans="24:25">
      <c r="X12060" s="19"/>
      <c r="Y12060" s="20"/>
    </row>
    <row r="12061" spans="24:25">
      <c r="X12061" s="19"/>
      <c r="Y12061" s="20"/>
    </row>
    <row r="12062" spans="24:25">
      <c r="X12062" s="19"/>
      <c r="Y12062" s="20"/>
    </row>
    <row r="12063" spans="24:25">
      <c r="X12063" s="19"/>
      <c r="Y12063" s="20"/>
    </row>
    <row r="12064" spans="24:25">
      <c r="X12064" s="19"/>
      <c r="Y12064" s="20"/>
    </row>
    <row r="12065" spans="24:25">
      <c r="X12065" s="19"/>
      <c r="Y12065" s="20"/>
    </row>
    <row r="12066" spans="24:25">
      <c r="X12066" s="19"/>
      <c r="Y12066" s="20"/>
    </row>
    <row r="12067" spans="24:25">
      <c r="X12067" s="19"/>
      <c r="Y12067" s="20"/>
    </row>
    <row r="12068" spans="24:25">
      <c r="X12068" s="19"/>
      <c r="Y12068" s="20"/>
    </row>
    <row r="12069" spans="24:25">
      <c r="X12069" s="19"/>
      <c r="Y12069" s="20"/>
    </row>
    <row r="12070" spans="24:25">
      <c r="X12070" s="19"/>
      <c r="Y12070" s="20"/>
    </row>
    <row r="12071" spans="24:25">
      <c r="X12071" s="19"/>
      <c r="Y12071" s="20"/>
    </row>
    <row r="12072" spans="24:25">
      <c r="X12072" s="19"/>
      <c r="Y12072" s="20"/>
    </row>
    <row r="12073" spans="24:25">
      <c r="X12073" s="19"/>
      <c r="Y12073" s="20"/>
    </row>
    <row r="12074" spans="24:25">
      <c r="X12074" s="19"/>
      <c r="Y12074" s="20"/>
    </row>
    <row r="12075" spans="24:25">
      <c r="X12075" s="19"/>
      <c r="Y12075" s="20"/>
    </row>
    <row r="12076" spans="24:25">
      <c r="X12076" s="19"/>
      <c r="Y12076" s="20"/>
    </row>
    <row r="12077" spans="24:25">
      <c r="X12077" s="19"/>
      <c r="Y12077" s="20"/>
    </row>
    <row r="12078" spans="24:25">
      <c r="X12078" s="19"/>
      <c r="Y12078" s="20"/>
    </row>
    <row r="12079" spans="24:25">
      <c r="X12079" s="19"/>
      <c r="Y12079" s="20"/>
    </row>
    <row r="12080" spans="24:25">
      <c r="X12080" s="19"/>
      <c r="Y12080" s="20"/>
    </row>
    <row r="12081" spans="24:25">
      <c r="X12081" s="19"/>
      <c r="Y12081" s="20"/>
    </row>
    <row r="12082" spans="24:25">
      <c r="X12082" s="19"/>
      <c r="Y12082" s="20"/>
    </row>
    <row r="12083" spans="24:25">
      <c r="X12083" s="19"/>
      <c r="Y12083" s="20"/>
    </row>
    <row r="12084" spans="24:25">
      <c r="X12084" s="19"/>
      <c r="Y12084" s="20"/>
    </row>
    <row r="12085" spans="24:25">
      <c r="X12085" s="19"/>
      <c r="Y12085" s="20"/>
    </row>
    <row r="12086" spans="24:25">
      <c r="X12086" s="19"/>
      <c r="Y12086" s="20"/>
    </row>
    <row r="12087" spans="24:25">
      <c r="X12087" s="19"/>
      <c r="Y12087" s="20"/>
    </row>
    <row r="12088" spans="24:25">
      <c r="X12088" s="19"/>
      <c r="Y12088" s="20"/>
    </row>
    <row r="12089" spans="24:25">
      <c r="X12089" s="19"/>
      <c r="Y12089" s="20"/>
    </row>
    <row r="12090" spans="24:25">
      <c r="X12090" s="19"/>
      <c r="Y12090" s="20"/>
    </row>
    <row r="12091" spans="24:25">
      <c r="X12091" s="19"/>
      <c r="Y12091" s="20"/>
    </row>
    <row r="12092" spans="24:25">
      <c r="X12092" s="19"/>
      <c r="Y12092" s="20"/>
    </row>
    <row r="12093" spans="24:25">
      <c r="X12093" s="19"/>
      <c r="Y12093" s="20"/>
    </row>
    <row r="12094" spans="24:25">
      <c r="X12094" s="19"/>
      <c r="Y12094" s="20"/>
    </row>
    <row r="12095" spans="24:25">
      <c r="X12095" s="19"/>
      <c r="Y12095" s="20"/>
    </row>
    <row r="12096" spans="24:25">
      <c r="X12096" s="19"/>
      <c r="Y12096" s="20"/>
    </row>
    <row r="12097" spans="24:25">
      <c r="X12097" s="19"/>
      <c r="Y12097" s="20"/>
    </row>
    <row r="12098" spans="24:25">
      <c r="X12098" s="19"/>
      <c r="Y12098" s="20"/>
    </row>
    <row r="12099" spans="24:25">
      <c r="X12099" s="19"/>
      <c r="Y12099" s="20"/>
    </row>
    <row r="12100" spans="24:25">
      <c r="X12100" s="19"/>
      <c r="Y12100" s="20"/>
    </row>
    <row r="12101" spans="24:25">
      <c r="X12101" s="19"/>
      <c r="Y12101" s="20"/>
    </row>
    <row r="12102" spans="24:25">
      <c r="X12102" s="19"/>
      <c r="Y12102" s="20"/>
    </row>
    <row r="12103" spans="24:25">
      <c r="X12103" s="19"/>
      <c r="Y12103" s="20"/>
    </row>
    <row r="12104" spans="24:25">
      <c r="X12104" s="19"/>
      <c r="Y12104" s="20"/>
    </row>
    <row r="12105" spans="24:25">
      <c r="X12105" s="19"/>
      <c r="Y12105" s="20"/>
    </row>
    <row r="12106" spans="24:25">
      <c r="X12106" s="19"/>
      <c r="Y12106" s="20"/>
    </row>
    <row r="12107" spans="24:25">
      <c r="X12107" s="19"/>
      <c r="Y12107" s="20"/>
    </row>
    <row r="12108" spans="24:25">
      <c r="X12108" s="19"/>
      <c r="Y12108" s="20"/>
    </row>
    <row r="12109" spans="24:25">
      <c r="X12109" s="19"/>
      <c r="Y12109" s="20"/>
    </row>
    <row r="12110" spans="24:25">
      <c r="X12110" s="19"/>
      <c r="Y12110" s="20"/>
    </row>
    <row r="12111" spans="24:25">
      <c r="X12111" s="19"/>
      <c r="Y12111" s="20"/>
    </row>
    <row r="12112" spans="24:25">
      <c r="X12112" s="19"/>
      <c r="Y12112" s="20"/>
    </row>
    <row r="12113" spans="24:25">
      <c r="X12113" s="19"/>
      <c r="Y12113" s="20"/>
    </row>
    <row r="12114" spans="24:25">
      <c r="X12114" s="19"/>
      <c r="Y12114" s="20"/>
    </row>
    <row r="12115" spans="24:25">
      <c r="X12115" s="19"/>
      <c r="Y12115" s="20"/>
    </row>
    <row r="12116" spans="24:25">
      <c r="X12116" s="19"/>
      <c r="Y12116" s="20"/>
    </row>
    <row r="12117" spans="24:25">
      <c r="X12117" s="19"/>
      <c r="Y12117" s="20"/>
    </row>
    <row r="12118" spans="24:25">
      <c r="X12118" s="19"/>
      <c r="Y12118" s="20"/>
    </row>
    <row r="12119" spans="24:25">
      <c r="X12119" s="19"/>
      <c r="Y12119" s="20"/>
    </row>
    <row r="12120" spans="24:25">
      <c r="X12120" s="19"/>
      <c r="Y12120" s="20"/>
    </row>
    <row r="12121" spans="24:25">
      <c r="X12121" s="19"/>
      <c r="Y12121" s="20"/>
    </row>
    <row r="12122" spans="24:25">
      <c r="X12122" s="19"/>
      <c r="Y12122" s="20"/>
    </row>
    <row r="12123" spans="24:25">
      <c r="X12123" s="19"/>
      <c r="Y12123" s="20"/>
    </row>
    <row r="12124" spans="24:25">
      <c r="X12124" s="19"/>
      <c r="Y12124" s="20"/>
    </row>
    <row r="12125" spans="24:25">
      <c r="X12125" s="19"/>
      <c r="Y12125" s="20"/>
    </row>
    <row r="12126" spans="24:25">
      <c r="X12126" s="19"/>
      <c r="Y12126" s="20"/>
    </row>
    <row r="12127" spans="24:25">
      <c r="X12127" s="19"/>
      <c r="Y12127" s="20"/>
    </row>
    <row r="12128" spans="24:25">
      <c r="X12128" s="19"/>
      <c r="Y12128" s="20"/>
    </row>
    <row r="12129" spans="24:25">
      <c r="X12129" s="19"/>
      <c r="Y12129" s="20"/>
    </row>
    <row r="12130" spans="24:25">
      <c r="X12130" s="19"/>
      <c r="Y12130" s="20"/>
    </row>
    <row r="12131" spans="24:25">
      <c r="X12131" s="19"/>
      <c r="Y12131" s="20"/>
    </row>
    <row r="12132" spans="24:25">
      <c r="X12132" s="19"/>
      <c r="Y12132" s="20"/>
    </row>
    <row r="12133" spans="24:25">
      <c r="X12133" s="19"/>
      <c r="Y12133" s="20"/>
    </row>
    <row r="12134" spans="24:25">
      <c r="X12134" s="19"/>
      <c r="Y12134" s="20"/>
    </row>
    <row r="12135" spans="24:25">
      <c r="X12135" s="19"/>
      <c r="Y12135" s="20"/>
    </row>
    <row r="12136" spans="24:25">
      <c r="X12136" s="19"/>
      <c r="Y12136" s="20"/>
    </row>
    <row r="12137" spans="24:25">
      <c r="X12137" s="19"/>
      <c r="Y12137" s="20"/>
    </row>
    <row r="12138" spans="24:25">
      <c r="X12138" s="19"/>
      <c r="Y12138" s="20"/>
    </row>
    <row r="12139" spans="24:25">
      <c r="X12139" s="19"/>
      <c r="Y12139" s="20"/>
    </row>
    <row r="12140" spans="24:25">
      <c r="X12140" s="19"/>
      <c r="Y12140" s="20"/>
    </row>
    <row r="12141" spans="24:25">
      <c r="X12141" s="19"/>
      <c r="Y12141" s="20"/>
    </row>
    <row r="12142" spans="24:25">
      <c r="X12142" s="19"/>
      <c r="Y12142" s="20"/>
    </row>
    <row r="12143" spans="24:25">
      <c r="X12143" s="19"/>
      <c r="Y12143" s="20"/>
    </row>
    <row r="12144" spans="24:25">
      <c r="X12144" s="19"/>
      <c r="Y12144" s="20"/>
    </row>
    <row r="12145" spans="24:25">
      <c r="X12145" s="19"/>
      <c r="Y12145" s="20"/>
    </row>
    <row r="12146" spans="24:25">
      <c r="X12146" s="19"/>
      <c r="Y12146" s="20"/>
    </row>
    <row r="12147" spans="24:25">
      <c r="X12147" s="19"/>
      <c r="Y12147" s="20"/>
    </row>
    <row r="12148" spans="24:25">
      <c r="X12148" s="19"/>
      <c r="Y12148" s="20"/>
    </row>
    <row r="12149" spans="24:25">
      <c r="X12149" s="19"/>
      <c r="Y12149" s="20"/>
    </row>
    <row r="12150" spans="24:25">
      <c r="X12150" s="19"/>
      <c r="Y12150" s="20"/>
    </row>
    <row r="12151" spans="24:25">
      <c r="X12151" s="19"/>
      <c r="Y12151" s="20"/>
    </row>
    <row r="12152" spans="24:25">
      <c r="X12152" s="19"/>
      <c r="Y12152" s="20"/>
    </row>
    <row r="12153" spans="24:25">
      <c r="X12153" s="19"/>
      <c r="Y12153" s="20"/>
    </row>
    <row r="12154" spans="24:25">
      <c r="X12154" s="19"/>
      <c r="Y12154" s="20"/>
    </row>
    <row r="12155" spans="24:25">
      <c r="X12155" s="19"/>
      <c r="Y12155" s="20"/>
    </row>
    <row r="12156" spans="24:25">
      <c r="X12156" s="19"/>
      <c r="Y12156" s="20"/>
    </row>
    <row r="12157" spans="24:25">
      <c r="X12157" s="19"/>
      <c r="Y12157" s="20"/>
    </row>
    <row r="12158" spans="24:25">
      <c r="X12158" s="19"/>
      <c r="Y12158" s="20"/>
    </row>
    <row r="12159" spans="24:25">
      <c r="X12159" s="19"/>
      <c r="Y12159" s="20"/>
    </row>
    <row r="12160" spans="24:25">
      <c r="X12160" s="19"/>
      <c r="Y12160" s="20"/>
    </row>
    <row r="12161" spans="24:25">
      <c r="X12161" s="19"/>
      <c r="Y12161" s="20"/>
    </row>
    <row r="12162" spans="24:25">
      <c r="X12162" s="19"/>
      <c r="Y12162" s="20"/>
    </row>
    <row r="12163" spans="24:25">
      <c r="X12163" s="19"/>
      <c r="Y12163" s="20"/>
    </row>
    <row r="12164" spans="24:25">
      <c r="X12164" s="19"/>
      <c r="Y12164" s="20"/>
    </row>
    <row r="12165" spans="24:25">
      <c r="X12165" s="19"/>
      <c r="Y12165" s="20"/>
    </row>
    <row r="12166" spans="24:25">
      <c r="X12166" s="19"/>
      <c r="Y12166" s="20"/>
    </row>
    <row r="12167" spans="24:25">
      <c r="X12167" s="19"/>
      <c r="Y12167" s="20"/>
    </row>
    <row r="12168" spans="24:25">
      <c r="X12168" s="19"/>
      <c r="Y12168" s="20"/>
    </row>
    <row r="12169" spans="24:25">
      <c r="X12169" s="19"/>
      <c r="Y12169" s="20"/>
    </row>
    <row r="12170" spans="24:25">
      <c r="X12170" s="19"/>
      <c r="Y12170" s="20"/>
    </row>
    <row r="12171" spans="24:25">
      <c r="X12171" s="19"/>
      <c r="Y12171" s="20"/>
    </row>
    <row r="12172" spans="24:25">
      <c r="X12172" s="19"/>
      <c r="Y12172" s="20"/>
    </row>
    <row r="12173" spans="24:25">
      <c r="X12173" s="19"/>
      <c r="Y12173" s="20"/>
    </row>
    <row r="12174" spans="24:25">
      <c r="X12174" s="19"/>
      <c r="Y12174" s="20"/>
    </row>
    <row r="12175" spans="24:25">
      <c r="X12175" s="19"/>
      <c r="Y12175" s="20"/>
    </row>
    <row r="12176" spans="24:25">
      <c r="X12176" s="19"/>
      <c r="Y12176" s="20"/>
    </row>
    <row r="12177" spans="24:25">
      <c r="X12177" s="19"/>
      <c r="Y12177" s="20"/>
    </row>
    <row r="12178" spans="24:25">
      <c r="X12178" s="19"/>
      <c r="Y12178" s="20"/>
    </row>
    <row r="12179" spans="24:25">
      <c r="X12179" s="19"/>
      <c r="Y12179" s="20"/>
    </row>
    <row r="12180" spans="24:25">
      <c r="X12180" s="19"/>
      <c r="Y12180" s="20"/>
    </row>
    <row r="12181" spans="24:25">
      <c r="X12181" s="19"/>
      <c r="Y12181" s="20"/>
    </row>
    <row r="12182" spans="24:25">
      <c r="X12182" s="19"/>
      <c r="Y12182" s="20"/>
    </row>
    <row r="12183" spans="24:25">
      <c r="X12183" s="19"/>
      <c r="Y12183" s="20"/>
    </row>
    <row r="12184" spans="24:25">
      <c r="X12184" s="19"/>
      <c r="Y12184" s="20"/>
    </row>
    <row r="12185" spans="24:25">
      <c r="X12185" s="19"/>
      <c r="Y12185" s="20"/>
    </row>
    <row r="12186" spans="24:25">
      <c r="X12186" s="19"/>
      <c r="Y12186" s="20"/>
    </row>
    <row r="12187" spans="24:25">
      <c r="X12187" s="19"/>
      <c r="Y12187" s="20"/>
    </row>
    <row r="12188" spans="24:25">
      <c r="X12188" s="19"/>
      <c r="Y12188" s="20"/>
    </row>
    <row r="12189" spans="24:25">
      <c r="X12189" s="19"/>
      <c r="Y12189" s="20"/>
    </row>
    <row r="12190" spans="24:25">
      <c r="X12190" s="19"/>
      <c r="Y12190" s="20"/>
    </row>
    <row r="12191" spans="24:25">
      <c r="X12191" s="19"/>
      <c r="Y12191" s="20"/>
    </row>
    <row r="12192" spans="24:25">
      <c r="X12192" s="19"/>
      <c r="Y12192" s="20"/>
    </row>
    <row r="12193" spans="24:25">
      <c r="X12193" s="19"/>
      <c r="Y12193" s="20"/>
    </row>
    <row r="12194" spans="24:25">
      <c r="X12194" s="19"/>
      <c r="Y12194" s="20"/>
    </row>
    <row r="12195" spans="24:25">
      <c r="X12195" s="19"/>
      <c r="Y12195" s="20"/>
    </row>
    <row r="12196" spans="24:25">
      <c r="X12196" s="19"/>
      <c r="Y12196" s="20"/>
    </row>
    <row r="12197" spans="24:25">
      <c r="X12197" s="19"/>
      <c r="Y12197" s="20"/>
    </row>
    <row r="12198" spans="24:25">
      <c r="X12198" s="19"/>
      <c r="Y12198" s="20"/>
    </row>
    <row r="12199" spans="24:25">
      <c r="X12199" s="19"/>
      <c r="Y12199" s="20"/>
    </row>
    <row r="12200" spans="24:25">
      <c r="X12200" s="19"/>
      <c r="Y12200" s="20"/>
    </row>
    <row r="12201" spans="24:25">
      <c r="X12201" s="19"/>
      <c r="Y12201" s="20"/>
    </row>
    <row r="12202" spans="24:25">
      <c r="X12202" s="19"/>
      <c r="Y12202" s="20"/>
    </row>
    <row r="12203" spans="24:25">
      <c r="X12203" s="19"/>
      <c r="Y12203" s="20"/>
    </row>
    <row r="12204" spans="24:25">
      <c r="X12204" s="19"/>
      <c r="Y12204" s="20"/>
    </row>
    <row r="12205" spans="24:25">
      <c r="X12205" s="19"/>
      <c r="Y12205" s="20"/>
    </row>
    <row r="12206" spans="24:25">
      <c r="X12206" s="19"/>
      <c r="Y12206" s="20"/>
    </row>
    <row r="12207" spans="24:25">
      <c r="X12207" s="19"/>
      <c r="Y12207" s="20"/>
    </row>
    <row r="12208" spans="24:25">
      <c r="X12208" s="19"/>
      <c r="Y12208" s="20"/>
    </row>
    <row r="12209" spans="24:25">
      <c r="X12209" s="19"/>
      <c r="Y12209" s="20"/>
    </row>
    <row r="12210" spans="24:25">
      <c r="X12210" s="19"/>
      <c r="Y12210" s="20"/>
    </row>
    <row r="12211" spans="24:25">
      <c r="X12211" s="19"/>
      <c r="Y12211" s="20"/>
    </row>
    <row r="12212" spans="24:25">
      <c r="X12212" s="19"/>
      <c r="Y12212" s="20"/>
    </row>
    <row r="12213" spans="24:25">
      <c r="X12213" s="19"/>
      <c r="Y12213" s="20"/>
    </row>
    <row r="12214" spans="24:25">
      <c r="X12214" s="19"/>
      <c r="Y12214" s="20"/>
    </row>
    <row r="12215" spans="24:25">
      <c r="X12215" s="19"/>
      <c r="Y12215" s="20"/>
    </row>
    <row r="12216" spans="24:25">
      <c r="X12216" s="19"/>
      <c r="Y12216" s="20"/>
    </row>
    <row r="12217" spans="24:25">
      <c r="X12217" s="19"/>
      <c r="Y12217" s="20"/>
    </row>
    <row r="12218" spans="24:25">
      <c r="X12218" s="19"/>
      <c r="Y12218" s="20"/>
    </row>
    <row r="12219" spans="24:25">
      <c r="X12219" s="19"/>
      <c r="Y12219" s="20"/>
    </row>
    <row r="12220" spans="24:25">
      <c r="X12220" s="19"/>
      <c r="Y12220" s="20"/>
    </row>
    <row r="12221" spans="24:25">
      <c r="X12221" s="19"/>
      <c r="Y12221" s="20"/>
    </row>
    <row r="12222" spans="24:25">
      <c r="X12222" s="19"/>
      <c r="Y12222" s="20"/>
    </row>
    <row r="12223" spans="24:25">
      <c r="X12223" s="19"/>
      <c r="Y12223" s="20"/>
    </row>
    <row r="12224" spans="24:25">
      <c r="X12224" s="19"/>
      <c r="Y12224" s="20"/>
    </row>
    <row r="12225" spans="24:25">
      <c r="X12225" s="19"/>
      <c r="Y12225" s="20"/>
    </row>
    <row r="12226" spans="24:25">
      <c r="X12226" s="19"/>
      <c r="Y12226" s="20"/>
    </row>
    <row r="12227" spans="24:25">
      <c r="X12227" s="19"/>
      <c r="Y12227" s="20"/>
    </row>
    <row r="12228" spans="24:25">
      <c r="X12228" s="19"/>
      <c r="Y12228" s="20"/>
    </row>
    <row r="12229" spans="24:25">
      <c r="X12229" s="19"/>
      <c r="Y12229" s="20"/>
    </row>
    <row r="12230" spans="24:25">
      <c r="X12230" s="19"/>
      <c r="Y12230" s="20"/>
    </row>
    <row r="12231" spans="24:25">
      <c r="X12231" s="19"/>
      <c r="Y12231" s="20"/>
    </row>
    <row r="12232" spans="24:25">
      <c r="X12232" s="19"/>
      <c r="Y12232" s="20"/>
    </row>
    <row r="12233" spans="24:25">
      <c r="X12233" s="19"/>
      <c r="Y12233" s="20"/>
    </row>
    <row r="12234" spans="24:25">
      <c r="X12234" s="19"/>
      <c r="Y12234" s="20"/>
    </row>
    <row r="12235" spans="24:25">
      <c r="X12235" s="19"/>
      <c r="Y12235" s="20"/>
    </row>
    <row r="12236" spans="24:25">
      <c r="X12236" s="19"/>
      <c r="Y12236" s="20"/>
    </row>
    <row r="12237" spans="24:25">
      <c r="X12237" s="19"/>
      <c r="Y12237" s="20"/>
    </row>
    <row r="12238" spans="24:25">
      <c r="X12238" s="19"/>
      <c r="Y12238" s="20"/>
    </row>
    <row r="12239" spans="24:25">
      <c r="X12239" s="19"/>
      <c r="Y12239" s="20"/>
    </row>
    <row r="12240" spans="24:25">
      <c r="X12240" s="19"/>
      <c r="Y12240" s="20"/>
    </row>
    <row r="12241" spans="24:25">
      <c r="X12241" s="19"/>
      <c r="Y12241" s="20"/>
    </row>
    <row r="12242" spans="24:25">
      <c r="X12242" s="19"/>
      <c r="Y12242" s="20"/>
    </row>
    <row r="12243" spans="24:25">
      <c r="X12243" s="19"/>
      <c r="Y12243" s="20"/>
    </row>
    <row r="12244" spans="24:25">
      <c r="X12244" s="19"/>
      <c r="Y12244" s="20"/>
    </row>
    <row r="12245" spans="24:25">
      <c r="X12245" s="19"/>
      <c r="Y12245" s="20"/>
    </row>
    <row r="12246" spans="24:25">
      <c r="X12246" s="19"/>
      <c r="Y12246" s="20"/>
    </row>
    <row r="12247" spans="24:25">
      <c r="X12247" s="19"/>
      <c r="Y12247" s="20"/>
    </row>
    <row r="12248" spans="24:25">
      <c r="X12248" s="19"/>
      <c r="Y12248" s="20"/>
    </row>
    <row r="12249" spans="24:25">
      <c r="X12249" s="19"/>
      <c r="Y12249" s="20"/>
    </row>
    <row r="12250" spans="24:25">
      <c r="X12250" s="19"/>
      <c r="Y12250" s="20"/>
    </row>
    <row r="12251" spans="24:25">
      <c r="X12251" s="19"/>
      <c r="Y12251" s="20"/>
    </row>
    <row r="12252" spans="24:25">
      <c r="X12252" s="19"/>
      <c r="Y12252" s="20"/>
    </row>
    <row r="12253" spans="24:25">
      <c r="X12253" s="19"/>
      <c r="Y12253" s="20"/>
    </row>
    <row r="12254" spans="24:25">
      <c r="X12254" s="19"/>
      <c r="Y12254" s="20"/>
    </row>
    <row r="12255" spans="24:25">
      <c r="X12255" s="19"/>
      <c r="Y12255" s="20"/>
    </row>
    <row r="12256" spans="24:25">
      <c r="X12256" s="19"/>
      <c r="Y12256" s="20"/>
    </row>
    <row r="12257" spans="24:25">
      <c r="X12257" s="19"/>
      <c r="Y12257" s="20"/>
    </row>
    <row r="12258" spans="24:25">
      <c r="X12258" s="19"/>
      <c r="Y12258" s="20"/>
    </row>
    <row r="12259" spans="24:25">
      <c r="X12259" s="19"/>
      <c r="Y12259" s="20"/>
    </row>
    <row r="12260" spans="24:25">
      <c r="X12260" s="19"/>
      <c r="Y12260" s="20"/>
    </row>
    <row r="12261" spans="24:25">
      <c r="X12261" s="19"/>
      <c r="Y12261" s="20"/>
    </row>
    <row r="12262" spans="24:25">
      <c r="X12262" s="19"/>
      <c r="Y12262" s="20"/>
    </row>
    <row r="12263" spans="24:25">
      <c r="X12263" s="19"/>
      <c r="Y12263" s="20"/>
    </row>
    <row r="12264" spans="24:25">
      <c r="X12264" s="19"/>
      <c r="Y12264" s="20"/>
    </row>
    <row r="12265" spans="24:25">
      <c r="X12265" s="19"/>
      <c r="Y12265" s="20"/>
    </row>
    <row r="12266" spans="24:25">
      <c r="X12266" s="19"/>
      <c r="Y12266" s="20"/>
    </row>
    <row r="12267" spans="24:25">
      <c r="X12267" s="19"/>
      <c r="Y12267" s="20"/>
    </row>
    <row r="12268" spans="24:25">
      <c r="X12268" s="19"/>
      <c r="Y12268" s="20"/>
    </row>
    <row r="12269" spans="24:25">
      <c r="X12269" s="19"/>
      <c r="Y12269" s="20"/>
    </row>
    <row r="12270" spans="24:25">
      <c r="X12270" s="19"/>
      <c r="Y12270" s="20"/>
    </row>
    <row r="12271" spans="24:25">
      <c r="X12271" s="19"/>
      <c r="Y12271" s="20"/>
    </row>
    <row r="12272" spans="24:25">
      <c r="X12272" s="19"/>
      <c r="Y12272" s="20"/>
    </row>
    <row r="12273" spans="24:25">
      <c r="X12273" s="19"/>
      <c r="Y12273" s="20"/>
    </row>
    <row r="12274" spans="24:25">
      <c r="X12274" s="19"/>
      <c r="Y12274" s="20"/>
    </row>
    <row r="12275" spans="24:25">
      <c r="X12275" s="19"/>
      <c r="Y12275" s="20"/>
    </row>
    <row r="12276" spans="24:25">
      <c r="X12276" s="19"/>
      <c r="Y12276" s="20"/>
    </row>
    <row r="12277" spans="24:25">
      <c r="X12277" s="19"/>
      <c r="Y12277" s="20"/>
    </row>
    <row r="12278" spans="24:25">
      <c r="X12278" s="19"/>
      <c r="Y12278" s="20"/>
    </row>
    <row r="12279" spans="24:25">
      <c r="X12279" s="19"/>
      <c r="Y12279" s="20"/>
    </row>
    <row r="12280" spans="24:25">
      <c r="X12280" s="19"/>
      <c r="Y12280" s="20"/>
    </row>
    <row r="12281" spans="24:25">
      <c r="X12281" s="19"/>
      <c r="Y12281" s="20"/>
    </row>
    <row r="12282" spans="24:25">
      <c r="X12282" s="19"/>
      <c r="Y12282" s="20"/>
    </row>
    <row r="12283" spans="24:25">
      <c r="X12283" s="19"/>
      <c r="Y12283" s="20"/>
    </row>
    <row r="12284" spans="24:25">
      <c r="X12284" s="19"/>
      <c r="Y12284" s="20"/>
    </row>
    <row r="12285" spans="24:25">
      <c r="X12285" s="19"/>
      <c r="Y12285" s="20"/>
    </row>
    <row r="12286" spans="24:25">
      <c r="X12286" s="19"/>
      <c r="Y12286" s="20"/>
    </row>
    <row r="12287" spans="24:25">
      <c r="X12287" s="19"/>
      <c r="Y12287" s="20"/>
    </row>
    <row r="12288" spans="24:25">
      <c r="X12288" s="19"/>
      <c r="Y12288" s="20"/>
    </row>
    <row r="12289" spans="24:25">
      <c r="X12289" s="19"/>
      <c r="Y12289" s="20"/>
    </row>
    <row r="12290" spans="24:25">
      <c r="X12290" s="19"/>
      <c r="Y12290" s="20"/>
    </row>
    <row r="12291" spans="24:25">
      <c r="X12291" s="19"/>
      <c r="Y12291" s="20"/>
    </row>
    <row r="12292" spans="24:25">
      <c r="X12292" s="19"/>
      <c r="Y12292" s="20"/>
    </row>
    <row r="12293" spans="24:25">
      <c r="X12293" s="19"/>
      <c r="Y12293" s="20"/>
    </row>
    <row r="12294" spans="24:25">
      <c r="X12294" s="19"/>
      <c r="Y12294" s="20"/>
    </row>
    <row r="12295" spans="24:25">
      <c r="X12295" s="19"/>
      <c r="Y12295" s="20"/>
    </row>
    <row r="12296" spans="24:25">
      <c r="X12296" s="19"/>
      <c r="Y12296" s="20"/>
    </row>
    <row r="12297" spans="24:25">
      <c r="X12297" s="19"/>
      <c r="Y12297" s="20"/>
    </row>
    <row r="12298" spans="24:25">
      <c r="X12298" s="19"/>
      <c r="Y12298" s="20"/>
    </row>
    <row r="12299" spans="24:25">
      <c r="X12299" s="19"/>
      <c r="Y12299" s="20"/>
    </row>
    <row r="12300" spans="24:25">
      <c r="X12300" s="19"/>
      <c r="Y12300" s="20"/>
    </row>
    <row r="12301" spans="24:25">
      <c r="X12301" s="19"/>
      <c r="Y12301" s="20"/>
    </row>
    <row r="12302" spans="24:25">
      <c r="X12302" s="19"/>
      <c r="Y12302" s="20"/>
    </row>
    <row r="12303" spans="24:25">
      <c r="X12303" s="19"/>
      <c r="Y12303" s="20"/>
    </row>
    <row r="12304" spans="24:25">
      <c r="X12304" s="19"/>
      <c r="Y12304" s="20"/>
    </row>
    <row r="12305" spans="24:25">
      <c r="X12305" s="19"/>
      <c r="Y12305" s="20"/>
    </row>
    <row r="12306" spans="24:25">
      <c r="X12306" s="19"/>
      <c r="Y12306" s="20"/>
    </row>
    <row r="12307" spans="24:25">
      <c r="X12307" s="19"/>
      <c r="Y12307" s="20"/>
    </row>
    <row r="12308" spans="24:25">
      <c r="X12308" s="19"/>
      <c r="Y12308" s="20"/>
    </row>
    <row r="12309" spans="24:25">
      <c r="X12309" s="19"/>
      <c r="Y12309" s="20"/>
    </row>
    <row r="12310" spans="24:25">
      <c r="X12310" s="19"/>
      <c r="Y12310" s="20"/>
    </row>
    <row r="12311" spans="24:25">
      <c r="X12311" s="19"/>
      <c r="Y12311" s="20"/>
    </row>
    <row r="12312" spans="24:25">
      <c r="X12312" s="19"/>
      <c r="Y12312" s="20"/>
    </row>
    <row r="12313" spans="24:25">
      <c r="X12313" s="19"/>
      <c r="Y12313" s="20"/>
    </row>
    <row r="12314" spans="24:25">
      <c r="X12314" s="19"/>
      <c r="Y12314" s="20"/>
    </row>
    <row r="12315" spans="24:25">
      <c r="X12315" s="19"/>
      <c r="Y12315" s="20"/>
    </row>
    <row r="12316" spans="24:25">
      <c r="X12316" s="19"/>
      <c r="Y12316" s="20"/>
    </row>
    <row r="12317" spans="24:25">
      <c r="X12317" s="19"/>
      <c r="Y12317" s="20"/>
    </row>
    <row r="12318" spans="24:25">
      <c r="X12318" s="19"/>
      <c r="Y12318" s="20"/>
    </row>
    <row r="12319" spans="24:25">
      <c r="X12319" s="19"/>
      <c r="Y12319" s="20"/>
    </row>
    <row r="12320" spans="24:25">
      <c r="X12320" s="19"/>
      <c r="Y12320" s="20"/>
    </row>
    <row r="12321" spans="24:25">
      <c r="X12321" s="19"/>
      <c r="Y12321" s="20"/>
    </row>
    <row r="12322" spans="24:25">
      <c r="X12322" s="19"/>
      <c r="Y12322" s="20"/>
    </row>
    <row r="12323" spans="24:25">
      <c r="X12323" s="19"/>
      <c r="Y12323" s="20"/>
    </row>
    <row r="12324" spans="24:25">
      <c r="X12324" s="19"/>
      <c r="Y12324" s="20"/>
    </row>
    <row r="12325" spans="24:25">
      <c r="X12325" s="19"/>
      <c r="Y12325" s="20"/>
    </row>
    <row r="12326" spans="24:25">
      <c r="X12326" s="19"/>
      <c r="Y12326" s="20"/>
    </row>
    <row r="12327" spans="24:25">
      <c r="X12327" s="19"/>
      <c r="Y12327" s="20"/>
    </row>
    <row r="12328" spans="24:25">
      <c r="X12328" s="19"/>
      <c r="Y12328" s="20"/>
    </row>
    <row r="12329" spans="24:25">
      <c r="X12329" s="19"/>
      <c r="Y12329" s="20"/>
    </row>
    <row r="12330" spans="24:25">
      <c r="X12330" s="19"/>
      <c r="Y12330" s="20"/>
    </row>
    <row r="12331" spans="24:25">
      <c r="X12331" s="19"/>
      <c r="Y12331" s="20"/>
    </row>
    <row r="12332" spans="24:25">
      <c r="X12332" s="19"/>
      <c r="Y12332" s="20"/>
    </row>
    <row r="12333" spans="24:25">
      <c r="X12333" s="19"/>
      <c r="Y12333" s="20"/>
    </row>
    <row r="12334" spans="24:25">
      <c r="X12334" s="19"/>
      <c r="Y12334" s="20"/>
    </row>
    <row r="12335" spans="24:25">
      <c r="X12335" s="19"/>
      <c r="Y12335" s="20"/>
    </row>
    <row r="12336" spans="24:25">
      <c r="X12336" s="19"/>
      <c r="Y12336" s="20"/>
    </row>
    <row r="12337" spans="24:25">
      <c r="X12337" s="19"/>
      <c r="Y12337" s="20"/>
    </row>
    <row r="12338" spans="24:25">
      <c r="X12338" s="19"/>
      <c r="Y12338" s="20"/>
    </row>
    <row r="12339" spans="24:25">
      <c r="X12339" s="19"/>
      <c r="Y12339" s="20"/>
    </row>
    <row r="12340" spans="24:25">
      <c r="X12340" s="19"/>
      <c r="Y12340" s="20"/>
    </row>
    <row r="12341" spans="24:25">
      <c r="X12341" s="19"/>
      <c r="Y12341" s="20"/>
    </row>
    <row r="12342" spans="24:25">
      <c r="X12342" s="19"/>
      <c r="Y12342" s="20"/>
    </row>
    <row r="12343" spans="24:25">
      <c r="X12343" s="19"/>
      <c r="Y12343" s="20"/>
    </row>
    <row r="12344" spans="24:25">
      <c r="X12344" s="19"/>
      <c r="Y12344" s="20"/>
    </row>
    <row r="12345" spans="24:25">
      <c r="X12345" s="19"/>
      <c r="Y12345" s="20"/>
    </row>
    <row r="12346" spans="24:25">
      <c r="X12346" s="19"/>
      <c r="Y12346" s="20"/>
    </row>
    <row r="12347" spans="24:25">
      <c r="X12347" s="19"/>
      <c r="Y12347" s="20"/>
    </row>
    <row r="12348" spans="24:25">
      <c r="X12348" s="19"/>
      <c r="Y12348" s="20"/>
    </row>
    <row r="12349" spans="24:25">
      <c r="X12349" s="19"/>
      <c r="Y12349" s="20"/>
    </row>
    <row r="12350" spans="24:25">
      <c r="X12350" s="19"/>
      <c r="Y12350" s="20"/>
    </row>
    <row r="12351" spans="24:25">
      <c r="X12351" s="19"/>
      <c r="Y12351" s="20"/>
    </row>
    <row r="12352" spans="24:25">
      <c r="X12352" s="19"/>
      <c r="Y12352" s="20"/>
    </row>
    <row r="12353" spans="24:25">
      <c r="X12353" s="19"/>
      <c r="Y12353" s="20"/>
    </row>
    <row r="12354" spans="24:25">
      <c r="X12354" s="19"/>
      <c r="Y12354" s="20"/>
    </row>
    <row r="12355" spans="24:25">
      <c r="X12355" s="19"/>
      <c r="Y12355" s="20"/>
    </row>
    <row r="12356" spans="24:25">
      <c r="X12356" s="19"/>
      <c r="Y12356" s="20"/>
    </row>
    <row r="12357" spans="24:25">
      <c r="X12357" s="19"/>
      <c r="Y12357" s="20"/>
    </row>
    <row r="12358" spans="24:25">
      <c r="X12358" s="19"/>
      <c r="Y12358" s="20"/>
    </row>
    <row r="12359" spans="24:25">
      <c r="X12359" s="19"/>
      <c r="Y12359" s="20"/>
    </row>
    <row r="12360" spans="24:25">
      <c r="X12360" s="19"/>
      <c r="Y12360" s="20"/>
    </row>
    <row r="12361" spans="24:25">
      <c r="X12361" s="19"/>
      <c r="Y12361" s="20"/>
    </row>
    <row r="12362" spans="24:25">
      <c r="X12362" s="19"/>
      <c r="Y12362" s="20"/>
    </row>
    <row r="12363" spans="24:25">
      <c r="X12363" s="19"/>
      <c r="Y12363" s="20"/>
    </row>
    <row r="12364" spans="24:25">
      <c r="X12364" s="19"/>
      <c r="Y12364" s="20"/>
    </row>
    <row r="12365" spans="24:25">
      <c r="X12365" s="19"/>
      <c r="Y12365" s="20"/>
    </row>
    <row r="12366" spans="24:25">
      <c r="X12366" s="19"/>
      <c r="Y12366" s="20"/>
    </row>
    <row r="12367" spans="24:25">
      <c r="X12367" s="19"/>
      <c r="Y12367" s="20"/>
    </row>
    <row r="12368" spans="24:25">
      <c r="X12368" s="19"/>
      <c r="Y12368" s="20"/>
    </row>
    <row r="12369" spans="24:25">
      <c r="X12369" s="19"/>
      <c r="Y12369" s="20"/>
    </row>
    <row r="12370" spans="24:25">
      <c r="X12370" s="19"/>
      <c r="Y12370" s="20"/>
    </row>
    <row r="12371" spans="24:25">
      <c r="X12371" s="19"/>
      <c r="Y12371" s="20"/>
    </row>
    <row r="12372" spans="24:25">
      <c r="X12372" s="19"/>
      <c r="Y12372" s="20"/>
    </row>
    <row r="12373" spans="24:25">
      <c r="X12373" s="19"/>
      <c r="Y12373" s="20"/>
    </row>
    <row r="12374" spans="24:25">
      <c r="X12374" s="19"/>
      <c r="Y12374" s="20"/>
    </row>
    <row r="12375" spans="24:25">
      <c r="X12375" s="19"/>
      <c r="Y12375" s="20"/>
    </row>
    <row r="12376" spans="24:25">
      <c r="X12376" s="19"/>
      <c r="Y12376" s="20"/>
    </row>
    <row r="12377" spans="24:25">
      <c r="X12377" s="19"/>
      <c r="Y12377" s="20"/>
    </row>
    <row r="12378" spans="24:25">
      <c r="X12378" s="19"/>
      <c r="Y12378" s="20"/>
    </row>
    <row r="12379" spans="24:25">
      <c r="X12379" s="19"/>
      <c r="Y12379" s="20"/>
    </row>
    <row r="12380" spans="24:25">
      <c r="X12380" s="19"/>
      <c r="Y12380" s="20"/>
    </row>
    <row r="12381" spans="24:25">
      <c r="X12381" s="19"/>
      <c r="Y12381" s="20"/>
    </row>
    <row r="12382" spans="24:25">
      <c r="X12382" s="19"/>
      <c r="Y12382" s="20"/>
    </row>
    <row r="12383" spans="24:25">
      <c r="X12383" s="19"/>
      <c r="Y12383" s="20"/>
    </row>
    <row r="12384" spans="24:25">
      <c r="X12384" s="19"/>
      <c r="Y12384" s="20"/>
    </row>
    <row r="12385" spans="24:25">
      <c r="X12385" s="19"/>
      <c r="Y12385" s="20"/>
    </row>
    <row r="12386" spans="24:25">
      <c r="X12386" s="19"/>
      <c r="Y12386" s="20"/>
    </row>
    <row r="12387" spans="24:25">
      <c r="X12387" s="19"/>
      <c r="Y12387" s="20"/>
    </row>
    <row r="12388" spans="24:25">
      <c r="X12388" s="19"/>
      <c r="Y12388" s="20"/>
    </row>
    <row r="12389" spans="24:25">
      <c r="X12389" s="19"/>
      <c r="Y12389" s="20"/>
    </row>
    <row r="12390" spans="24:25">
      <c r="X12390" s="19"/>
      <c r="Y12390" s="20"/>
    </row>
    <row r="12391" spans="24:25">
      <c r="X12391" s="19"/>
      <c r="Y12391" s="20"/>
    </row>
    <row r="12392" spans="24:25">
      <c r="X12392" s="19"/>
      <c r="Y12392" s="20"/>
    </row>
    <row r="12393" spans="24:25">
      <c r="X12393" s="19"/>
      <c r="Y12393" s="20"/>
    </row>
    <row r="12394" spans="24:25">
      <c r="X12394" s="19"/>
      <c r="Y12394" s="20"/>
    </row>
    <row r="12395" spans="24:25">
      <c r="X12395" s="19"/>
      <c r="Y12395" s="20"/>
    </row>
    <row r="12396" spans="24:25">
      <c r="X12396" s="19"/>
      <c r="Y12396" s="20"/>
    </row>
    <row r="12397" spans="24:25">
      <c r="X12397" s="19"/>
      <c r="Y12397" s="20"/>
    </row>
    <row r="12398" spans="24:25">
      <c r="X12398" s="19"/>
      <c r="Y12398" s="20"/>
    </row>
    <row r="12399" spans="24:25">
      <c r="X12399" s="19"/>
      <c r="Y12399" s="20"/>
    </row>
    <row r="12400" spans="24:25">
      <c r="X12400" s="19"/>
      <c r="Y12400" s="20"/>
    </row>
    <row r="12401" spans="24:25">
      <c r="X12401" s="19"/>
      <c r="Y12401" s="20"/>
    </row>
    <row r="12402" spans="24:25">
      <c r="X12402" s="19"/>
      <c r="Y12402" s="20"/>
    </row>
    <row r="12403" spans="24:25">
      <c r="X12403" s="19"/>
      <c r="Y12403" s="20"/>
    </row>
    <row r="12404" spans="24:25">
      <c r="X12404" s="19"/>
      <c r="Y12404" s="20"/>
    </row>
    <row r="12405" spans="24:25">
      <c r="X12405" s="19"/>
      <c r="Y12405" s="20"/>
    </row>
    <row r="12406" spans="24:25">
      <c r="X12406" s="19"/>
      <c r="Y12406" s="20"/>
    </row>
    <row r="12407" spans="24:25">
      <c r="X12407" s="19"/>
      <c r="Y12407" s="20"/>
    </row>
    <row r="12408" spans="24:25">
      <c r="X12408" s="19"/>
      <c r="Y12408" s="20"/>
    </row>
    <row r="12409" spans="24:25">
      <c r="X12409" s="19"/>
      <c r="Y12409" s="20"/>
    </row>
    <row r="12410" spans="24:25">
      <c r="X12410" s="19"/>
      <c r="Y12410" s="20"/>
    </row>
    <row r="12411" spans="24:25">
      <c r="X12411" s="19"/>
      <c r="Y12411" s="20"/>
    </row>
    <row r="12412" spans="24:25">
      <c r="X12412" s="19"/>
      <c r="Y12412" s="20"/>
    </row>
    <row r="12413" spans="24:25">
      <c r="X12413" s="19"/>
      <c r="Y12413" s="20"/>
    </row>
    <row r="12414" spans="24:25">
      <c r="X12414" s="19"/>
      <c r="Y12414" s="20"/>
    </row>
    <row r="12415" spans="24:25">
      <c r="X12415" s="19"/>
      <c r="Y12415" s="20"/>
    </row>
    <row r="12416" spans="24:25">
      <c r="X12416" s="19"/>
      <c r="Y12416" s="20"/>
    </row>
    <row r="12417" spans="24:25">
      <c r="X12417" s="19"/>
      <c r="Y12417" s="20"/>
    </row>
    <row r="12418" spans="24:25">
      <c r="X12418" s="19"/>
      <c r="Y12418" s="20"/>
    </row>
    <row r="12419" spans="24:25">
      <c r="X12419" s="19"/>
      <c r="Y12419" s="20"/>
    </row>
    <row r="12420" spans="24:25">
      <c r="X12420" s="19"/>
      <c r="Y12420" s="20"/>
    </row>
    <row r="12421" spans="24:25">
      <c r="X12421" s="19"/>
      <c r="Y12421" s="20"/>
    </row>
    <row r="12422" spans="24:25">
      <c r="X12422" s="19"/>
      <c r="Y12422" s="20"/>
    </row>
    <row r="12423" spans="24:25">
      <c r="X12423" s="19"/>
      <c r="Y12423" s="20"/>
    </row>
    <row r="12424" spans="24:25">
      <c r="X12424" s="19"/>
      <c r="Y12424" s="20"/>
    </row>
    <row r="12425" spans="24:25">
      <c r="X12425" s="19"/>
      <c r="Y12425" s="20"/>
    </row>
    <row r="12426" spans="24:25">
      <c r="X12426" s="19"/>
      <c r="Y12426" s="20"/>
    </row>
    <row r="12427" spans="24:25">
      <c r="X12427" s="19"/>
      <c r="Y12427" s="20"/>
    </row>
    <row r="12428" spans="24:25">
      <c r="X12428" s="19"/>
      <c r="Y12428" s="20"/>
    </row>
    <row r="12429" spans="24:25">
      <c r="X12429" s="19"/>
      <c r="Y12429" s="20"/>
    </row>
    <row r="12430" spans="24:25">
      <c r="X12430" s="19"/>
      <c r="Y12430" s="20"/>
    </row>
    <row r="12431" spans="24:25">
      <c r="X12431" s="19"/>
      <c r="Y12431" s="20"/>
    </row>
    <row r="12432" spans="24:25">
      <c r="X12432" s="19"/>
      <c r="Y12432" s="20"/>
    </row>
    <row r="12433" spans="24:25">
      <c r="X12433" s="19"/>
      <c r="Y12433" s="20"/>
    </row>
    <row r="12434" spans="24:25">
      <c r="X12434" s="19"/>
      <c r="Y12434" s="20"/>
    </row>
    <row r="12435" spans="24:25">
      <c r="X12435" s="19"/>
      <c r="Y12435" s="20"/>
    </row>
    <row r="12436" spans="24:25">
      <c r="X12436" s="19"/>
      <c r="Y12436" s="20"/>
    </row>
    <row r="12437" spans="24:25">
      <c r="X12437" s="19"/>
      <c r="Y12437" s="20"/>
    </row>
    <row r="12438" spans="24:25">
      <c r="X12438" s="19"/>
      <c r="Y12438" s="20"/>
    </row>
    <row r="12439" spans="24:25">
      <c r="X12439" s="19"/>
      <c r="Y12439" s="20"/>
    </row>
    <row r="12440" spans="24:25">
      <c r="X12440" s="19"/>
      <c r="Y12440" s="20"/>
    </row>
    <row r="12441" spans="24:25">
      <c r="X12441" s="19"/>
      <c r="Y12441" s="20"/>
    </row>
    <row r="12442" spans="24:25">
      <c r="X12442" s="19"/>
      <c r="Y12442" s="20"/>
    </row>
    <row r="12443" spans="24:25">
      <c r="X12443" s="19"/>
      <c r="Y12443" s="20"/>
    </row>
    <row r="12444" spans="24:25">
      <c r="X12444" s="19"/>
      <c r="Y12444" s="20"/>
    </row>
    <row r="12445" spans="24:25">
      <c r="X12445" s="19"/>
      <c r="Y12445" s="20"/>
    </row>
    <row r="12446" spans="24:25">
      <c r="X12446" s="19"/>
      <c r="Y12446" s="20"/>
    </row>
    <row r="12447" spans="24:25">
      <c r="X12447" s="19"/>
      <c r="Y12447" s="20"/>
    </row>
    <row r="12448" spans="24:25">
      <c r="X12448" s="19"/>
      <c r="Y12448" s="20"/>
    </row>
    <row r="12449" spans="24:25">
      <c r="X12449" s="19"/>
      <c r="Y12449" s="20"/>
    </row>
    <row r="12450" spans="24:25">
      <c r="X12450" s="19"/>
      <c r="Y12450" s="20"/>
    </row>
    <row r="12451" spans="24:25">
      <c r="X12451" s="19"/>
      <c r="Y12451" s="20"/>
    </row>
    <row r="12452" spans="24:25">
      <c r="X12452" s="19"/>
      <c r="Y12452" s="20"/>
    </row>
    <row r="12453" spans="24:25">
      <c r="X12453" s="19"/>
      <c r="Y12453" s="20"/>
    </row>
    <row r="12454" spans="24:25">
      <c r="X12454" s="19"/>
      <c r="Y12454" s="20"/>
    </row>
    <row r="12455" spans="24:25">
      <c r="X12455" s="19"/>
      <c r="Y12455" s="20"/>
    </row>
    <row r="12456" spans="24:25">
      <c r="X12456" s="19"/>
      <c r="Y12456" s="20"/>
    </row>
    <row r="12457" spans="24:25">
      <c r="X12457" s="19"/>
      <c r="Y12457" s="20"/>
    </row>
    <row r="12458" spans="24:25">
      <c r="X12458" s="19"/>
      <c r="Y12458" s="20"/>
    </row>
    <row r="12459" spans="24:25">
      <c r="X12459" s="19"/>
      <c r="Y12459" s="20"/>
    </row>
    <row r="12460" spans="24:25">
      <c r="X12460" s="19"/>
      <c r="Y12460" s="20"/>
    </row>
    <row r="12461" spans="24:25">
      <c r="X12461" s="19"/>
      <c r="Y12461" s="20"/>
    </row>
    <row r="12462" spans="24:25">
      <c r="X12462" s="19"/>
      <c r="Y12462" s="20"/>
    </row>
    <row r="12463" spans="24:25">
      <c r="X12463" s="19"/>
      <c r="Y12463" s="20"/>
    </row>
    <row r="12464" spans="24:25">
      <c r="X12464" s="19"/>
      <c r="Y12464" s="20"/>
    </row>
    <row r="12465" spans="24:25">
      <c r="X12465" s="19"/>
      <c r="Y12465" s="20"/>
    </row>
    <row r="12466" spans="24:25">
      <c r="X12466" s="19"/>
      <c r="Y12466" s="20"/>
    </row>
    <row r="12467" spans="24:25">
      <c r="X12467" s="19"/>
      <c r="Y12467" s="20"/>
    </row>
    <row r="12468" spans="24:25">
      <c r="X12468" s="19"/>
      <c r="Y12468" s="20"/>
    </row>
    <row r="12469" spans="24:25">
      <c r="X12469" s="19"/>
      <c r="Y12469" s="20"/>
    </row>
    <row r="12470" spans="24:25">
      <c r="X12470" s="19"/>
      <c r="Y12470" s="20"/>
    </row>
    <row r="12471" spans="24:25">
      <c r="X12471" s="19"/>
      <c r="Y12471" s="20"/>
    </row>
    <row r="12472" spans="24:25">
      <c r="X12472" s="19"/>
      <c r="Y12472" s="20"/>
    </row>
    <row r="12473" spans="24:25">
      <c r="X12473" s="19"/>
      <c r="Y12473" s="20"/>
    </row>
    <row r="12474" spans="24:25">
      <c r="X12474" s="19"/>
      <c r="Y12474" s="20"/>
    </row>
    <row r="12475" spans="24:25">
      <c r="X12475" s="19"/>
      <c r="Y12475" s="20"/>
    </row>
    <row r="12476" spans="24:25">
      <c r="X12476" s="19"/>
      <c r="Y12476" s="20"/>
    </row>
    <row r="12477" spans="24:25">
      <c r="X12477" s="19"/>
      <c r="Y12477" s="20"/>
    </row>
    <row r="12478" spans="24:25">
      <c r="X12478" s="19"/>
      <c r="Y12478" s="20"/>
    </row>
    <row r="12479" spans="24:25">
      <c r="X12479" s="19"/>
      <c r="Y12479" s="20"/>
    </row>
    <row r="12480" spans="24:25">
      <c r="X12480" s="19"/>
      <c r="Y12480" s="20"/>
    </row>
    <row r="12481" spans="24:25">
      <c r="X12481" s="19"/>
      <c r="Y12481" s="20"/>
    </row>
    <row r="12482" spans="24:25">
      <c r="X12482" s="19"/>
      <c r="Y12482" s="20"/>
    </row>
    <row r="12483" spans="24:25">
      <c r="X12483" s="19"/>
      <c r="Y12483" s="20"/>
    </row>
    <row r="12484" spans="24:25">
      <c r="X12484" s="19"/>
      <c r="Y12484" s="20"/>
    </row>
    <row r="12485" spans="24:25">
      <c r="X12485" s="19"/>
      <c r="Y12485" s="20"/>
    </row>
    <row r="12486" spans="24:25">
      <c r="X12486" s="19"/>
      <c r="Y12486" s="20"/>
    </row>
    <row r="12487" spans="24:25">
      <c r="X12487" s="19"/>
      <c r="Y12487" s="20"/>
    </row>
    <row r="12488" spans="24:25">
      <c r="X12488" s="19"/>
      <c r="Y12488" s="20"/>
    </row>
    <row r="12489" spans="24:25">
      <c r="X12489" s="19"/>
      <c r="Y12489" s="20"/>
    </row>
    <row r="12490" spans="24:25">
      <c r="X12490" s="19"/>
      <c r="Y12490" s="20"/>
    </row>
    <row r="12491" spans="24:25">
      <c r="X12491" s="19"/>
      <c r="Y12491" s="20"/>
    </row>
    <row r="12492" spans="24:25">
      <c r="X12492" s="19"/>
      <c r="Y12492" s="20"/>
    </row>
    <row r="12493" spans="24:25">
      <c r="X12493" s="19"/>
      <c r="Y12493" s="20"/>
    </row>
    <row r="12494" spans="24:25">
      <c r="X12494" s="19"/>
      <c r="Y12494" s="20"/>
    </row>
    <row r="12495" spans="24:25">
      <c r="X12495" s="19"/>
      <c r="Y12495" s="20"/>
    </row>
    <row r="12496" spans="24:25">
      <c r="X12496" s="19"/>
      <c r="Y12496" s="20"/>
    </row>
    <row r="12497" spans="24:25">
      <c r="X12497" s="19"/>
      <c r="Y12497" s="20"/>
    </row>
    <row r="12498" spans="24:25">
      <c r="X12498" s="19"/>
      <c r="Y12498" s="20"/>
    </row>
    <row r="12499" spans="24:25">
      <c r="X12499" s="19"/>
      <c r="Y12499" s="20"/>
    </row>
    <row r="12500" spans="24:25">
      <c r="X12500" s="19"/>
      <c r="Y12500" s="20"/>
    </row>
    <row r="12501" spans="24:25">
      <c r="X12501" s="19"/>
      <c r="Y12501" s="20"/>
    </row>
    <row r="12502" spans="24:25">
      <c r="X12502" s="19"/>
      <c r="Y12502" s="20"/>
    </row>
    <row r="12503" spans="24:25">
      <c r="X12503" s="19"/>
      <c r="Y12503" s="20"/>
    </row>
    <row r="12504" spans="24:25">
      <c r="X12504" s="19"/>
      <c r="Y12504" s="20"/>
    </row>
    <row r="12505" spans="24:25">
      <c r="X12505" s="19"/>
      <c r="Y12505" s="20"/>
    </row>
    <row r="12506" spans="24:25">
      <c r="X12506" s="19"/>
      <c r="Y12506" s="20"/>
    </row>
    <row r="12507" spans="24:25">
      <c r="X12507" s="19"/>
      <c r="Y12507" s="20"/>
    </row>
    <row r="12508" spans="24:25">
      <c r="X12508" s="19"/>
      <c r="Y12508" s="20"/>
    </row>
    <row r="12509" spans="24:25">
      <c r="X12509" s="19"/>
      <c r="Y12509" s="20"/>
    </row>
    <row r="12510" spans="24:25">
      <c r="X12510" s="19"/>
      <c r="Y12510" s="20"/>
    </row>
    <row r="12511" spans="24:25">
      <c r="X12511" s="19"/>
      <c r="Y12511" s="20"/>
    </row>
    <row r="12512" spans="24:25">
      <c r="X12512" s="19"/>
      <c r="Y12512" s="20"/>
    </row>
    <row r="12513" spans="24:25">
      <c r="X12513" s="19"/>
      <c r="Y12513" s="20"/>
    </row>
    <row r="12514" spans="24:25">
      <c r="X12514" s="19"/>
      <c r="Y12514" s="20"/>
    </row>
    <row r="12515" spans="24:25">
      <c r="X12515" s="19"/>
      <c r="Y12515" s="20"/>
    </row>
    <row r="12516" spans="24:25">
      <c r="X12516" s="19"/>
      <c r="Y12516" s="20"/>
    </row>
    <row r="12517" spans="24:25">
      <c r="X12517" s="19"/>
      <c r="Y12517" s="20"/>
    </row>
    <row r="12518" spans="24:25">
      <c r="X12518" s="19"/>
      <c r="Y12518" s="20"/>
    </row>
    <row r="12519" spans="24:25">
      <c r="X12519" s="19"/>
      <c r="Y12519" s="20"/>
    </row>
    <row r="12520" spans="24:25">
      <c r="X12520" s="19"/>
      <c r="Y12520" s="20"/>
    </row>
    <row r="12521" spans="24:25">
      <c r="X12521" s="19"/>
      <c r="Y12521" s="20"/>
    </row>
    <row r="12522" spans="24:25">
      <c r="X12522" s="19"/>
      <c r="Y12522" s="20"/>
    </row>
    <row r="12523" spans="24:25">
      <c r="X12523" s="19"/>
      <c r="Y12523" s="20"/>
    </row>
    <row r="12524" spans="24:25">
      <c r="X12524" s="19"/>
      <c r="Y12524" s="20"/>
    </row>
    <row r="12525" spans="24:25">
      <c r="X12525" s="19"/>
      <c r="Y12525" s="20"/>
    </row>
    <row r="12526" spans="24:25">
      <c r="X12526" s="19"/>
      <c r="Y12526" s="20"/>
    </row>
    <row r="12527" spans="24:25">
      <c r="X12527" s="19"/>
      <c r="Y12527" s="20"/>
    </row>
    <row r="12528" spans="24:25">
      <c r="X12528" s="19"/>
      <c r="Y12528" s="20"/>
    </row>
    <row r="12529" spans="24:25">
      <c r="X12529" s="19"/>
      <c r="Y12529" s="20"/>
    </row>
    <row r="12530" spans="24:25">
      <c r="X12530" s="19"/>
      <c r="Y12530" s="20"/>
    </row>
    <row r="12531" spans="24:25">
      <c r="X12531" s="19"/>
      <c r="Y12531" s="20"/>
    </row>
    <row r="12532" spans="24:25">
      <c r="X12532" s="19"/>
      <c r="Y12532" s="20"/>
    </row>
    <row r="12533" spans="24:25">
      <c r="X12533" s="19"/>
      <c r="Y12533" s="20"/>
    </row>
    <row r="12534" spans="24:25">
      <c r="X12534" s="19"/>
      <c r="Y12534" s="20"/>
    </row>
    <row r="12535" spans="24:25">
      <c r="X12535" s="19"/>
      <c r="Y12535" s="20"/>
    </row>
    <row r="12536" spans="24:25">
      <c r="X12536" s="19"/>
      <c r="Y12536" s="20"/>
    </row>
    <row r="12537" spans="24:25">
      <c r="X12537" s="19"/>
      <c r="Y12537" s="20"/>
    </row>
    <row r="12538" spans="24:25">
      <c r="X12538" s="19"/>
      <c r="Y12538" s="20"/>
    </row>
    <row r="12539" spans="24:25">
      <c r="X12539" s="19"/>
      <c r="Y12539" s="20"/>
    </row>
    <row r="12540" spans="24:25">
      <c r="X12540" s="19"/>
      <c r="Y12540" s="20"/>
    </row>
    <row r="12541" spans="24:25">
      <c r="X12541" s="19"/>
      <c r="Y12541" s="20"/>
    </row>
    <row r="12542" spans="24:25">
      <c r="X12542" s="19"/>
      <c r="Y12542" s="20"/>
    </row>
    <row r="12543" spans="24:25">
      <c r="X12543" s="19"/>
      <c r="Y12543" s="20"/>
    </row>
    <row r="12544" spans="24:25">
      <c r="X12544" s="19"/>
      <c r="Y12544" s="20"/>
    </row>
    <row r="12545" spans="24:25">
      <c r="X12545" s="19"/>
      <c r="Y12545" s="20"/>
    </row>
    <row r="12546" spans="24:25">
      <c r="X12546" s="19"/>
      <c r="Y12546" s="20"/>
    </row>
    <row r="12547" spans="24:25">
      <c r="X12547" s="19"/>
      <c r="Y12547" s="20"/>
    </row>
    <row r="12548" spans="24:25">
      <c r="X12548" s="19"/>
      <c r="Y12548" s="20"/>
    </row>
    <row r="12549" spans="24:25">
      <c r="X12549" s="19"/>
      <c r="Y12549" s="20"/>
    </row>
    <row r="12550" spans="24:25">
      <c r="X12550" s="19"/>
      <c r="Y12550" s="20"/>
    </row>
    <row r="12551" spans="24:25">
      <c r="X12551" s="19"/>
      <c r="Y12551" s="20"/>
    </row>
    <row r="12552" spans="24:25">
      <c r="X12552" s="19"/>
      <c r="Y12552" s="20"/>
    </row>
    <row r="12553" spans="24:25">
      <c r="X12553" s="19"/>
      <c r="Y12553" s="20"/>
    </row>
    <row r="12554" spans="24:25">
      <c r="X12554" s="19"/>
      <c r="Y12554" s="20"/>
    </row>
    <row r="12555" spans="24:25">
      <c r="X12555" s="19"/>
      <c r="Y12555" s="20"/>
    </row>
    <row r="12556" spans="24:25">
      <c r="X12556" s="19"/>
      <c r="Y12556" s="20"/>
    </row>
    <row r="12557" spans="24:25">
      <c r="X12557" s="19"/>
      <c r="Y12557" s="20"/>
    </row>
    <row r="12558" spans="24:25">
      <c r="X12558" s="19"/>
      <c r="Y12558" s="20"/>
    </row>
    <row r="12559" spans="24:25">
      <c r="X12559" s="19"/>
      <c r="Y12559" s="20"/>
    </row>
    <row r="12560" spans="24:25">
      <c r="X12560" s="19"/>
      <c r="Y12560" s="20"/>
    </row>
    <row r="12561" spans="24:25">
      <c r="X12561" s="19"/>
      <c r="Y12561" s="20"/>
    </row>
    <row r="12562" spans="24:25">
      <c r="X12562" s="19"/>
      <c r="Y12562" s="20"/>
    </row>
    <row r="12563" spans="24:25">
      <c r="X12563" s="19"/>
      <c r="Y12563" s="20"/>
    </row>
    <row r="12564" spans="24:25">
      <c r="X12564" s="19"/>
      <c r="Y12564" s="20"/>
    </row>
    <row r="12565" spans="24:25">
      <c r="X12565" s="19"/>
      <c r="Y12565" s="20"/>
    </row>
    <row r="12566" spans="24:25">
      <c r="X12566" s="19"/>
      <c r="Y12566" s="20"/>
    </row>
    <row r="12567" spans="24:25">
      <c r="X12567" s="19"/>
      <c r="Y12567" s="20"/>
    </row>
    <row r="12568" spans="24:25">
      <c r="X12568" s="19"/>
      <c r="Y12568" s="20"/>
    </row>
    <row r="12569" spans="24:25">
      <c r="X12569" s="19"/>
      <c r="Y12569" s="20"/>
    </row>
    <row r="12570" spans="24:25">
      <c r="X12570" s="19"/>
      <c r="Y12570" s="20"/>
    </row>
    <row r="12571" spans="24:25">
      <c r="X12571" s="19"/>
      <c r="Y12571" s="20"/>
    </row>
    <row r="12572" spans="24:25">
      <c r="X12572" s="19"/>
      <c r="Y12572" s="20"/>
    </row>
    <row r="12573" spans="24:25">
      <c r="X12573" s="19"/>
      <c r="Y12573" s="20"/>
    </row>
    <row r="12574" spans="24:25">
      <c r="X12574" s="19"/>
      <c r="Y12574" s="20"/>
    </row>
    <row r="12575" spans="24:25">
      <c r="X12575" s="19"/>
      <c r="Y12575" s="20"/>
    </row>
    <row r="12576" spans="24:25">
      <c r="X12576" s="19"/>
      <c r="Y12576" s="20"/>
    </row>
    <row r="12577" spans="24:25">
      <c r="X12577" s="19"/>
      <c r="Y12577" s="20"/>
    </row>
    <row r="12578" spans="24:25">
      <c r="X12578" s="19"/>
      <c r="Y12578" s="20"/>
    </row>
    <row r="12579" spans="24:25">
      <c r="X12579" s="19"/>
      <c r="Y12579" s="20"/>
    </row>
    <row r="12580" spans="24:25">
      <c r="X12580" s="19"/>
      <c r="Y12580" s="20"/>
    </row>
    <row r="12581" spans="24:25">
      <c r="X12581" s="19"/>
      <c r="Y12581" s="20"/>
    </row>
    <row r="12582" spans="24:25">
      <c r="X12582" s="19"/>
      <c r="Y12582" s="20"/>
    </row>
    <row r="12583" spans="24:25">
      <c r="X12583" s="19"/>
      <c r="Y12583" s="20"/>
    </row>
    <row r="12584" spans="24:25">
      <c r="X12584" s="19"/>
      <c r="Y12584" s="20"/>
    </row>
    <row r="12585" spans="24:25">
      <c r="X12585" s="19"/>
      <c r="Y12585" s="20"/>
    </row>
    <row r="12586" spans="24:25">
      <c r="X12586" s="19"/>
      <c r="Y12586" s="20"/>
    </row>
    <row r="12587" spans="24:25">
      <c r="X12587" s="19"/>
      <c r="Y12587" s="20"/>
    </row>
    <row r="12588" spans="24:25">
      <c r="X12588" s="19"/>
      <c r="Y12588" s="20"/>
    </row>
    <row r="12589" spans="24:25">
      <c r="X12589" s="19"/>
      <c r="Y12589" s="20"/>
    </row>
    <row r="12590" spans="24:25">
      <c r="X12590" s="19"/>
      <c r="Y12590" s="20"/>
    </row>
    <row r="12591" spans="24:25">
      <c r="X12591" s="19"/>
      <c r="Y12591" s="20"/>
    </row>
    <row r="12592" spans="24:25">
      <c r="X12592" s="19"/>
      <c r="Y12592" s="20"/>
    </row>
    <row r="12593" spans="24:25">
      <c r="X12593" s="19"/>
      <c r="Y12593" s="20"/>
    </row>
    <row r="12594" spans="24:25">
      <c r="X12594" s="19"/>
      <c r="Y12594" s="20"/>
    </row>
    <row r="12595" spans="24:25">
      <c r="X12595" s="19"/>
      <c r="Y12595" s="20"/>
    </row>
    <row r="12596" spans="24:25">
      <c r="X12596" s="19"/>
      <c r="Y12596" s="20"/>
    </row>
    <row r="12597" spans="24:25">
      <c r="X12597" s="19"/>
      <c r="Y12597" s="20"/>
    </row>
    <row r="12598" spans="24:25">
      <c r="X12598" s="19"/>
      <c r="Y12598" s="20"/>
    </row>
    <row r="12599" spans="24:25">
      <c r="X12599" s="19"/>
      <c r="Y12599" s="20"/>
    </row>
    <row r="12600" spans="24:25">
      <c r="X12600" s="19"/>
      <c r="Y12600" s="20"/>
    </row>
    <row r="12601" spans="24:25">
      <c r="X12601" s="19"/>
      <c r="Y12601" s="20"/>
    </row>
    <row r="12602" spans="24:25">
      <c r="X12602" s="19"/>
      <c r="Y12602" s="20"/>
    </row>
    <row r="12603" spans="24:25">
      <c r="X12603" s="19"/>
      <c r="Y12603" s="20"/>
    </row>
    <row r="12604" spans="24:25">
      <c r="X12604" s="19"/>
      <c r="Y12604" s="20"/>
    </row>
    <row r="12605" spans="24:25">
      <c r="X12605" s="19"/>
      <c r="Y12605" s="20"/>
    </row>
    <row r="12606" spans="24:25">
      <c r="X12606" s="19"/>
      <c r="Y12606" s="20"/>
    </row>
    <row r="12607" spans="24:25">
      <c r="X12607" s="19"/>
      <c r="Y12607" s="20"/>
    </row>
    <row r="12608" spans="24:25">
      <c r="X12608" s="19"/>
      <c r="Y12608" s="20"/>
    </row>
    <row r="12609" spans="24:25">
      <c r="X12609" s="19"/>
      <c r="Y12609" s="20"/>
    </row>
    <row r="12610" spans="24:25">
      <c r="X12610" s="19"/>
      <c r="Y12610" s="20"/>
    </row>
    <row r="12611" spans="24:25">
      <c r="X12611" s="19"/>
      <c r="Y12611" s="20"/>
    </row>
    <row r="12612" spans="24:25">
      <c r="X12612" s="19"/>
      <c r="Y12612" s="20"/>
    </row>
    <row r="12613" spans="24:25">
      <c r="X12613" s="19"/>
      <c r="Y12613" s="20"/>
    </row>
    <row r="12614" spans="24:25">
      <c r="X12614" s="19"/>
      <c r="Y12614" s="20"/>
    </row>
    <row r="12615" spans="24:25">
      <c r="X12615" s="19"/>
      <c r="Y12615" s="20"/>
    </row>
    <row r="12616" spans="24:25">
      <c r="X12616" s="19"/>
      <c r="Y12616" s="20"/>
    </row>
    <row r="12617" spans="24:25">
      <c r="X12617" s="19"/>
      <c r="Y12617" s="20"/>
    </row>
    <row r="12618" spans="24:25">
      <c r="X12618" s="19"/>
      <c r="Y12618" s="20"/>
    </row>
    <row r="12619" spans="24:25">
      <c r="X12619" s="19"/>
      <c r="Y12619" s="20"/>
    </row>
    <row r="12620" spans="24:25">
      <c r="X12620" s="19"/>
      <c r="Y12620" s="20"/>
    </row>
    <row r="12621" spans="24:25">
      <c r="X12621" s="19"/>
      <c r="Y12621" s="20"/>
    </row>
    <row r="12622" spans="24:25">
      <c r="X12622" s="19"/>
      <c r="Y12622" s="20"/>
    </row>
    <row r="12623" spans="24:25">
      <c r="X12623" s="19"/>
      <c r="Y12623" s="20"/>
    </row>
    <row r="12624" spans="24:25">
      <c r="X12624" s="19"/>
      <c r="Y12624" s="20"/>
    </row>
    <row r="12625" spans="24:25">
      <c r="X12625" s="19"/>
      <c r="Y12625" s="20"/>
    </row>
    <row r="12626" spans="24:25">
      <c r="X12626" s="19"/>
      <c r="Y12626" s="20"/>
    </row>
    <row r="12627" spans="24:25">
      <c r="X12627" s="19"/>
      <c r="Y12627" s="20"/>
    </row>
    <row r="12628" spans="24:25">
      <c r="X12628" s="19"/>
      <c r="Y12628" s="20"/>
    </row>
    <row r="12629" spans="24:25">
      <c r="X12629" s="19"/>
      <c r="Y12629" s="20"/>
    </row>
    <row r="12630" spans="24:25">
      <c r="X12630" s="19"/>
      <c r="Y12630" s="20"/>
    </row>
    <row r="12631" spans="24:25">
      <c r="X12631" s="19"/>
      <c r="Y12631" s="20"/>
    </row>
    <row r="12632" spans="24:25">
      <c r="X12632" s="19"/>
      <c r="Y12632" s="20"/>
    </row>
    <row r="12633" spans="24:25">
      <c r="X12633" s="19"/>
      <c r="Y12633" s="20"/>
    </row>
    <row r="12634" spans="24:25">
      <c r="X12634" s="19"/>
      <c r="Y12634" s="20"/>
    </row>
    <row r="12635" spans="24:25">
      <c r="X12635" s="19"/>
      <c r="Y12635" s="20"/>
    </row>
    <row r="12636" spans="24:25">
      <c r="X12636" s="19"/>
      <c r="Y12636" s="20"/>
    </row>
    <row r="12637" spans="24:25">
      <c r="X12637" s="19"/>
      <c r="Y12637" s="20"/>
    </row>
    <row r="12638" spans="24:25">
      <c r="X12638" s="19"/>
      <c r="Y12638" s="20"/>
    </row>
    <row r="12639" spans="24:25">
      <c r="X12639" s="19"/>
      <c r="Y12639" s="20"/>
    </row>
    <row r="12640" spans="24:25">
      <c r="X12640" s="19"/>
      <c r="Y12640" s="20"/>
    </row>
    <row r="12641" spans="24:25">
      <c r="X12641" s="19"/>
      <c r="Y12641" s="20"/>
    </row>
    <row r="12642" spans="24:25">
      <c r="X12642" s="19"/>
      <c r="Y12642" s="20"/>
    </row>
    <row r="12643" spans="24:25">
      <c r="X12643" s="19"/>
      <c r="Y12643" s="20"/>
    </row>
    <row r="12644" spans="24:25">
      <c r="X12644" s="19"/>
      <c r="Y12644" s="20"/>
    </row>
    <row r="12645" spans="24:25">
      <c r="X12645" s="19"/>
      <c r="Y12645" s="20"/>
    </row>
    <row r="12646" spans="24:25">
      <c r="X12646" s="19"/>
      <c r="Y12646" s="20"/>
    </row>
    <row r="12647" spans="24:25">
      <c r="X12647" s="19"/>
      <c r="Y12647" s="20"/>
    </row>
    <row r="12648" spans="24:25">
      <c r="X12648" s="19"/>
      <c r="Y12648" s="20"/>
    </row>
    <row r="12649" spans="24:25">
      <c r="X12649" s="19"/>
      <c r="Y12649" s="20"/>
    </row>
    <row r="12650" spans="24:25">
      <c r="X12650" s="19"/>
      <c r="Y12650" s="20"/>
    </row>
    <row r="12651" spans="24:25">
      <c r="X12651" s="19"/>
      <c r="Y12651" s="20"/>
    </row>
    <row r="12652" spans="24:25">
      <c r="X12652" s="19"/>
      <c r="Y12652" s="20"/>
    </row>
    <row r="12653" spans="24:25">
      <c r="X12653" s="19"/>
      <c r="Y12653" s="20"/>
    </row>
    <row r="12654" spans="24:25">
      <c r="X12654" s="19"/>
      <c r="Y12654" s="20"/>
    </row>
    <row r="12655" spans="24:25">
      <c r="X12655" s="19"/>
      <c r="Y12655" s="20"/>
    </row>
    <row r="12656" spans="24:25">
      <c r="X12656" s="19"/>
      <c r="Y12656" s="20"/>
    </row>
    <row r="12657" spans="24:25">
      <c r="X12657" s="19"/>
      <c r="Y12657" s="20"/>
    </row>
    <row r="12658" spans="24:25">
      <c r="X12658" s="19"/>
      <c r="Y12658" s="20"/>
    </row>
    <row r="12659" spans="24:25">
      <c r="X12659" s="19"/>
      <c r="Y12659" s="20"/>
    </row>
    <row r="12660" spans="24:25">
      <c r="X12660" s="19"/>
      <c r="Y12660" s="20"/>
    </row>
    <row r="12661" spans="24:25">
      <c r="X12661" s="19"/>
      <c r="Y12661" s="20"/>
    </row>
    <row r="12662" spans="24:25">
      <c r="X12662" s="19"/>
      <c r="Y12662" s="20"/>
    </row>
    <row r="12663" spans="24:25">
      <c r="X12663" s="19"/>
      <c r="Y12663" s="20"/>
    </row>
    <row r="12664" spans="24:25">
      <c r="X12664" s="19"/>
      <c r="Y12664" s="20"/>
    </row>
    <row r="12665" spans="24:25">
      <c r="X12665" s="19"/>
      <c r="Y12665" s="20"/>
    </row>
    <row r="12666" spans="24:25">
      <c r="X12666" s="19"/>
      <c r="Y12666" s="20"/>
    </row>
    <row r="12667" spans="24:25">
      <c r="X12667" s="19"/>
      <c r="Y12667" s="20"/>
    </row>
    <row r="12668" spans="24:25">
      <c r="X12668" s="19"/>
      <c r="Y12668" s="20"/>
    </row>
    <row r="12669" spans="24:25">
      <c r="X12669" s="19"/>
      <c r="Y12669" s="20"/>
    </row>
    <row r="12670" spans="24:25">
      <c r="X12670" s="19"/>
      <c r="Y12670" s="20"/>
    </row>
    <row r="12671" spans="24:25">
      <c r="X12671" s="19"/>
      <c r="Y12671" s="20"/>
    </row>
    <row r="12672" spans="24:25">
      <c r="X12672" s="19"/>
      <c r="Y12672" s="20"/>
    </row>
    <row r="12673" spans="24:25">
      <c r="X12673" s="19"/>
      <c r="Y12673" s="20"/>
    </row>
    <row r="12674" spans="24:25">
      <c r="X12674" s="19"/>
      <c r="Y12674" s="20"/>
    </row>
    <row r="12675" spans="24:25">
      <c r="X12675" s="19"/>
      <c r="Y12675" s="20"/>
    </row>
    <row r="12676" spans="24:25">
      <c r="X12676" s="19"/>
      <c r="Y12676" s="20"/>
    </row>
    <row r="12677" spans="24:25">
      <c r="X12677" s="19"/>
      <c r="Y12677" s="20"/>
    </row>
    <row r="12678" spans="24:25">
      <c r="X12678" s="19"/>
      <c r="Y12678" s="20"/>
    </row>
    <row r="12679" spans="24:25">
      <c r="X12679" s="19"/>
      <c r="Y12679" s="20"/>
    </row>
    <row r="12680" spans="24:25">
      <c r="X12680" s="19"/>
      <c r="Y12680" s="20"/>
    </row>
    <row r="12681" spans="24:25">
      <c r="X12681" s="19"/>
      <c r="Y12681" s="20"/>
    </row>
    <row r="12682" spans="24:25">
      <c r="X12682" s="19"/>
      <c r="Y12682" s="20"/>
    </row>
    <row r="12683" spans="24:25">
      <c r="X12683" s="19"/>
      <c r="Y12683" s="20"/>
    </row>
    <row r="12684" spans="24:25">
      <c r="X12684" s="19"/>
      <c r="Y12684" s="20"/>
    </row>
    <row r="12685" spans="24:25">
      <c r="X12685" s="19"/>
      <c r="Y12685" s="20"/>
    </row>
    <row r="12686" spans="24:25">
      <c r="X12686" s="19"/>
      <c r="Y12686" s="20"/>
    </row>
    <row r="12687" spans="24:25">
      <c r="X12687" s="19"/>
      <c r="Y12687" s="20"/>
    </row>
    <row r="12688" spans="24:25">
      <c r="X12688" s="19"/>
      <c r="Y12688" s="20"/>
    </row>
    <row r="12689" spans="24:25">
      <c r="X12689" s="19"/>
      <c r="Y12689" s="20"/>
    </row>
    <row r="12690" spans="24:25">
      <c r="X12690" s="19"/>
      <c r="Y12690" s="20"/>
    </row>
    <row r="12691" spans="24:25">
      <c r="X12691" s="19"/>
      <c r="Y12691" s="20"/>
    </row>
    <row r="12692" spans="24:25">
      <c r="X12692" s="19"/>
      <c r="Y12692" s="20"/>
    </row>
    <row r="12693" spans="24:25">
      <c r="X12693" s="19"/>
      <c r="Y12693" s="20"/>
    </row>
    <row r="12694" spans="24:25">
      <c r="X12694" s="19"/>
      <c r="Y12694" s="20"/>
    </row>
    <row r="12695" spans="24:25">
      <c r="X12695" s="19"/>
      <c r="Y12695" s="20"/>
    </row>
    <row r="12696" spans="24:25">
      <c r="X12696" s="19"/>
      <c r="Y12696" s="20"/>
    </row>
    <row r="12697" spans="24:25">
      <c r="X12697" s="19"/>
      <c r="Y12697" s="20"/>
    </row>
    <row r="12698" spans="24:25">
      <c r="X12698" s="19"/>
      <c r="Y12698" s="20"/>
    </row>
    <row r="12699" spans="24:25">
      <c r="X12699" s="19"/>
      <c r="Y12699" s="20"/>
    </row>
    <row r="12700" spans="24:25">
      <c r="X12700" s="19"/>
      <c r="Y12700" s="20"/>
    </row>
    <row r="12701" spans="24:25">
      <c r="X12701" s="19"/>
      <c r="Y12701" s="20"/>
    </row>
    <row r="12702" spans="24:25">
      <c r="X12702" s="19"/>
      <c r="Y12702" s="20"/>
    </row>
    <row r="12703" spans="24:25">
      <c r="X12703" s="19"/>
      <c r="Y12703" s="20"/>
    </row>
    <row r="12704" spans="24:25">
      <c r="X12704" s="19"/>
      <c r="Y12704" s="20"/>
    </row>
    <row r="12705" spans="24:25">
      <c r="X12705" s="19"/>
      <c r="Y12705" s="20"/>
    </row>
    <row r="12706" spans="24:25">
      <c r="X12706" s="19"/>
      <c r="Y12706" s="20"/>
    </row>
    <row r="12707" spans="24:25">
      <c r="X12707" s="19"/>
      <c r="Y12707" s="20"/>
    </row>
    <row r="12708" spans="24:25">
      <c r="X12708" s="19"/>
      <c r="Y12708" s="20"/>
    </row>
    <row r="12709" spans="24:25">
      <c r="X12709" s="19"/>
      <c r="Y12709" s="20"/>
    </row>
    <row r="12710" spans="24:25">
      <c r="X12710" s="19"/>
      <c r="Y12710" s="20"/>
    </row>
    <row r="12711" spans="24:25">
      <c r="X12711" s="19"/>
      <c r="Y12711" s="20"/>
    </row>
    <row r="12712" spans="24:25">
      <c r="X12712" s="19"/>
      <c r="Y12712" s="20"/>
    </row>
    <row r="12713" spans="24:25">
      <c r="X12713" s="19"/>
      <c r="Y12713" s="20"/>
    </row>
    <row r="12714" spans="24:25">
      <c r="X12714" s="19"/>
      <c r="Y12714" s="20"/>
    </row>
    <row r="12715" spans="24:25">
      <c r="X12715" s="19"/>
      <c r="Y12715" s="20"/>
    </row>
    <row r="12716" spans="24:25">
      <c r="X12716" s="19"/>
      <c r="Y12716" s="20"/>
    </row>
    <row r="12717" spans="24:25">
      <c r="X12717" s="19"/>
      <c r="Y12717" s="20"/>
    </row>
    <row r="12718" spans="24:25">
      <c r="X12718" s="19"/>
      <c r="Y12718" s="20"/>
    </row>
    <row r="12719" spans="24:25">
      <c r="X12719" s="19"/>
      <c r="Y12719" s="20"/>
    </row>
    <row r="12720" spans="24:25">
      <c r="X12720" s="19"/>
      <c r="Y12720" s="20"/>
    </row>
    <row r="12721" spans="24:25">
      <c r="X12721" s="19"/>
      <c r="Y12721" s="20"/>
    </row>
    <row r="12722" spans="24:25">
      <c r="X12722" s="19"/>
      <c r="Y12722" s="20"/>
    </row>
    <row r="12723" spans="24:25">
      <c r="X12723" s="19"/>
      <c r="Y12723" s="20"/>
    </row>
    <row r="12724" spans="24:25">
      <c r="X12724" s="19"/>
      <c r="Y12724" s="20"/>
    </row>
    <row r="12725" spans="24:25">
      <c r="X12725" s="19"/>
      <c r="Y12725" s="20"/>
    </row>
    <row r="12726" spans="24:25">
      <c r="X12726" s="19"/>
      <c r="Y12726" s="20"/>
    </row>
    <row r="12727" spans="24:25">
      <c r="X12727" s="19"/>
      <c r="Y12727" s="20"/>
    </row>
    <row r="12728" spans="24:25">
      <c r="X12728" s="19"/>
      <c r="Y12728" s="20"/>
    </row>
    <row r="12729" spans="24:25">
      <c r="X12729" s="19"/>
      <c r="Y12729" s="20"/>
    </row>
    <row r="12730" spans="24:25">
      <c r="X12730" s="19"/>
      <c r="Y12730" s="20"/>
    </row>
    <row r="12731" spans="24:25">
      <c r="X12731" s="19"/>
      <c r="Y12731" s="20"/>
    </row>
    <row r="12732" spans="24:25">
      <c r="X12732" s="19"/>
      <c r="Y12732" s="20"/>
    </row>
    <row r="12733" spans="24:25">
      <c r="X12733" s="19"/>
      <c r="Y12733" s="20"/>
    </row>
    <row r="12734" spans="24:25">
      <c r="X12734" s="19"/>
      <c r="Y12734" s="20"/>
    </row>
    <row r="12735" spans="24:25">
      <c r="X12735" s="19"/>
      <c r="Y12735" s="20"/>
    </row>
    <row r="12736" spans="24:25">
      <c r="X12736" s="19"/>
      <c r="Y12736" s="20"/>
    </row>
    <row r="12737" spans="24:25">
      <c r="X12737" s="19"/>
      <c r="Y12737" s="20"/>
    </row>
    <row r="12738" spans="24:25">
      <c r="X12738" s="19"/>
      <c r="Y12738" s="20"/>
    </row>
    <row r="12739" spans="24:25">
      <c r="X12739" s="19"/>
      <c r="Y12739" s="20"/>
    </row>
    <row r="12740" spans="24:25">
      <c r="X12740" s="19"/>
      <c r="Y12740" s="20"/>
    </row>
    <row r="12741" spans="24:25">
      <c r="X12741" s="19"/>
      <c r="Y12741" s="20"/>
    </row>
    <row r="12742" spans="24:25">
      <c r="X12742" s="19"/>
      <c r="Y12742" s="20"/>
    </row>
    <row r="12743" spans="24:25">
      <c r="X12743" s="19"/>
      <c r="Y12743" s="20"/>
    </row>
    <row r="12744" spans="24:25">
      <c r="X12744" s="19"/>
      <c r="Y12744" s="20"/>
    </row>
    <row r="12745" spans="24:25">
      <c r="X12745" s="19"/>
      <c r="Y12745" s="20"/>
    </row>
    <row r="12746" spans="24:25">
      <c r="X12746" s="19"/>
      <c r="Y12746" s="20"/>
    </row>
    <row r="12747" spans="24:25">
      <c r="X12747" s="19"/>
      <c r="Y12747" s="20"/>
    </row>
    <row r="12748" spans="24:25">
      <c r="X12748" s="19"/>
      <c r="Y12748" s="20"/>
    </row>
    <row r="12749" spans="24:25">
      <c r="X12749" s="19"/>
      <c r="Y12749" s="20"/>
    </row>
    <row r="12750" spans="24:25">
      <c r="X12750" s="19"/>
      <c r="Y12750" s="20"/>
    </row>
    <row r="12751" spans="24:25">
      <c r="X12751" s="19"/>
      <c r="Y12751" s="20"/>
    </row>
    <row r="12752" spans="24:25">
      <c r="X12752" s="19"/>
      <c r="Y12752" s="20"/>
    </row>
    <row r="12753" spans="24:25">
      <c r="X12753" s="19"/>
      <c r="Y12753" s="20"/>
    </row>
    <row r="12754" spans="24:25">
      <c r="X12754" s="19"/>
      <c r="Y12754" s="20"/>
    </row>
    <row r="12755" spans="24:25">
      <c r="X12755" s="19"/>
      <c r="Y12755" s="20"/>
    </row>
    <row r="12756" spans="24:25">
      <c r="X12756" s="19"/>
      <c r="Y12756" s="20"/>
    </row>
    <row r="12757" spans="24:25">
      <c r="X12757" s="19"/>
      <c r="Y12757" s="20"/>
    </row>
    <row r="12758" spans="24:25">
      <c r="X12758" s="19"/>
      <c r="Y12758" s="20"/>
    </row>
    <row r="12759" spans="24:25">
      <c r="X12759" s="19"/>
      <c r="Y12759" s="20"/>
    </row>
    <row r="12760" spans="24:25">
      <c r="X12760" s="19"/>
      <c r="Y12760" s="20"/>
    </row>
    <row r="12761" spans="24:25">
      <c r="X12761" s="19"/>
      <c r="Y12761" s="20"/>
    </row>
    <row r="12762" spans="24:25">
      <c r="X12762" s="19"/>
      <c r="Y12762" s="20"/>
    </row>
    <row r="12763" spans="24:25">
      <c r="X12763" s="19"/>
      <c r="Y12763" s="20"/>
    </row>
    <row r="12764" spans="24:25">
      <c r="X12764" s="19"/>
      <c r="Y12764" s="20"/>
    </row>
    <row r="12765" spans="24:25">
      <c r="X12765" s="19"/>
      <c r="Y12765" s="20"/>
    </row>
    <row r="12766" spans="24:25">
      <c r="X12766" s="19"/>
      <c r="Y12766" s="20"/>
    </row>
    <row r="12767" spans="24:25">
      <c r="X12767" s="19"/>
      <c r="Y12767" s="20"/>
    </row>
    <row r="12768" spans="24:25">
      <c r="X12768" s="19"/>
      <c r="Y12768" s="20"/>
    </row>
    <row r="12769" spans="24:25">
      <c r="X12769" s="19"/>
      <c r="Y12769" s="20"/>
    </row>
    <row r="12770" spans="24:25">
      <c r="X12770" s="19"/>
      <c r="Y12770" s="20"/>
    </row>
    <row r="12771" spans="24:25">
      <c r="X12771" s="19"/>
      <c r="Y12771" s="20"/>
    </row>
    <row r="12772" spans="24:25">
      <c r="X12772" s="19"/>
      <c r="Y12772" s="20"/>
    </row>
    <row r="12773" spans="24:25">
      <c r="X12773" s="19"/>
      <c r="Y12773" s="20"/>
    </row>
    <row r="12774" spans="24:25">
      <c r="X12774" s="19"/>
      <c r="Y12774" s="20"/>
    </row>
    <row r="12775" spans="24:25">
      <c r="X12775" s="19"/>
      <c r="Y12775" s="20"/>
    </row>
    <row r="12776" spans="24:25">
      <c r="X12776" s="19"/>
      <c r="Y12776" s="20"/>
    </row>
    <row r="12777" spans="24:25">
      <c r="X12777" s="19"/>
      <c r="Y12777" s="20"/>
    </row>
    <row r="12778" spans="24:25">
      <c r="X12778" s="19"/>
      <c r="Y12778" s="20"/>
    </row>
    <row r="12779" spans="24:25">
      <c r="X12779" s="19"/>
      <c r="Y12779" s="20"/>
    </row>
    <row r="12780" spans="24:25">
      <c r="X12780" s="19"/>
      <c r="Y12780" s="20"/>
    </row>
    <row r="12781" spans="24:25">
      <c r="X12781" s="19"/>
      <c r="Y12781" s="20"/>
    </row>
    <row r="12782" spans="24:25">
      <c r="X12782" s="19"/>
      <c r="Y12782" s="20"/>
    </row>
    <row r="12783" spans="24:25">
      <c r="X12783" s="19"/>
      <c r="Y12783" s="20"/>
    </row>
    <row r="12784" spans="24:25">
      <c r="X12784" s="19"/>
      <c r="Y12784" s="20"/>
    </row>
    <row r="12785" spans="24:25">
      <c r="X12785" s="19"/>
      <c r="Y12785" s="20"/>
    </row>
    <row r="12786" spans="24:25">
      <c r="X12786" s="19"/>
      <c r="Y12786" s="20"/>
    </row>
    <row r="12787" spans="24:25">
      <c r="X12787" s="19"/>
      <c r="Y12787" s="20"/>
    </row>
    <row r="12788" spans="24:25">
      <c r="X12788" s="19"/>
      <c r="Y12788" s="20"/>
    </row>
    <row r="12789" spans="24:25">
      <c r="X12789" s="19"/>
      <c r="Y12789" s="20"/>
    </row>
    <row r="12790" spans="24:25">
      <c r="X12790" s="19"/>
      <c r="Y12790" s="20"/>
    </row>
    <row r="12791" spans="24:25">
      <c r="X12791" s="19"/>
      <c r="Y12791" s="20"/>
    </row>
    <row r="12792" spans="24:25">
      <c r="X12792" s="19"/>
      <c r="Y12792" s="20"/>
    </row>
    <row r="12793" spans="24:25">
      <c r="X12793" s="19"/>
      <c r="Y12793" s="20"/>
    </row>
    <row r="12794" spans="24:25">
      <c r="X12794" s="19"/>
      <c r="Y12794" s="20"/>
    </row>
    <row r="12795" spans="24:25">
      <c r="X12795" s="19"/>
      <c r="Y12795" s="20"/>
    </row>
    <row r="12796" spans="24:25">
      <c r="X12796" s="19"/>
      <c r="Y12796" s="20"/>
    </row>
    <row r="12797" spans="24:25">
      <c r="X12797" s="19"/>
      <c r="Y12797" s="20"/>
    </row>
    <row r="12798" spans="24:25">
      <c r="X12798" s="19"/>
      <c r="Y12798" s="20"/>
    </row>
    <row r="12799" spans="24:25">
      <c r="X12799" s="19"/>
      <c r="Y12799" s="20"/>
    </row>
    <row r="12800" spans="24:25">
      <c r="X12800" s="19"/>
      <c r="Y12800" s="20"/>
    </row>
    <row r="12801" spans="24:25">
      <c r="X12801" s="19"/>
      <c r="Y12801" s="20"/>
    </row>
    <row r="12802" spans="24:25">
      <c r="X12802" s="19"/>
      <c r="Y12802" s="20"/>
    </row>
    <row r="12803" spans="24:25">
      <c r="X12803" s="19"/>
      <c r="Y12803" s="20"/>
    </row>
    <row r="12804" spans="24:25">
      <c r="X12804" s="19"/>
      <c r="Y12804" s="20"/>
    </row>
    <row r="12805" spans="24:25">
      <c r="X12805" s="19"/>
      <c r="Y12805" s="20"/>
    </row>
    <row r="12806" spans="24:25">
      <c r="X12806" s="19"/>
      <c r="Y12806" s="20"/>
    </row>
    <row r="12807" spans="24:25">
      <c r="X12807" s="19"/>
      <c r="Y12807" s="20"/>
    </row>
    <row r="12808" spans="24:25">
      <c r="X12808" s="19"/>
      <c r="Y12808" s="20"/>
    </row>
    <row r="12809" spans="24:25">
      <c r="X12809" s="19"/>
      <c r="Y12809" s="20"/>
    </row>
    <row r="12810" spans="24:25">
      <c r="X12810" s="19"/>
      <c r="Y12810" s="20"/>
    </row>
    <row r="12811" spans="24:25">
      <c r="X12811" s="19"/>
      <c r="Y12811" s="20"/>
    </row>
    <row r="12812" spans="24:25">
      <c r="X12812" s="19"/>
      <c r="Y12812" s="20"/>
    </row>
    <row r="12813" spans="24:25">
      <c r="X12813" s="19"/>
      <c r="Y12813" s="20"/>
    </row>
    <row r="12814" spans="24:25">
      <c r="X12814" s="19"/>
      <c r="Y12814" s="20"/>
    </row>
    <row r="12815" spans="24:25">
      <c r="X12815" s="19"/>
      <c r="Y12815" s="20"/>
    </row>
    <row r="12816" spans="24:25">
      <c r="X12816" s="19"/>
      <c r="Y12816" s="20"/>
    </row>
    <row r="12817" spans="24:25">
      <c r="X12817" s="19"/>
      <c r="Y12817" s="20"/>
    </row>
    <row r="12818" spans="24:25">
      <c r="X12818" s="19"/>
      <c r="Y12818" s="20"/>
    </row>
    <row r="12819" spans="24:25">
      <c r="X12819" s="19"/>
      <c r="Y12819" s="20"/>
    </row>
    <row r="12820" spans="24:25">
      <c r="X12820" s="19"/>
      <c r="Y12820" s="20"/>
    </row>
    <row r="12821" spans="24:25">
      <c r="X12821" s="19"/>
      <c r="Y12821" s="20"/>
    </row>
    <row r="12822" spans="24:25">
      <c r="X12822" s="19"/>
      <c r="Y12822" s="20"/>
    </row>
    <row r="12823" spans="24:25">
      <c r="X12823" s="19"/>
      <c r="Y12823" s="20"/>
    </row>
    <row r="12824" spans="24:25">
      <c r="X12824" s="19"/>
      <c r="Y12824" s="20"/>
    </row>
    <row r="12825" spans="24:25">
      <c r="X12825" s="19"/>
      <c r="Y12825" s="20"/>
    </row>
    <row r="12826" spans="24:25">
      <c r="X12826" s="19"/>
      <c r="Y12826" s="20"/>
    </row>
    <row r="12827" spans="24:25">
      <c r="X12827" s="19"/>
      <c r="Y12827" s="20"/>
    </row>
    <row r="12828" spans="24:25">
      <c r="X12828" s="19"/>
      <c r="Y12828" s="20"/>
    </row>
    <row r="12829" spans="24:25">
      <c r="X12829" s="19"/>
      <c r="Y12829" s="20"/>
    </row>
    <row r="12830" spans="24:25">
      <c r="X12830" s="19"/>
      <c r="Y12830" s="20"/>
    </row>
    <row r="12831" spans="24:25">
      <c r="X12831" s="19"/>
      <c r="Y12831" s="20"/>
    </row>
    <row r="12832" spans="24:25">
      <c r="X12832" s="19"/>
      <c r="Y12832" s="20"/>
    </row>
    <row r="12833" spans="24:25">
      <c r="X12833" s="19"/>
      <c r="Y12833" s="20"/>
    </row>
    <row r="12834" spans="24:25">
      <c r="X12834" s="19"/>
      <c r="Y12834" s="20"/>
    </row>
    <row r="12835" spans="24:25">
      <c r="X12835" s="19"/>
      <c r="Y12835" s="20"/>
    </row>
    <row r="12836" spans="24:25">
      <c r="X12836" s="19"/>
      <c r="Y12836" s="20"/>
    </row>
    <row r="12837" spans="24:25">
      <c r="X12837" s="19"/>
      <c r="Y12837" s="20"/>
    </row>
    <row r="12838" spans="24:25">
      <c r="X12838" s="19"/>
      <c r="Y12838" s="20"/>
    </row>
    <row r="12839" spans="24:25">
      <c r="X12839" s="19"/>
      <c r="Y12839" s="20"/>
    </row>
    <row r="12840" spans="24:25">
      <c r="X12840" s="19"/>
      <c r="Y12840" s="20"/>
    </row>
    <row r="12841" spans="24:25">
      <c r="X12841" s="19"/>
      <c r="Y12841" s="20"/>
    </row>
    <row r="12842" spans="24:25">
      <c r="X12842" s="19"/>
      <c r="Y12842" s="20"/>
    </row>
    <row r="12843" spans="24:25">
      <c r="X12843" s="19"/>
      <c r="Y12843" s="20"/>
    </row>
    <row r="12844" spans="24:25">
      <c r="X12844" s="19"/>
      <c r="Y12844" s="20"/>
    </row>
    <row r="12845" spans="24:25">
      <c r="X12845" s="19"/>
      <c r="Y12845" s="20"/>
    </row>
    <row r="12846" spans="24:25">
      <c r="X12846" s="19"/>
      <c r="Y12846" s="20"/>
    </row>
    <row r="12847" spans="24:25">
      <c r="X12847" s="19"/>
      <c r="Y12847" s="20"/>
    </row>
    <row r="12848" spans="24:25">
      <c r="X12848" s="19"/>
      <c r="Y12848" s="20"/>
    </row>
    <row r="12849" spans="24:25">
      <c r="X12849" s="19"/>
      <c r="Y12849" s="20"/>
    </row>
    <row r="12850" spans="24:25">
      <c r="X12850" s="19"/>
      <c r="Y12850" s="20"/>
    </row>
    <row r="12851" spans="24:25">
      <c r="X12851" s="19"/>
      <c r="Y12851" s="20"/>
    </row>
    <row r="12852" spans="24:25">
      <c r="X12852" s="19"/>
      <c r="Y12852" s="20"/>
    </row>
    <row r="12853" spans="24:25">
      <c r="X12853" s="19"/>
      <c r="Y12853" s="20"/>
    </row>
    <row r="12854" spans="24:25">
      <c r="X12854" s="19"/>
      <c r="Y12854" s="20"/>
    </row>
    <row r="12855" spans="24:25">
      <c r="X12855" s="19"/>
      <c r="Y12855" s="20"/>
    </row>
    <row r="12856" spans="24:25">
      <c r="X12856" s="19"/>
      <c r="Y12856" s="20"/>
    </row>
    <row r="12857" spans="24:25">
      <c r="X12857" s="19"/>
      <c r="Y12857" s="20"/>
    </row>
    <row r="12858" spans="24:25">
      <c r="X12858" s="19"/>
      <c r="Y12858" s="20"/>
    </row>
    <row r="12859" spans="24:25">
      <c r="X12859" s="19"/>
      <c r="Y12859" s="20"/>
    </row>
    <row r="12860" spans="24:25">
      <c r="X12860" s="19"/>
      <c r="Y12860" s="20"/>
    </row>
    <row r="12861" spans="24:25">
      <c r="X12861" s="19"/>
      <c r="Y12861" s="20"/>
    </row>
    <row r="12862" spans="24:25">
      <c r="X12862" s="19"/>
      <c r="Y12862" s="20"/>
    </row>
    <row r="12863" spans="24:25">
      <c r="X12863" s="19"/>
      <c r="Y12863" s="20"/>
    </row>
    <row r="12864" spans="24:25">
      <c r="X12864" s="19"/>
      <c r="Y12864" s="20"/>
    </row>
    <row r="12865" spans="24:25">
      <c r="X12865" s="19"/>
      <c r="Y12865" s="20"/>
    </row>
    <row r="12866" spans="24:25">
      <c r="X12866" s="19"/>
      <c r="Y12866" s="20"/>
    </row>
    <row r="12867" spans="24:25">
      <c r="X12867" s="19"/>
      <c r="Y12867" s="20"/>
    </row>
    <row r="12868" spans="24:25">
      <c r="X12868" s="19"/>
      <c r="Y12868" s="20"/>
    </row>
    <row r="12869" spans="24:25">
      <c r="X12869" s="19"/>
      <c r="Y12869" s="20"/>
    </row>
    <row r="12870" spans="24:25">
      <c r="X12870" s="19"/>
      <c r="Y12870" s="20"/>
    </row>
    <row r="12871" spans="24:25">
      <c r="X12871" s="19"/>
      <c r="Y12871" s="20"/>
    </row>
    <row r="12872" spans="24:25">
      <c r="X12872" s="19"/>
      <c r="Y12872" s="20"/>
    </row>
    <row r="12873" spans="24:25">
      <c r="X12873" s="19"/>
      <c r="Y12873" s="20"/>
    </row>
    <row r="12874" spans="24:25">
      <c r="X12874" s="19"/>
      <c r="Y12874" s="20"/>
    </row>
    <row r="12875" spans="24:25">
      <c r="X12875" s="19"/>
      <c r="Y12875" s="20"/>
    </row>
    <row r="12876" spans="24:25">
      <c r="X12876" s="19"/>
      <c r="Y12876" s="20"/>
    </row>
    <row r="12877" spans="24:25">
      <c r="X12877" s="19"/>
      <c r="Y12877" s="20"/>
    </row>
    <row r="12878" spans="24:25">
      <c r="X12878" s="19"/>
      <c r="Y12878" s="20"/>
    </row>
    <row r="12879" spans="24:25">
      <c r="X12879" s="19"/>
      <c r="Y12879" s="20"/>
    </row>
    <row r="12880" spans="24:25">
      <c r="X12880" s="19"/>
      <c r="Y12880" s="20"/>
    </row>
    <row r="12881" spans="24:25">
      <c r="X12881" s="19"/>
      <c r="Y12881" s="20"/>
    </row>
    <row r="12882" spans="24:25">
      <c r="X12882" s="19"/>
      <c r="Y12882" s="20"/>
    </row>
    <row r="12883" spans="24:25">
      <c r="X12883" s="19"/>
      <c r="Y12883" s="20"/>
    </row>
    <row r="12884" spans="24:25">
      <c r="X12884" s="19"/>
      <c r="Y12884" s="20"/>
    </row>
    <row r="12885" spans="24:25">
      <c r="X12885" s="19"/>
      <c r="Y12885" s="20"/>
    </row>
    <row r="12886" spans="24:25">
      <c r="X12886" s="19"/>
      <c r="Y12886" s="20"/>
    </row>
    <row r="12887" spans="24:25">
      <c r="X12887" s="19"/>
      <c r="Y12887" s="20"/>
    </row>
    <row r="12888" spans="24:25">
      <c r="X12888" s="19"/>
      <c r="Y12888" s="20"/>
    </row>
    <row r="12889" spans="24:25">
      <c r="X12889" s="19"/>
      <c r="Y12889" s="20"/>
    </row>
    <row r="12890" spans="24:25">
      <c r="X12890" s="19"/>
      <c r="Y12890" s="20"/>
    </row>
    <row r="12891" spans="24:25">
      <c r="X12891" s="19"/>
      <c r="Y12891" s="20"/>
    </row>
    <row r="12892" spans="24:25">
      <c r="X12892" s="19"/>
      <c r="Y12892" s="20"/>
    </row>
    <row r="12893" spans="24:25">
      <c r="X12893" s="19"/>
      <c r="Y12893" s="20"/>
    </row>
    <row r="12894" spans="24:25">
      <c r="X12894" s="19"/>
      <c r="Y12894" s="20"/>
    </row>
    <row r="12895" spans="24:25">
      <c r="X12895" s="19"/>
      <c r="Y12895" s="20"/>
    </row>
    <row r="12896" spans="24:25">
      <c r="X12896" s="19"/>
      <c r="Y12896" s="20"/>
    </row>
    <row r="12897" spans="24:25">
      <c r="X12897" s="19"/>
      <c r="Y12897" s="20"/>
    </row>
    <row r="12898" spans="24:25">
      <c r="X12898" s="19"/>
      <c r="Y12898" s="20"/>
    </row>
    <row r="12899" spans="24:25">
      <c r="X12899" s="19"/>
      <c r="Y12899" s="20"/>
    </row>
    <row r="12900" spans="24:25">
      <c r="X12900" s="19"/>
      <c r="Y12900" s="20"/>
    </row>
    <row r="12901" spans="24:25">
      <c r="X12901" s="19"/>
      <c r="Y12901" s="20"/>
    </row>
    <row r="12902" spans="24:25">
      <c r="X12902" s="19"/>
      <c r="Y12902" s="20"/>
    </row>
    <row r="12903" spans="24:25">
      <c r="X12903" s="19"/>
      <c r="Y12903" s="20"/>
    </row>
    <row r="12904" spans="24:25">
      <c r="X12904" s="19"/>
      <c r="Y12904" s="20"/>
    </row>
    <row r="12905" spans="24:25">
      <c r="X12905" s="19"/>
      <c r="Y12905" s="20"/>
    </row>
    <row r="12906" spans="24:25">
      <c r="X12906" s="19"/>
      <c r="Y12906" s="20"/>
    </row>
    <row r="12907" spans="24:25">
      <c r="X12907" s="19"/>
      <c r="Y12907" s="20"/>
    </row>
    <row r="12908" spans="24:25">
      <c r="X12908" s="19"/>
      <c r="Y12908" s="20"/>
    </row>
    <row r="12909" spans="24:25">
      <c r="X12909" s="19"/>
      <c r="Y12909" s="20"/>
    </row>
    <row r="12910" spans="24:25">
      <c r="X12910" s="19"/>
      <c r="Y12910" s="20"/>
    </row>
    <row r="12911" spans="24:25">
      <c r="X12911" s="19"/>
      <c r="Y12911" s="20"/>
    </row>
    <row r="12912" spans="24:25">
      <c r="X12912" s="19"/>
      <c r="Y12912" s="20"/>
    </row>
    <row r="12913" spans="24:25">
      <c r="X12913" s="19"/>
      <c r="Y12913" s="20"/>
    </row>
    <row r="12914" spans="24:25">
      <c r="X12914" s="19"/>
      <c r="Y12914" s="20"/>
    </row>
    <row r="12915" spans="24:25">
      <c r="X12915" s="19"/>
      <c r="Y12915" s="20"/>
    </row>
    <row r="12916" spans="24:25">
      <c r="X12916" s="19"/>
      <c r="Y12916" s="20"/>
    </row>
    <row r="12917" spans="24:25">
      <c r="X12917" s="19"/>
      <c r="Y12917" s="20"/>
    </row>
    <row r="12918" spans="24:25">
      <c r="X12918" s="19"/>
      <c r="Y12918" s="20"/>
    </row>
    <row r="12919" spans="24:25">
      <c r="X12919" s="19"/>
      <c r="Y12919" s="20"/>
    </row>
    <row r="12920" spans="24:25">
      <c r="X12920" s="19"/>
      <c r="Y12920" s="20"/>
    </row>
    <row r="12921" spans="24:25">
      <c r="X12921" s="19"/>
      <c r="Y12921" s="20"/>
    </row>
    <row r="12922" spans="24:25">
      <c r="X12922" s="19"/>
      <c r="Y12922" s="20"/>
    </row>
    <row r="12923" spans="24:25">
      <c r="X12923" s="19"/>
      <c r="Y12923" s="20"/>
    </row>
    <row r="12924" spans="24:25">
      <c r="X12924" s="19"/>
      <c r="Y12924" s="20"/>
    </row>
    <row r="12925" spans="24:25">
      <c r="X12925" s="19"/>
      <c r="Y12925" s="20"/>
    </row>
    <row r="12926" spans="24:25">
      <c r="X12926" s="19"/>
      <c r="Y12926" s="20"/>
    </row>
    <row r="12927" spans="24:25">
      <c r="X12927" s="19"/>
      <c r="Y12927" s="20"/>
    </row>
    <row r="12928" spans="24:25">
      <c r="X12928" s="19"/>
      <c r="Y12928" s="20"/>
    </row>
    <row r="12929" spans="24:25">
      <c r="X12929" s="19"/>
      <c r="Y12929" s="20"/>
    </row>
    <row r="12930" spans="24:25">
      <c r="X12930" s="19"/>
      <c r="Y12930" s="20"/>
    </row>
    <row r="12931" spans="24:25">
      <c r="X12931" s="19"/>
      <c r="Y12931" s="20"/>
    </row>
    <row r="12932" spans="24:25">
      <c r="X12932" s="19"/>
      <c r="Y12932" s="20"/>
    </row>
    <row r="12933" spans="24:25">
      <c r="X12933" s="19"/>
      <c r="Y12933" s="20"/>
    </row>
    <row r="12934" spans="24:25">
      <c r="X12934" s="19"/>
      <c r="Y12934" s="20"/>
    </row>
    <row r="12935" spans="24:25">
      <c r="X12935" s="19"/>
      <c r="Y12935" s="20"/>
    </row>
    <row r="12936" spans="24:25">
      <c r="X12936" s="19"/>
      <c r="Y12936" s="20"/>
    </row>
    <row r="12937" spans="24:25">
      <c r="X12937" s="19"/>
      <c r="Y12937" s="20"/>
    </row>
    <row r="12938" spans="24:25">
      <c r="X12938" s="19"/>
      <c r="Y12938" s="20"/>
    </row>
    <row r="12939" spans="24:25">
      <c r="X12939" s="19"/>
      <c r="Y12939" s="20"/>
    </row>
    <row r="12940" spans="24:25">
      <c r="X12940" s="19"/>
      <c r="Y12940" s="20"/>
    </row>
    <row r="12941" spans="24:25">
      <c r="X12941" s="19"/>
      <c r="Y12941" s="20"/>
    </row>
    <row r="12942" spans="24:25">
      <c r="X12942" s="19"/>
      <c r="Y12942" s="20"/>
    </row>
    <row r="12943" spans="24:25">
      <c r="X12943" s="19"/>
      <c r="Y12943" s="20"/>
    </row>
    <row r="12944" spans="24:25">
      <c r="X12944" s="19"/>
      <c r="Y12944" s="20"/>
    </row>
    <row r="12945" spans="24:25">
      <c r="X12945" s="19"/>
      <c r="Y12945" s="20"/>
    </row>
    <row r="12946" spans="24:25">
      <c r="X12946" s="19"/>
      <c r="Y12946" s="20"/>
    </row>
    <row r="12947" spans="24:25">
      <c r="X12947" s="19"/>
      <c r="Y12947" s="20"/>
    </row>
    <row r="12948" spans="24:25">
      <c r="X12948" s="19"/>
      <c r="Y12948" s="20"/>
    </row>
    <row r="12949" spans="24:25">
      <c r="X12949" s="19"/>
      <c r="Y12949" s="20"/>
    </row>
    <row r="12950" spans="24:25">
      <c r="X12950" s="19"/>
      <c r="Y12950" s="20"/>
    </row>
    <row r="12951" spans="24:25">
      <c r="X12951" s="19"/>
      <c r="Y12951" s="20"/>
    </row>
    <row r="12952" spans="24:25">
      <c r="X12952" s="19"/>
      <c r="Y12952" s="20"/>
    </row>
    <row r="12953" spans="24:25">
      <c r="X12953" s="19"/>
      <c r="Y12953" s="20"/>
    </row>
    <row r="12954" spans="24:25">
      <c r="X12954" s="19"/>
      <c r="Y12954" s="20"/>
    </row>
    <row r="12955" spans="24:25">
      <c r="X12955" s="19"/>
      <c r="Y12955" s="20"/>
    </row>
    <row r="12956" spans="24:25">
      <c r="X12956" s="19"/>
      <c r="Y12956" s="20"/>
    </row>
    <row r="12957" spans="24:25">
      <c r="X12957" s="19"/>
      <c r="Y12957" s="20"/>
    </row>
    <row r="12958" spans="24:25">
      <c r="X12958" s="19"/>
      <c r="Y12958" s="20"/>
    </row>
    <row r="12959" spans="24:25">
      <c r="X12959" s="19"/>
      <c r="Y12959" s="20"/>
    </row>
    <row r="12960" spans="24:25">
      <c r="X12960" s="19"/>
      <c r="Y12960" s="20"/>
    </row>
    <row r="12961" spans="24:25">
      <c r="X12961" s="19"/>
      <c r="Y12961" s="20"/>
    </row>
    <row r="12962" spans="24:25">
      <c r="X12962" s="19"/>
      <c r="Y12962" s="20"/>
    </row>
    <row r="12963" spans="24:25">
      <c r="X12963" s="19"/>
      <c r="Y12963" s="20"/>
    </row>
    <row r="12964" spans="24:25">
      <c r="X12964" s="19"/>
      <c r="Y12964" s="20"/>
    </row>
    <row r="12965" spans="24:25">
      <c r="X12965" s="19"/>
      <c r="Y12965" s="20"/>
    </row>
    <row r="12966" spans="24:25">
      <c r="X12966" s="19"/>
      <c r="Y12966" s="20"/>
    </row>
    <row r="12967" spans="24:25">
      <c r="X12967" s="19"/>
      <c r="Y12967" s="20"/>
    </row>
    <row r="12968" spans="24:25">
      <c r="X12968" s="19"/>
      <c r="Y12968" s="20"/>
    </row>
    <row r="12969" spans="24:25">
      <c r="X12969" s="19"/>
      <c r="Y12969" s="20"/>
    </row>
    <row r="12970" spans="24:25">
      <c r="X12970" s="19"/>
      <c r="Y12970" s="20"/>
    </row>
    <row r="12971" spans="24:25">
      <c r="X12971" s="19"/>
      <c r="Y12971" s="20"/>
    </row>
    <row r="12972" spans="24:25">
      <c r="X12972" s="19"/>
      <c r="Y12972" s="20"/>
    </row>
    <row r="12973" spans="24:25">
      <c r="X12973" s="19"/>
      <c r="Y12973" s="20"/>
    </row>
    <row r="12974" spans="24:25">
      <c r="X12974" s="19"/>
      <c r="Y12974" s="20"/>
    </row>
    <row r="12975" spans="24:25">
      <c r="X12975" s="19"/>
      <c r="Y12975" s="20"/>
    </row>
    <row r="12976" spans="24:25">
      <c r="X12976" s="19"/>
      <c r="Y12976" s="20"/>
    </row>
    <row r="12977" spans="24:25">
      <c r="X12977" s="19"/>
      <c r="Y12977" s="20"/>
    </row>
    <row r="12978" spans="24:25">
      <c r="X12978" s="19"/>
      <c r="Y12978" s="20"/>
    </row>
    <row r="12979" spans="24:25">
      <c r="X12979" s="19"/>
      <c r="Y12979" s="20"/>
    </row>
    <row r="12980" spans="24:25">
      <c r="X12980" s="19"/>
      <c r="Y12980" s="20"/>
    </row>
    <row r="12981" spans="24:25">
      <c r="X12981" s="19"/>
      <c r="Y12981" s="20"/>
    </row>
    <row r="12982" spans="24:25">
      <c r="X12982" s="19"/>
      <c r="Y12982" s="20"/>
    </row>
    <row r="12983" spans="24:25">
      <c r="X12983" s="19"/>
      <c r="Y12983" s="20"/>
    </row>
    <row r="12984" spans="24:25">
      <c r="X12984" s="19"/>
      <c r="Y12984" s="20"/>
    </row>
    <row r="12985" spans="24:25">
      <c r="X12985" s="19"/>
      <c r="Y12985" s="20"/>
    </row>
    <row r="12986" spans="24:25">
      <c r="X12986" s="19"/>
      <c r="Y12986" s="20"/>
    </row>
    <row r="12987" spans="24:25">
      <c r="X12987" s="19"/>
      <c r="Y12987" s="20"/>
    </row>
    <row r="12988" spans="24:25">
      <c r="X12988" s="19"/>
      <c r="Y12988" s="20"/>
    </row>
    <row r="12989" spans="24:25">
      <c r="X12989" s="19"/>
      <c r="Y12989" s="20"/>
    </row>
    <row r="12990" spans="24:25">
      <c r="X12990" s="19"/>
      <c r="Y12990" s="20"/>
    </row>
    <row r="12991" spans="24:25">
      <c r="X12991" s="19"/>
      <c r="Y12991" s="20"/>
    </row>
    <row r="12992" spans="24:25">
      <c r="X12992" s="19"/>
      <c r="Y12992" s="20"/>
    </row>
    <row r="12993" spans="24:25">
      <c r="X12993" s="19"/>
      <c r="Y12993" s="20"/>
    </row>
    <row r="12994" spans="24:25">
      <c r="X12994" s="19"/>
      <c r="Y12994" s="20"/>
    </row>
    <row r="12995" spans="24:25">
      <c r="X12995" s="19"/>
      <c r="Y12995" s="20"/>
    </row>
    <row r="12996" spans="24:25">
      <c r="X12996" s="19"/>
      <c r="Y12996" s="20"/>
    </row>
    <row r="12997" spans="24:25">
      <c r="X12997" s="19"/>
      <c r="Y12997" s="20"/>
    </row>
    <row r="12998" spans="24:25">
      <c r="X12998" s="19"/>
      <c r="Y12998" s="20"/>
    </row>
    <row r="12999" spans="24:25">
      <c r="X12999" s="19"/>
      <c r="Y12999" s="20"/>
    </row>
    <row r="13000" spans="24:25">
      <c r="X13000" s="19"/>
      <c r="Y13000" s="20"/>
    </row>
    <row r="13001" spans="24:25">
      <c r="X13001" s="19"/>
      <c r="Y13001" s="20"/>
    </row>
    <row r="13002" spans="24:25">
      <c r="X13002" s="19"/>
      <c r="Y13002" s="20"/>
    </row>
    <row r="13003" spans="24:25">
      <c r="X13003" s="19"/>
      <c r="Y13003" s="20"/>
    </row>
    <row r="13004" spans="24:25">
      <c r="X13004" s="19"/>
      <c r="Y13004" s="20"/>
    </row>
    <row r="13005" spans="24:25">
      <c r="X13005" s="19"/>
      <c r="Y13005" s="20"/>
    </row>
    <row r="13006" spans="24:25">
      <c r="X13006" s="19"/>
      <c r="Y13006" s="20"/>
    </row>
    <row r="13007" spans="24:25">
      <c r="X13007" s="19"/>
      <c r="Y13007" s="20"/>
    </row>
    <row r="13008" spans="24:25">
      <c r="X13008" s="19"/>
      <c r="Y13008" s="20"/>
    </row>
    <row r="13009" spans="24:25">
      <c r="X13009" s="19"/>
      <c r="Y13009" s="20"/>
    </row>
    <row r="13010" spans="24:25">
      <c r="X13010" s="19"/>
      <c r="Y13010" s="20"/>
    </row>
    <row r="13011" spans="24:25">
      <c r="X13011" s="19"/>
      <c r="Y13011" s="20"/>
    </row>
    <row r="13012" spans="24:25">
      <c r="X13012" s="19"/>
      <c r="Y13012" s="20"/>
    </row>
    <row r="13013" spans="24:25">
      <c r="X13013" s="19"/>
      <c r="Y13013" s="20"/>
    </row>
    <row r="13014" spans="24:25">
      <c r="X13014" s="19"/>
      <c r="Y13014" s="20"/>
    </row>
    <row r="13015" spans="24:25">
      <c r="X13015" s="19"/>
      <c r="Y13015" s="20"/>
    </row>
    <row r="13016" spans="24:25">
      <c r="X13016" s="19"/>
      <c r="Y13016" s="20"/>
    </row>
    <row r="13017" spans="24:25">
      <c r="X13017" s="19"/>
      <c r="Y13017" s="20"/>
    </row>
    <row r="13018" spans="24:25">
      <c r="X13018" s="19"/>
      <c r="Y13018" s="20"/>
    </row>
    <row r="13019" spans="24:25">
      <c r="X13019" s="19"/>
      <c r="Y13019" s="20"/>
    </row>
    <row r="13020" spans="24:25">
      <c r="X13020" s="19"/>
      <c r="Y13020" s="20"/>
    </row>
    <row r="13021" spans="24:25">
      <c r="X13021" s="19"/>
      <c r="Y13021" s="20"/>
    </row>
    <row r="13022" spans="24:25">
      <c r="X13022" s="19"/>
      <c r="Y13022" s="20"/>
    </row>
    <row r="13023" spans="24:25">
      <c r="X13023" s="19"/>
      <c r="Y13023" s="20"/>
    </row>
    <row r="13024" spans="24:25">
      <c r="X13024" s="19"/>
      <c r="Y13024" s="20"/>
    </row>
    <row r="13025" spans="24:25">
      <c r="X13025" s="19"/>
      <c r="Y13025" s="20"/>
    </row>
    <row r="13026" spans="24:25">
      <c r="X13026" s="19"/>
      <c r="Y13026" s="20"/>
    </row>
    <row r="13027" spans="24:25">
      <c r="X13027" s="19"/>
      <c r="Y13027" s="20"/>
    </row>
    <row r="13028" spans="24:25">
      <c r="X13028" s="19"/>
      <c r="Y13028" s="20"/>
    </row>
    <row r="13029" spans="24:25">
      <c r="X13029" s="19"/>
      <c r="Y13029" s="20"/>
    </row>
    <row r="13030" spans="24:25">
      <c r="X13030" s="19"/>
      <c r="Y13030" s="20"/>
    </row>
    <row r="13031" spans="24:25">
      <c r="X13031" s="19"/>
      <c r="Y13031" s="20"/>
    </row>
    <row r="13032" spans="24:25">
      <c r="X13032" s="19"/>
      <c r="Y13032" s="20"/>
    </row>
    <row r="13033" spans="24:25">
      <c r="X13033" s="19"/>
      <c r="Y13033" s="20"/>
    </row>
    <row r="13034" spans="24:25">
      <c r="X13034" s="19"/>
      <c r="Y13034" s="20"/>
    </row>
    <row r="13035" spans="24:25">
      <c r="X13035" s="19"/>
      <c r="Y13035" s="20"/>
    </row>
    <row r="13036" spans="24:25">
      <c r="X13036" s="19"/>
      <c r="Y13036" s="20"/>
    </row>
    <row r="13037" spans="24:25">
      <c r="X13037" s="19"/>
      <c r="Y13037" s="20"/>
    </row>
    <row r="13038" spans="24:25">
      <c r="X13038" s="19"/>
      <c r="Y13038" s="20"/>
    </row>
    <row r="13039" spans="24:25">
      <c r="X13039" s="19"/>
      <c r="Y13039" s="20"/>
    </row>
    <row r="13040" spans="24:25">
      <c r="X13040" s="19"/>
      <c r="Y13040" s="20"/>
    </row>
    <row r="13041" spans="24:25">
      <c r="X13041" s="19"/>
      <c r="Y13041" s="20"/>
    </row>
    <row r="13042" spans="24:25">
      <c r="X13042" s="19"/>
      <c r="Y13042" s="20"/>
    </row>
    <row r="13043" spans="24:25">
      <c r="X13043" s="19"/>
      <c r="Y13043" s="20"/>
    </row>
    <row r="13044" spans="24:25">
      <c r="X13044" s="19"/>
      <c r="Y13044" s="20"/>
    </row>
    <row r="13045" spans="24:25">
      <c r="X13045" s="19"/>
      <c r="Y13045" s="20"/>
    </row>
    <row r="13046" spans="24:25">
      <c r="X13046" s="19"/>
      <c r="Y13046" s="20"/>
    </row>
    <row r="13047" spans="24:25">
      <c r="X13047" s="19"/>
      <c r="Y13047" s="20"/>
    </row>
    <row r="13048" spans="24:25">
      <c r="X13048" s="19"/>
      <c r="Y13048" s="20"/>
    </row>
    <row r="13049" spans="24:25">
      <c r="X13049" s="19"/>
      <c r="Y13049" s="20"/>
    </row>
    <row r="13050" spans="24:25">
      <c r="X13050" s="19"/>
      <c r="Y13050" s="20"/>
    </row>
    <row r="13051" spans="24:25">
      <c r="X13051" s="19"/>
      <c r="Y13051" s="20"/>
    </row>
    <row r="13052" spans="24:25">
      <c r="X13052" s="19"/>
      <c r="Y13052" s="20"/>
    </row>
    <row r="13053" spans="24:25">
      <c r="X13053" s="19"/>
      <c r="Y13053" s="20"/>
    </row>
    <row r="13054" spans="24:25">
      <c r="X13054" s="19"/>
      <c r="Y13054" s="20"/>
    </row>
    <row r="13055" spans="24:25">
      <c r="X13055" s="19"/>
      <c r="Y13055" s="20"/>
    </row>
    <row r="13056" spans="24:25">
      <c r="X13056" s="19"/>
      <c r="Y13056" s="20"/>
    </row>
    <row r="13057" spans="24:25">
      <c r="X13057" s="19"/>
      <c r="Y13057" s="20"/>
    </row>
    <row r="13058" spans="24:25">
      <c r="X13058" s="19"/>
      <c r="Y13058" s="20"/>
    </row>
    <row r="13059" spans="24:25">
      <c r="X13059" s="19"/>
      <c r="Y13059" s="20"/>
    </row>
    <row r="13060" spans="24:25">
      <c r="X13060" s="19"/>
      <c r="Y13060" s="20"/>
    </row>
    <row r="13061" spans="24:25">
      <c r="X13061" s="19"/>
      <c r="Y13061" s="20"/>
    </row>
    <row r="13062" spans="24:25">
      <c r="X13062" s="19"/>
      <c r="Y13062" s="20"/>
    </row>
    <row r="13063" spans="24:25">
      <c r="X13063" s="19"/>
      <c r="Y13063" s="20"/>
    </row>
    <row r="13064" spans="24:25">
      <c r="X13064" s="19"/>
      <c r="Y13064" s="20"/>
    </row>
    <row r="13065" spans="24:25">
      <c r="X13065" s="19"/>
      <c r="Y13065" s="20"/>
    </row>
    <row r="13066" spans="24:25">
      <c r="X13066" s="19"/>
      <c r="Y13066" s="20"/>
    </row>
    <row r="13067" spans="24:25">
      <c r="X13067" s="19"/>
      <c r="Y13067" s="20"/>
    </row>
    <row r="13068" spans="24:25">
      <c r="X13068" s="19"/>
      <c r="Y13068" s="20"/>
    </row>
    <row r="13069" spans="24:25">
      <c r="X13069" s="19"/>
      <c r="Y13069" s="20"/>
    </row>
    <row r="13070" spans="24:25">
      <c r="X13070" s="19"/>
      <c r="Y13070" s="20"/>
    </row>
    <row r="13071" spans="24:25">
      <c r="X13071" s="19"/>
      <c r="Y13071" s="20"/>
    </row>
    <row r="13072" spans="24:25">
      <c r="X13072" s="19"/>
      <c r="Y13072" s="20"/>
    </row>
    <row r="13073" spans="24:25">
      <c r="X13073" s="19"/>
      <c r="Y13073" s="20"/>
    </row>
    <row r="13074" spans="24:25">
      <c r="X13074" s="19"/>
      <c r="Y13074" s="20"/>
    </row>
    <row r="13075" spans="24:25">
      <c r="X13075" s="19"/>
      <c r="Y13075" s="20"/>
    </row>
    <row r="13076" spans="24:25">
      <c r="X13076" s="19"/>
      <c r="Y13076" s="20"/>
    </row>
    <row r="13077" spans="24:25">
      <c r="X13077" s="19"/>
      <c r="Y13077" s="20"/>
    </row>
    <row r="13078" spans="24:25">
      <c r="X13078" s="19"/>
      <c r="Y13078" s="20"/>
    </row>
    <row r="13079" spans="24:25">
      <c r="X13079" s="19"/>
      <c r="Y13079" s="20"/>
    </row>
    <row r="13080" spans="24:25">
      <c r="X13080" s="19"/>
      <c r="Y13080" s="20"/>
    </row>
    <row r="13081" spans="24:25">
      <c r="X13081" s="19"/>
      <c r="Y13081" s="20"/>
    </row>
    <row r="13082" spans="24:25">
      <c r="X13082" s="19"/>
      <c r="Y13082" s="20"/>
    </row>
    <row r="13083" spans="24:25">
      <c r="X13083" s="19"/>
      <c r="Y13083" s="20"/>
    </row>
    <row r="13084" spans="24:25">
      <c r="X13084" s="19"/>
      <c r="Y13084" s="20"/>
    </row>
    <row r="13085" spans="24:25">
      <c r="X13085" s="19"/>
      <c r="Y13085" s="20"/>
    </row>
    <row r="13086" spans="24:25">
      <c r="X13086" s="19"/>
      <c r="Y13086" s="20"/>
    </row>
    <row r="13087" spans="24:25">
      <c r="X13087" s="19"/>
      <c r="Y13087" s="20"/>
    </row>
    <row r="13088" spans="24:25">
      <c r="X13088" s="19"/>
      <c r="Y13088" s="20"/>
    </row>
    <row r="13089" spans="24:25">
      <c r="X13089" s="19"/>
      <c r="Y13089" s="20"/>
    </row>
    <row r="13090" spans="24:25">
      <c r="X13090" s="19"/>
      <c r="Y13090" s="20"/>
    </row>
    <row r="13091" spans="24:25">
      <c r="X13091" s="19"/>
      <c r="Y13091" s="20"/>
    </row>
    <row r="13092" spans="24:25">
      <c r="X13092" s="19"/>
      <c r="Y13092" s="20"/>
    </row>
    <row r="13093" spans="24:25">
      <c r="X13093" s="19"/>
      <c r="Y13093" s="20"/>
    </row>
    <row r="13094" spans="24:25">
      <c r="X13094" s="19"/>
      <c r="Y13094" s="20"/>
    </row>
    <row r="13095" spans="24:25">
      <c r="X13095" s="19"/>
      <c r="Y13095" s="20"/>
    </row>
    <row r="13096" spans="24:25">
      <c r="X13096" s="19"/>
      <c r="Y13096" s="20"/>
    </row>
    <row r="13097" spans="24:25">
      <c r="X13097" s="19"/>
      <c r="Y13097" s="20"/>
    </row>
    <row r="13098" spans="24:25">
      <c r="X13098" s="19"/>
      <c r="Y13098" s="20"/>
    </row>
    <row r="13099" spans="24:25">
      <c r="X13099" s="19"/>
      <c r="Y13099" s="20"/>
    </row>
    <row r="13100" spans="24:25">
      <c r="X13100" s="19"/>
      <c r="Y13100" s="20"/>
    </row>
    <row r="13101" spans="24:25">
      <c r="X13101" s="19"/>
      <c r="Y13101" s="20"/>
    </row>
    <row r="13102" spans="24:25">
      <c r="X13102" s="19"/>
      <c r="Y13102" s="20"/>
    </row>
    <row r="13103" spans="24:25">
      <c r="X13103" s="19"/>
      <c r="Y13103" s="20"/>
    </row>
    <row r="13104" spans="24:25">
      <c r="X13104" s="19"/>
      <c r="Y13104" s="20"/>
    </row>
    <row r="13105" spans="24:25">
      <c r="X13105" s="19"/>
      <c r="Y13105" s="20"/>
    </row>
    <row r="13106" spans="24:25">
      <c r="X13106" s="19"/>
      <c r="Y13106" s="20"/>
    </row>
    <row r="13107" spans="24:25">
      <c r="X13107" s="19"/>
      <c r="Y13107" s="20"/>
    </row>
    <row r="13108" spans="24:25">
      <c r="X13108" s="19"/>
      <c r="Y13108" s="20"/>
    </row>
    <row r="13109" spans="24:25">
      <c r="X13109" s="19"/>
      <c r="Y13109" s="20"/>
    </row>
    <row r="13110" spans="24:25">
      <c r="X13110" s="19"/>
      <c r="Y13110" s="20"/>
    </row>
    <row r="13111" spans="24:25">
      <c r="X13111" s="19"/>
      <c r="Y13111" s="20"/>
    </row>
    <row r="13112" spans="24:25">
      <c r="X13112" s="19"/>
      <c r="Y13112" s="20"/>
    </row>
    <row r="13113" spans="24:25">
      <c r="X13113" s="19"/>
      <c r="Y13113" s="20"/>
    </row>
    <row r="13114" spans="24:25">
      <c r="X13114" s="19"/>
      <c r="Y13114" s="20"/>
    </row>
    <row r="13115" spans="24:25">
      <c r="X13115" s="19"/>
      <c r="Y13115" s="20"/>
    </row>
    <row r="13116" spans="24:25">
      <c r="X13116" s="19"/>
      <c r="Y13116" s="20"/>
    </row>
    <row r="13117" spans="24:25">
      <c r="X13117" s="19"/>
      <c r="Y13117" s="20"/>
    </row>
    <row r="13118" spans="24:25">
      <c r="X13118" s="19"/>
      <c r="Y13118" s="20"/>
    </row>
    <row r="13119" spans="24:25">
      <c r="X13119" s="19"/>
      <c r="Y13119" s="20"/>
    </row>
    <row r="13120" spans="24:25">
      <c r="X13120" s="19"/>
      <c r="Y13120" s="20"/>
    </row>
    <row r="13121" spans="24:25">
      <c r="X13121" s="19"/>
      <c r="Y13121" s="20"/>
    </row>
    <row r="13122" spans="24:25">
      <c r="X13122" s="19"/>
      <c r="Y13122" s="20"/>
    </row>
    <row r="13123" spans="24:25">
      <c r="X13123" s="19"/>
      <c r="Y13123" s="20"/>
    </row>
    <row r="13124" spans="24:25">
      <c r="X13124" s="19"/>
      <c r="Y13124" s="20"/>
    </row>
    <row r="13125" spans="24:25">
      <c r="X13125" s="19"/>
      <c r="Y13125" s="20"/>
    </row>
    <row r="13126" spans="24:25">
      <c r="X13126" s="19"/>
      <c r="Y13126" s="20"/>
    </row>
    <row r="13127" spans="24:25">
      <c r="X13127" s="19"/>
      <c r="Y13127" s="20"/>
    </row>
    <row r="13128" spans="24:25">
      <c r="X13128" s="19"/>
      <c r="Y13128" s="20"/>
    </row>
    <row r="13129" spans="24:25">
      <c r="X13129" s="19"/>
      <c r="Y13129" s="20"/>
    </row>
    <row r="13130" spans="24:25">
      <c r="X13130" s="19"/>
      <c r="Y13130" s="20"/>
    </row>
    <row r="13131" spans="24:25">
      <c r="X13131" s="19"/>
      <c r="Y13131" s="20"/>
    </row>
    <row r="13132" spans="24:25">
      <c r="X13132" s="19"/>
      <c r="Y13132" s="20"/>
    </row>
    <row r="13133" spans="24:25">
      <c r="X13133" s="19"/>
      <c r="Y13133" s="20"/>
    </row>
    <row r="13134" spans="24:25">
      <c r="X13134" s="19"/>
      <c r="Y13134" s="20"/>
    </row>
    <row r="13135" spans="24:25">
      <c r="X13135" s="19"/>
      <c r="Y13135" s="20"/>
    </row>
    <row r="13136" spans="24:25">
      <c r="X13136" s="19"/>
      <c r="Y13136" s="20"/>
    </row>
    <row r="13137" spans="24:25">
      <c r="X13137" s="19"/>
      <c r="Y13137" s="20"/>
    </row>
    <row r="13138" spans="24:25">
      <c r="X13138" s="19"/>
      <c r="Y13138" s="20"/>
    </row>
    <row r="13139" spans="24:25">
      <c r="X13139" s="19"/>
      <c r="Y13139" s="20"/>
    </row>
    <row r="13140" spans="24:25">
      <c r="X13140" s="19"/>
      <c r="Y13140" s="20"/>
    </row>
    <row r="13141" spans="24:25">
      <c r="X13141" s="19"/>
      <c r="Y13141" s="20"/>
    </row>
    <row r="13142" spans="24:25">
      <c r="X13142" s="19"/>
      <c r="Y13142" s="20"/>
    </row>
    <row r="13143" spans="24:25">
      <c r="X13143" s="19"/>
      <c r="Y13143" s="20"/>
    </row>
    <row r="13144" spans="24:25">
      <c r="X13144" s="19"/>
      <c r="Y13144" s="20"/>
    </row>
    <row r="13145" spans="24:25">
      <c r="X13145" s="19"/>
      <c r="Y13145" s="20"/>
    </row>
    <row r="13146" spans="24:25">
      <c r="X13146" s="19"/>
      <c r="Y13146" s="20"/>
    </row>
    <row r="13147" spans="24:25">
      <c r="X13147" s="19"/>
      <c r="Y13147" s="20"/>
    </row>
    <row r="13148" spans="24:25">
      <c r="X13148" s="19"/>
      <c r="Y13148" s="20"/>
    </row>
    <row r="13149" spans="24:25">
      <c r="X13149" s="19"/>
      <c r="Y13149" s="20"/>
    </row>
    <row r="13150" spans="24:25">
      <c r="X13150" s="19"/>
      <c r="Y13150" s="20"/>
    </row>
    <row r="13151" spans="24:25">
      <c r="X13151" s="19"/>
      <c r="Y13151" s="20"/>
    </row>
    <row r="13152" spans="24:25">
      <c r="X13152" s="19"/>
      <c r="Y13152" s="20"/>
    </row>
    <row r="13153" spans="24:25">
      <c r="X13153" s="19"/>
      <c r="Y13153" s="20"/>
    </row>
    <row r="13154" spans="24:25">
      <c r="X13154" s="19"/>
      <c r="Y13154" s="20"/>
    </row>
    <row r="13155" spans="24:25">
      <c r="X13155" s="19"/>
      <c r="Y13155" s="20"/>
    </row>
    <row r="13156" spans="24:25">
      <c r="X13156" s="19"/>
      <c r="Y13156" s="20"/>
    </row>
    <row r="13157" spans="24:25">
      <c r="X13157" s="19"/>
      <c r="Y13157" s="20"/>
    </row>
    <row r="13158" spans="24:25">
      <c r="X13158" s="19"/>
      <c r="Y13158" s="20"/>
    </row>
    <row r="13159" spans="24:25">
      <c r="X13159" s="19"/>
      <c r="Y13159" s="20"/>
    </row>
    <row r="13160" spans="24:25">
      <c r="X13160" s="19"/>
      <c r="Y13160" s="20"/>
    </row>
    <row r="13161" spans="24:25">
      <c r="X13161" s="19"/>
      <c r="Y13161" s="20"/>
    </row>
    <row r="13162" spans="24:25">
      <c r="X13162" s="19"/>
      <c r="Y13162" s="20"/>
    </row>
    <row r="13163" spans="24:25">
      <c r="X13163" s="19"/>
      <c r="Y13163" s="20"/>
    </row>
    <row r="13164" spans="24:25">
      <c r="X13164" s="19"/>
      <c r="Y13164" s="20"/>
    </row>
    <row r="13165" spans="24:25">
      <c r="X13165" s="19"/>
      <c r="Y13165" s="20"/>
    </row>
    <row r="13166" spans="24:25">
      <c r="X13166" s="19"/>
      <c r="Y13166" s="20"/>
    </row>
    <row r="13167" spans="24:25">
      <c r="X13167" s="19"/>
      <c r="Y13167" s="20"/>
    </row>
    <row r="13168" spans="24:25">
      <c r="X13168" s="19"/>
      <c r="Y13168" s="20"/>
    </row>
    <row r="13169" spans="24:25">
      <c r="X13169" s="19"/>
      <c r="Y13169" s="20"/>
    </row>
    <row r="13170" spans="24:25">
      <c r="X13170" s="19"/>
      <c r="Y13170" s="20"/>
    </row>
    <row r="13171" spans="24:25">
      <c r="X13171" s="19"/>
      <c r="Y13171" s="20"/>
    </row>
    <row r="13172" spans="24:25">
      <c r="X13172" s="19"/>
      <c r="Y13172" s="20"/>
    </row>
    <row r="13173" spans="24:25">
      <c r="X13173" s="19"/>
      <c r="Y13173" s="20"/>
    </row>
    <row r="13174" spans="24:25">
      <c r="X13174" s="19"/>
      <c r="Y13174" s="20"/>
    </row>
    <row r="13175" spans="24:25">
      <c r="X13175" s="19"/>
      <c r="Y13175" s="20"/>
    </row>
    <row r="13176" spans="24:25">
      <c r="X13176" s="19"/>
      <c r="Y13176" s="20"/>
    </row>
    <row r="13177" spans="24:25">
      <c r="X13177" s="19"/>
      <c r="Y13177" s="20"/>
    </row>
    <row r="13178" spans="24:25">
      <c r="X13178" s="19"/>
      <c r="Y13178" s="20"/>
    </row>
    <row r="13179" spans="24:25">
      <c r="X13179" s="19"/>
      <c r="Y13179" s="20"/>
    </row>
    <row r="13180" spans="24:25">
      <c r="X13180" s="19"/>
      <c r="Y13180" s="20"/>
    </row>
    <row r="13181" spans="24:25">
      <c r="X13181" s="19"/>
      <c r="Y13181" s="20"/>
    </row>
    <row r="13182" spans="24:25">
      <c r="X13182" s="19"/>
      <c r="Y13182" s="20"/>
    </row>
    <row r="13183" spans="24:25">
      <c r="X13183" s="19"/>
      <c r="Y13183" s="20"/>
    </row>
    <row r="13184" spans="24:25">
      <c r="X13184" s="19"/>
      <c r="Y13184" s="20"/>
    </row>
    <row r="13185" spans="24:25">
      <c r="X13185" s="19"/>
      <c r="Y13185" s="20"/>
    </row>
    <row r="13186" spans="24:25">
      <c r="X13186" s="19"/>
      <c r="Y13186" s="20"/>
    </row>
    <row r="13187" spans="24:25">
      <c r="X13187" s="19"/>
      <c r="Y13187" s="20"/>
    </row>
    <row r="13188" spans="24:25">
      <c r="X13188" s="19"/>
      <c r="Y13188" s="20"/>
    </row>
    <row r="13189" spans="24:25">
      <c r="X13189" s="19"/>
      <c r="Y13189" s="20"/>
    </row>
    <row r="13190" spans="24:25">
      <c r="X13190" s="19"/>
      <c r="Y13190" s="20"/>
    </row>
    <row r="13191" spans="24:25">
      <c r="X13191" s="19"/>
      <c r="Y13191" s="20"/>
    </row>
    <row r="13192" spans="24:25">
      <c r="X13192" s="19"/>
      <c r="Y13192" s="20"/>
    </row>
    <row r="13193" spans="24:25">
      <c r="X13193" s="19"/>
      <c r="Y13193" s="20"/>
    </row>
    <row r="13194" spans="24:25">
      <c r="X13194" s="19"/>
      <c r="Y13194" s="20"/>
    </row>
    <row r="13195" spans="24:25">
      <c r="X13195" s="19"/>
      <c r="Y13195" s="20"/>
    </row>
    <row r="13196" spans="24:25">
      <c r="X13196" s="19"/>
      <c r="Y13196" s="20"/>
    </row>
    <row r="13197" spans="24:25">
      <c r="X13197" s="19"/>
      <c r="Y13197" s="20"/>
    </row>
    <row r="13198" spans="24:25">
      <c r="X13198" s="19"/>
      <c r="Y13198" s="20"/>
    </row>
    <row r="13199" spans="24:25">
      <c r="X13199" s="19"/>
      <c r="Y13199" s="20"/>
    </row>
    <row r="13200" spans="24:25">
      <c r="X13200" s="19"/>
      <c r="Y13200" s="20"/>
    </row>
    <row r="13201" spans="24:25">
      <c r="X13201" s="19"/>
      <c r="Y13201" s="20"/>
    </row>
    <row r="13202" spans="24:25">
      <c r="X13202" s="19"/>
      <c r="Y13202" s="20"/>
    </row>
    <row r="13203" spans="24:25">
      <c r="X13203" s="19"/>
      <c r="Y13203" s="20"/>
    </row>
    <row r="13204" spans="24:25">
      <c r="X13204" s="19"/>
      <c r="Y13204" s="20"/>
    </row>
    <row r="13205" spans="24:25">
      <c r="X13205" s="19"/>
      <c r="Y13205" s="20"/>
    </row>
    <row r="13206" spans="24:25">
      <c r="X13206" s="19"/>
      <c r="Y13206" s="20"/>
    </row>
    <row r="13207" spans="24:25">
      <c r="X13207" s="19"/>
      <c r="Y13207" s="20"/>
    </row>
    <row r="13208" spans="24:25">
      <c r="X13208" s="19"/>
      <c r="Y13208" s="20"/>
    </row>
    <row r="13209" spans="24:25">
      <c r="X13209" s="19"/>
      <c r="Y13209" s="20"/>
    </row>
    <row r="13210" spans="24:25">
      <c r="X13210" s="19"/>
      <c r="Y13210" s="20"/>
    </row>
    <row r="13211" spans="24:25">
      <c r="X13211" s="19"/>
      <c r="Y13211" s="20"/>
    </row>
    <row r="13212" spans="24:25">
      <c r="X13212" s="19"/>
      <c r="Y13212" s="20"/>
    </row>
    <row r="13213" spans="24:25">
      <c r="X13213" s="19"/>
      <c r="Y13213" s="20"/>
    </row>
    <row r="13214" spans="24:25">
      <c r="X13214" s="19"/>
      <c r="Y13214" s="20"/>
    </row>
    <row r="13215" spans="24:25">
      <c r="X13215" s="19"/>
      <c r="Y13215" s="20"/>
    </row>
    <row r="13216" spans="24:25">
      <c r="X13216" s="19"/>
      <c r="Y13216" s="20"/>
    </row>
    <row r="13217" spans="24:25">
      <c r="X13217" s="19"/>
      <c r="Y13217" s="20"/>
    </row>
    <row r="13218" spans="24:25">
      <c r="X13218" s="19"/>
      <c r="Y13218" s="20"/>
    </row>
    <row r="13219" spans="24:25">
      <c r="X13219" s="19"/>
      <c r="Y13219" s="20"/>
    </row>
    <row r="13220" spans="24:25">
      <c r="X13220" s="19"/>
      <c r="Y13220" s="20"/>
    </row>
    <row r="13221" spans="24:25">
      <c r="X13221" s="19"/>
      <c r="Y13221" s="20"/>
    </row>
    <row r="13222" spans="24:25">
      <c r="X13222" s="19"/>
      <c r="Y13222" s="20"/>
    </row>
    <row r="13223" spans="24:25">
      <c r="X13223" s="19"/>
      <c r="Y13223" s="20"/>
    </row>
    <row r="13224" spans="24:25">
      <c r="X13224" s="19"/>
      <c r="Y13224" s="20"/>
    </row>
    <row r="13225" spans="24:25">
      <c r="X13225" s="19"/>
      <c r="Y13225" s="20"/>
    </row>
    <row r="13226" spans="24:25">
      <c r="X13226" s="19"/>
      <c r="Y13226" s="20"/>
    </row>
    <row r="13227" spans="24:25">
      <c r="X13227" s="19"/>
      <c r="Y13227" s="20"/>
    </row>
    <row r="13228" spans="24:25">
      <c r="X13228" s="19"/>
      <c r="Y13228" s="20"/>
    </row>
    <row r="13229" spans="24:25">
      <c r="X13229" s="19"/>
      <c r="Y13229" s="20"/>
    </row>
    <row r="13230" spans="24:25">
      <c r="X13230" s="19"/>
      <c r="Y13230" s="20"/>
    </row>
    <row r="13231" spans="24:25">
      <c r="X13231" s="19"/>
      <c r="Y13231" s="20"/>
    </row>
    <row r="13232" spans="24:25">
      <c r="X13232" s="19"/>
      <c r="Y13232" s="20"/>
    </row>
    <row r="13233" spans="24:25">
      <c r="X13233" s="19"/>
      <c r="Y13233" s="20"/>
    </row>
    <row r="13234" spans="24:25">
      <c r="X13234" s="19"/>
      <c r="Y13234" s="20"/>
    </row>
    <row r="13235" spans="24:25">
      <c r="X13235" s="19"/>
      <c r="Y13235" s="20"/>
    </row>
    <row r="13236" spans="24:25">
      <c r="X13236" s="19"/>
      <c r="Y13236" s="20"/>
    </row>
    <row r="13237" spans="24:25">
      <c r="X13237" s="19"/>
      <c r="Y13237" s="20"/>
    </row>
    <row r="13238" spans="24:25">
      <c r="X13238" s="19"/>
      <c r="Y13238" s="20"/>
    </row>
    <row r="13239" spans="24:25">
      <c r="X13239" s="19"/>
      <c r="Y13239" s="20"/>
    </row>
    <row r="13240" spans="24:25">
      <c r="X13240" s="19"/>
      <c r="Y13240" s="20"/>
    </row>
    <row r="13241" spans="24:25">
      <c r="X13241" s="19"/>
      <c r="Y13241" s="20"/>
    </row>
    <row r="13242" spans="24:25">
      <c r="X13242" s="19"/>
      <c r="Y13242" s="20"/>
    </row>
    <row r="13243" spans="24:25">
      <c r="X13243" s="19"/>
      <c r="Y13243" s="20"/>
    </row>
    <row r="13244" spans="24:25">
      <c r="X13244" s="19"/>
      <c r="Y13244" s="20"/>
    </row>
    <row r="13245" spans="24:25">
      <c r="X13245" s="19"/>
      <c r="Y13245" s="20"/>
    </row>
    <row r="13246" spans="24:25">
      <c r="X13246" s="19"/>
      <c r="Y13246" s="20"/>
    </row>
    <row r="13247" spans="24:25">
      <c r="X13247" s="19"/>
      <c r="Y13247" s="20"/>
    </row>
    <row r="13248" spans="24:25">
      <c r="X13248" s="19"/>
      <c r="Y13248" s="20"/>
    </row>
    <row r="13249" spans="24:25">
      <c r="X13249" s="19"/>
      <c r="Y13249" s="20"/>
    </row>
    <row r="13250" spans="24:25">
      <c r="X13250" s="19"/>
      <c r="Y13250" s="20"/>
    </row>
    <row r="13251" spans="24:25">
      <c r="X13251" s="19"/>
      <c r="Y13251" s="20"/>
    </row>
    <row r="13252" spans="24:25">
      <c r="X13252" s="19"/>
      <c r="Y13252" s="20"/>
    </row>
    <row r="13253" spans="24:25">
      <c r="X13253" s="19"/>
      <c r="Y13253" s="20"/>
    </row>
    <row r="13254" spans="24:25">
      <c r="X13254" s="19"/>
      <c r="Y13254" s="20"/>
    </row>
    <row r="13255" spans="24:25">
      <c r="X13255" s="19"/>
      <c r="Y13255" s="20"/>
    </row>
    <row r="13256" spans="24:25">
      <c r="X13256" s="19"/>
      <c r="Y13256" s="20"/>
    </row>
    <row r="13257" spans="24:25">
      <c r="X13257" s="19"/>
      <c r="Y13257" s="20"/>
    </row>
    <row r="13258" spans="24:25">
      <c r="X13258" s="19"/>
      <c r="Y13258" s="20"/>
    </row>
    <row r="13259" spans="24:25">
      <c r="X13259" s="19"/>
      <c r="Y13259" s="20"/>
    </row>
    <row r="13260" spans="24:25">
      <c r="X13260" s="19"/>
      <c r="Y13260" s="20"/>
    </row>
    <row r="13261" spans="24:25">
      <c r="X13261" s="19"/>
      <c r="Y13261" s="20"/>
    </row>
    <row r="13262" spans="24:25">
      <c r="X13262" s="19"/>
      <c r="Y13262" s="20"/>
    </row>
    <row r="13263" spans="24:25">
      <c r="X13263" s="19"/>
      <c r="Y13263" s="20"/>
    </row>
    <row r="13264" spans="24:25">
      <c r="X13264" s="19"/>
      <c r="Y13264" s="20"/>
    </row>
    <row r="13265" spans="24:25">
      <c r="X13265" s="19"/>
      <c r="Y13265" s="20"/>
    </row>
    <row r="13266" spans="24:25">
      <c r="X13266" s="19"/>
      <c r="Y13266" s="20"/>
    </row>
    <row r="13267" spans="24:25">
      <c r="X13267" s="19"/>
      <c r="Y13267" s="20"/>
    </row>
    <row r="13268" spans="24:25">
      <c r="X13268" s="19"/>
      <c r="Y13268" s="20"/>
    </row>
    <row r="13269" spans="24:25">
      <c r="X13269" s="19"/>
      <c r="Y13269" s="20"/>
    </row>
    <row r="13270" spans="24:25">
      <c r="X13270" s="19"/>
      <c r="Y13270" s="20"/>
    </row>
    <row r="13271" spans="24:25">
      <c r="X13271" s="19"/>
      <c r="Y13271" s="20"/>
    </row>
    <row r="13272" spans="24:25">
      <c r="X13272" s="19"/>
      <c r="Y13272" s="20"/>
    </row>
    <row r="13273" spans="24:25">
      <c r="X13273" s="19"/>
      <c r="Y13273" s="20"/>
    </row>
    <row r="13274" spans="24:25">
      <c r="X13274" s="19"/>
      <c r="Y13274" s="20"/>
    </row>
    <row r="13275" spans="24:25">
      <c r="X13275" s="19"/>
      <c r="Y13275" s="20"/>
    </row>
    <row r="13276" spans="24:25">
      <c r="X13276" s="19"/>
      <c r="Y13276" s="20"/>
    </row>
    <row r="13277" spans="24:25">
      <c r="X13277" s="19"/>
      <c r="Y13277" s="20"/>
    </row>
    <row r="13278" spans="24:25">
      <c r="X13278" s="19"/>
      <c r="Y13278" s="20"/>
    </row>
    <row r="13279" spans="24:25">
      <c r="X13279" s="19"/>
      <c r="Y13279" s="20"/>
    </row>
    <row r="13280" spans="24:25">
      <c r="X13280" s="19"/>
      <c r="Y13280" s="20"/>
    </row>
    <row r="13281" spans="24:25">
      <c r="X13281" s="19"/>
      <c r="Y13281" s="20"/>
    </row>
    <row r="13282" spans="24:25">
      <c r="X13282" s="19"/>
      <c r="Y13282" s="20"/>
    </row>
    <row r="13283" spans="24:25">
      <c r="X13283" s="19"/>
      <c r="Y13283" s="20"/>
    </row>
    <row r="13284" spans="24:25">
      <c r="X13284" s="19"/>
      <c r="Y13284" s="20"/>
    </row>
    <row r="13285" spans="24:25">
      <c r="X13285" s="19"/>
      <c r="Y13285" s="20"/>
    </row>
    <row r="13286" spans="24:25">
      <c r="X13286" s="19"/>
      <c r="Y13286" s="20"/>
    </row>
    <row r="13287" spans="24:25">
      <c r="X13287" s="19"/>
      <c r="Y13287" s="20"/>
    </row>
    <row r="13288" spans="24:25">
      <c r="X13288" s="19"/>
      <c r="Y13288" s="20"/>
    </row>
    <row r="13289" spans="24:25">
      <c r="X13289" s="19"/>
      <c r="Y13289" s="20"/>
    </row>
    <row r="13290" spans="24:25">
      <c r="X13290" s="19"/>
      <c r="Y13290" s="20"/>
    </row>
    <row r="13291" spans="24:25">
      <c r="X13291" s="19"/>
      <c r="Y13291" s="20"/>
    </row>
    <row r="13292" spans="24:25">
      <c r="X13292" s="19"/>
      <c r="Y13292" s="20"/>
    </row>
    <row r="13293" spans="24:25">
      <c r="X13293" s="19"/>
      <c r="Y13293" s="20"/>
    </row>
    <row r="13294" spans="24:25">
      <c r="X13294" s="19"/>
      <c r="Y13294" s="20"/>
    </row>
    <row r="13295" spans="24:25">
      <c r="X13295" s="19"/>
      <c r="Y13295" s="20"/>
    </row>
    <row r="13296" spans="24:25">
      <c r="X13296" s="19"/>
      <c r="Y13296" s="20"/>
    </row>
    <row r="13297" spans="24:25">
      <c r="X13297" s="19"/>
      <c r="Y13297" s="20"/>
    </row>
    <row r="13298" spans="24:25">
      <c r="X13298" s="19"/>
      <c r="Y13298" s="20"/>
    </row>
    <row r="13299" spans="24:25">
      <c r="X13299" s="19"/>
      <c r="Y13299" s="20"/>
    </row>
    <row r="13300" spans="24:25">
      <c r="X13300" s="19"/>
      <c r="Y13300" s="20"/>
    </row>
    <row r="13301" spans="24:25">
      <c r="X13301" s="19"/>
      <c r="Y13301" s="20"/>
    </row>
    <row r="13302" spans="24:25">
      <c r="X13302" s="19"/>
      <c r="Y13302" s="20"/>
    </row>
    <row r="13303" spans="24:25">
      <c r="X13303" s="19"/>
      <c r="Y13303" s="20"/>
    </row>
    <row r="13304" spans="24:25">
      <c r="X13304" s="19"/>
      <c r="Y13304" s="20"/>
    </row>
    <row r="13305" spans="24:25">
      <c r="X13305" s="19"/>
      <c r="Y13305" s="20"/>
    </row>
    <row r="13306" spans="24:25">
      <c r="X13306" s="19"/>
      <c r="Y13306" s="20"/>
    </row>
    <row r="13307" spans="24:25">
      <c r="X13307" s="19"/>
      <c r="Y13307" s="20"/>
    </row>
    <row r="13308" spans="24:25">
      <c r="X13308" s="19"/>
      <c r="Y13308" s="20"/>
    </row>
    <row r="13309" spans="24:25">
      <c r="X13309" s="19"/>
      <c r="Y13309" s="20"/>
    </row>
    <row r="13310" spans="24:25">
      <c r="X13310" s="19"/>
      <c r="Y13310" s="20"/>
    </row>
    <row r="13311" spans="24:25">
      <c r="X13311" s="19"/>
      <c r="Y13311" s="20"/>
    </row>
    <row r="13312" spans="24:25">
      <c r="X13312" s="19"/>
      <c r="Y13312" s="20"/>
    </row>
    <row r="13313" spans="24:25">
      <c r="X13313" s="19"/>
      <c r="Y13313" s="20"/>
    </row>
    <row r="13314" spans="24:25">
      <c r="X13314" s="19"/>
      <c r="Y13314" s="20"/>
    </row>
    <row r="13315" spans="24:25">
      <c r="X13315" s="19"/>
      <c r="Y13315" s="20"/>
    </row>
    <row r="13316" spans="24:25">
      <c r="X13316" s="19"/>
      <c r="Y13316" s="20"/>
    </row>
    <row r="13317" spans="24:25">
      <c r="X13317" s="19"/>
      <c r="Y13317" s="20"/>
    </row>
    <row r="13318" spans="24:25">
      <c r="X13318" s="19"/>
      <c r="Y13318" s="20"/>
    </row>
    <row r="13319" spans="24:25">
      <c r="X13319" s="19"/>
      <c r="Y13319" s="20"/>
    </row>
    <row r="13320" spans="24:25">
      <c r="X13320" s="19"/>
      <c r="Y13320" s="20"/>
    </row>
    <row r="13321" spans="24:25">
      <c r="X13321" s="19"/>
      <c r="Y13321" s="20"/>
    </row>
    <row r="13322" spans="24:25">
      <c r="X13322" s="19"/>
      <c r="Y13322" s="20"/>
    </row>
    <row r="13323" spans="24:25">
      <c r="X13323" s="19"/>
      <c r="Y13323" s="20"/>
    </row>
    <row r="13324" spans="24:25">
      <c r="X13324" s="19"/>
      <c r="Y13324" s="20"/>
    </row>
    <row r="13325" spans="24:25">
      <c r="X13325" s="19"/>
      <c r="Y13325" s="20"/>
    </row>
    <row r="13326" spans="24:25">
      <c r="X13326" s="19"/>
      <c r="Y13326" s="20"/>
    </row>
    <row r="13327" spans="24:25">
      <c r="X13327" s="19"/>
      <c r="Y13327" s="20"/>
    </row>
    <row r="13328" spans="24:25">
      <c r="X13328" s="19"/>
      <c r="Y13328" s="20"/>
    </row>
    <row r="13329" spans="24:25">
      <c r="X13329" s="19"/>
      <c r="Y13329" s="20"/>
    </row>
    <row r="13330" spans="24:25">
      <c r="X13330" s="19"/>
      <c r="Y13330" s="20"/>
    </row>
    <row r="13331" spans="24:25">
      <c r="X13331" s="19"/>
      <c r="Y13331" s="20"/>
    </row>
    <row r="13332" spans="24:25">
      <c r="X13332" s="19"/>
      <c r="Y13332" s="20"/>
    </row>
    <row r="13333" spans="24:25">
      <c r="X13333" s="19"/>
      <c r="Y13333" s="20"/>
    </row>
    <row r="13334" spans="24:25">
      <c r="X13334" s="19"/>
      <c r="Y13334" s="20"/>
    </row>
    <row r="13335" spans="24:25">
      <c r="X13335" s="19"/>
      <c r="Y13335" s="20"/>
    </row>
    <row r="13336" spans="24:25">
      <c r="X13336" s="19"/>
      <c r="Y13336" s="20"/>
    </row>
    <row r="13337" spans="24:25">
      <c r="X13337" s="19"/>
      <c r="Y13337" s="20"/>
    </row>
    <row r="13338" spans="24:25">
      <c r="X13338" s="19"/>
      <c r="Y13338" s="20"/>
    </row>
    <row r="13339" spans="24:25">
      <c r="X13339" s="19"/>
      <c r="Y13339" s="20"/>
    </row>
    <row r="13340" spans="24:25">
      <c r="X13340" s="19"/>
      <c r="Y13340" s="20"/>
    </row>
    <row r="13341" spans="24:25">
      <c r="X13341" s="19"/>
      <c r="Y13341" s="20"/>
    </row>
    <row r="13342" spans="24:25">
      <c r="X13342" s="19"/>
      <c r="Y13342" s="20"/>
    </row>
    <row r="13343" spans="24:25">
      <c r="X13343" s="19"/>
      <c r="Y13343" s="20"/>
    </row>
    <row r="13344" spans="24:25">
      <c r="X13344" s="19"/>
      <c r="Y13344" s="20"/>
    </row>
    <row r="13345" spans="24:25">
      <c r="X13345" s="19"/>
      <c r="Y13345" s="20"/>
    </row>
    <row r="13346" spans="24:25">
      <c r="X13346" s="19"/>
      <c r="Y13346" s="20"/>
    </row>
    <row r="13347" spans="24:25">
      <c r="X13347" s="19"/>
      <c r="Y13347" s="20"/>
    </row>
    <row r="13348" spans="24:25">
      <c r="X13348" s="19"/>
      <c r="Y13348" s="20"/>
    </row>
    <row r="13349" spans="24:25">
      <c r="X13349" s="19"/>
      <c r="Y13349" s="20"/>
    </row>
    <row r="13350" spans="24:25">
      <c r="X13350" s="19"/>
      <c r="Y13350" s="20"/>
    </row>
    <row r="13351" spans="24:25">
      <c r="X13351" s="19"/>
      <c r="Y13351" s="20"/>
    </row>
    <row r="13352" spans="24:25">
      <c r="X13352" s="19"/>
      <c r="Y13352" s="20"/>
    </row>
    <row r="13353" spans="24:25">
      <c r="X13353" s="19"/>
      <c r="Y13353" s="20"/>
    </row>
    <row r="13354" spans="24:25">
      <c r="X13354" s="19"/>
      <c r="Y13354" s="20"/>
    </row>
    <row r="13355" spans="24:25">
      <c r="X13355" s="19"/>
      <c r="Y13355" s="20"/>
    </row>
    <row r="13356" spans="24:25">
      <c r="X13356" s="19"/>
      <c r="Y13356" s="20"/>
    </row>
    <row r="13357" spans="24:25">
      <c r="X13357" s="19"/>
      <c r="Y13357" s="20"/>
    </row>
    <row r="13358" spans="24:25">
      <c r="X13358" s="19"/>
      <c r="Y13358" s="20"/>
    </row>
    <row r="13359" spans="24:25">
      <c r="X13359" s="19"/>
      <c r="Y13359" s="20"/>
    </row>
    <row r="13360" spans="24:25">
      <c r="X13360" s="19"/>
      <c r="Y13360" s="20"/>
    </row>
    <row r="13361" spans="24:25">
      <c r="X13361" s="19"/>
      <c r="Y13361" s="20"/>
    </row>
    <row r="13362" spans="24:25">
      <c r="X13362" s="19"/>
      <c r="Y13362" s="20"/>
    </row>
    <row r="13363" spans="24:25">
      <c r="X13363" s="19"/>
      <c r="Y13363" s="20"/>
    </row>
    <row r="13364" spans="24:25">
      <c r="X13364" s="19"/>
      <c r="Y13364" s="20"/>
    </row>
    <row r="13365" spans="24:25">
      <c r="X13365" s="19"/>
      <c r="Y13365" s="20"/>
    </row>
    <row r="13366" spans="24:25">
      <c r="X13366" s="19"/>
      <c r="Y13366" s="20"/>
    </row>
    <row r="13367" spans="24:25">
      <c r="X13367" s="19"/>
      <c r="Y13367" s="20"/>
    </row>
    <row r="13368" spans="24:25">
      <c r="X13368" s="19"/>
      <c r="Y13368" s="20"/>
    </row>
    <row r="13369" spans="24:25">
      <c r="X13369" s="19"/>
      <c r="Y13369" s="20"/>
    </row>
    <row r="13370" spans="24:25">
      <c r="X13370" s="19"/>
      <c r="Y13370" s="20"/>
    </row>
    <row r="13371" spans="24:25">
      <c r="X13371" s="19"/>
      <c r="Y13371" s="20"/>
    </row>
    <row r="13372" spans="24:25">
      <c r="X13372" s="19"/>
      <c r="Y13372" s="20"/>
    </row>
    <row r="13373" spans="24:25">
      <c r="X13373" s="19"/>
      <c r="Y13373" s="20"/>
    </row>
    <row r="13374" spans="24:25">
      <c r="X13374" s="19"/>
      <c r="Y13374" s="20"/>
    </row>
    <row r="13375" spans="24:25">
      <c r="X13375" s="19"/>
      <c r="Y13375" s="20"/>
    </row>
    <row r="13376" spans="24:25">
      <c r="X13376" s="19"/>
      <c r="Y13376" s="20"/>
    </row>
    <row r="13377" spans="24:25">
      <c r="X13377" s="19"/>
      <c r="Y13377" s="20"/>
    </row>
    <row r="13378" spans="24:25">
      <c r="X13378" s="19"/>
      <c r="Y13378" s="20"/>
    </row>
    <row r="13379" spans="24:25">
      <c r="X13379" s="19"/>
      <c r="Y13379" s="20"/>
    </row>
    <row r="13380" spans="24:25">
      <c r="X13380" s="19"/>
      <c r="Y13380" s="20"/>
    </row>
    <row r="13381" spans="24:25">
      <c r="X13381" s="19"/>
      <c r="Y13381" s="20"/>
    </row>
    <row r="13382" spans="24:25">
      <c r="X13382" s="19"/>
      <c r="Y13382" s="20"/>
    </row>
    <row r="13383" spans="24:25">
      <c r="X13383" s="19"/>
      <c r="Y13383" s="20"/>
    </row>
    <row r="13384" spans="24:25">
      <c r="X13384" s="19"/>
      <c r="Y13384" s="20"/>
    </row>
    <row r="13385" spans="24:25">
      <c r="X13385" s="19"/>
      <c r="Y13385" s="20"/>
    </row>
    <row r="13386" spans="24:25">
      <c r="X13386" s="19"/>
      <c r="Y13386" s="20"/>
    </row>
    <row r="13387" spans="24:25">
      <c r="X13387" s="19"/>
      <c r="Y13387" s="20"/>
    </row>
    <row r="13388" spans="24:25">
      <c r="X13388" s="19"/>
      <c r="Y13388" s="20"/>
    </row>
    <row r="13389" spans="24:25">
      <c r="X13389" s="19"/>
      <c r="Y13389" s="20"/>
    </row>
    <row r="13390" spans="24:25">
      <c r="X13390" s="19"/>
      <c r="Y13390" s="20"/>
    </row>
    <row r="13391" spans="24:25">
      <c r="X13391" s="19"/>
      <c r="Y13391" s="20"/>
    </row>
    <row r="13392" spans="24:25">
      <c r="X13392" s="19"/>
      <c r="Y13392" s="20"/>
    </row>
    <row r="13393" spans="24:25">
      <c r="X13393" s="19"/>
      <c r="Y13393" s="20"/>
    </row>
    <row r="13394" spans="24:25">
      <c r="X13394" s="19"/>
      <c r="Y13394" s="20"/>
    </row>
    <row r="13395" spans="24:25">
      <c r="X13395" s="19"/>
      <c r="Y13395" s="20"/>
    </row>
    <row r="13396" spans="24:25">
      <c r="X13396" s="19"/>
      <c r="Y13396" s="20"/>
    </row>
    <row r="13397" spans="24:25">
      <c r="X13397" s="19"/>
      <c r="Y13397" s="20"/>
    </row>
    <row r="13398" spans="24:25">
      <c r="X13398" s="19"/>
      <c r="Y13398" s="20"/>
    </row>
    <row r="13399" spans="24:25">
      <c r="X13399" s="19"/>
      <c r="Y13399" s="20"/>
    </row>
    <row r="13400" spans="24:25">
      <c r="X13400" s="19"/>
      <c r="Y13400" s="20"/>
    </row>
    <row r="13401" spans="24:25">
      <c r="X13401" s="19"/>
      <c r="Y13401" s="20"/>
    </row>
    <row r="13402" spans="24:25">
      <c r="X13402" s="19"/>
      <c r="Y13402" s="20"/>
    </row>
    <row r="13403" spans="24:25">
      <c r="X13403" s="19"/>
      <c r="Y13403" s="20"/>
    </row>
    <row r="13404" spans="24:25">
      <c r="X13404" s="19"/>
      <c r="Y13404" s="20"/>
    </row>
    <row r="13405" spans="24:25">
      <c r="X13405" s="19"/>
      <c r="Y13405" s="20"/>
    </row>
    <row r="13406" spans="24:25">
      <c r="X13406" s="19"/>
      <c r="Y13406" s="20"/>
    </row>
    <row r="13407" spans="24:25">
      <c r="X13407" s="19"/>
      <c r="Y13407" s="20"/>
    </row>
    <row r="13408" spans="24:25">
      <c r="X13408" s="19"/>
      <c r="Y13408" s="20"/>
    </row>
    <row r="13409" spans="24:25">
      <c r="X13409" s="19"/>
      <c r="Y13409" s="20"/>
    </row>
    <row r="13410" spans="24:25">
      <c r="X13410" s="19"/>
      <c r="Y13410" s="20"/>
    </row>
    <row r="13411" spans="24:25">
      <c r="X13411" s="19"/>
      <c r="Y13411" s="20"/>
    </row>
    <row r="13412" spans="24:25">
      <c r="X13412" s="19"/>
      <c r="Y13412" s="20"/>
    </row>
    <row r="13413" spans="24:25">
      <c r="X13413" s="19"/>
      <c r="Y13413" s="20"/>
    </row>
    <row r="13414" spans="24:25">
      <c r="X13414" s="19"/>
      <c r="Y13414" s="20"/>
    </row>
    <row r="13415" spans="24:25">
      <c r="X13415" s="19"/>
      <c r="Y13415" s="20"/>
    </row>
    <row r="13416" spans="24:25">
      <c r="X13416" s="19"/>
      <c r="Y13416" s="20"/>
    </row>
    <row r="13417" spans="24:25">
      <c r="X13417" s="19"/>
      <c r="Y13417" s="20"/>
    </row>
    <row r="13418" spans="24:25">
      <c r="X13418" s="19"/>
      <c r="Y13418" s="20"/>
    </row>
    <row r="13419" spans="24:25">
      <c r="X13419" s="19"/>
      <c r="Y13419" s="20"/>
    </row>
    <row r="13420" spans="24:25">
      <c r="X13420" s="19"/>
      <c r="Y13420" s="20"/>
    </row>
    <row r="13421" spans="24:25">
      <c r="X13421" s="19"/>
      <c r="Y13421" s="20"/>
    </row>
    <row r="13422" spans="24:25">
      <c r="X13422" s="19"/>
      <c r="Y13422" s="20"/>
    </row>
    <row r="13423" spans="24:25">
      <c r="X13423" s="19"/>
      <c r="Y13423" s="20"/>
    </row>
    <row r="13424" spans="24:25">
      <c r="X13424" s="19"/>
      <c r="Y13424" s="20"/>
    </row>
    <row r="13425" spans="24:25">
      <c r="X13425" s="19"/>
      <c r="Y13425" s="20"/>
    </row>
    <row r="13426" spans="24:25">
      <c r="X13426" s="19"/>
      <c r="Y13426" s="20"/>
    </row>
    <row r="13427" spans="24:25">
      <c r="X13427" s="19"/>
      <c r="Y13427" s="20"/>
    </row>
    <row r="13428" spans="24:25">
      <c r="X13428" s="19"/>
      <c r="Y13428" s="20"/>
    </row>
    <row r="13429" spans="24:25">
      <c r="X13429" s="19"/>
      <c r="Y13429" s="20"/>
    </row>
    <row r="13430" spans="24:25">
      <c r="X13430" s="19"/>
      <c r="Y13430" s="20"/>
    </row>
    <row r="13431" spans="24:25">
      <c r="X13431" s="19"/>
      <c r="Y13431" s="20"/>
    </row>
    <row r="13432" spans="24:25">
      <c r="X13432" s="19"/>
      <c r="Y13432" s="20"/>
    </row>
    <row r="13433" spans="24:25">
      <c r="X13433" s="19"/>
      <c r="Y13433" s="20"/>
    </row>
    <row r="13434" spans="24:25">
      <c r="X13434" s="19"/>
      <c r="Y13434" s="20"/>
    </row>
    <row r="13435" spans="24:25">
      <c r="X13435" s="19"/>
      <c r="Y13435" s="20"/>
    </row>
    <row r="13436" spans="24:25">
      <c r="X13436" s="19"/>
      <c r="Y13436" s="20"/>
    </row>
    <row r="13437" spans="24:25">
      <c r="X13437" s="19"/>
      <c r="Y13437" s="20"/>
    </row>
    <row r="13438" spans="24:25">
      <c r="X13438" s="19"/>
      <c r="Y13438" s="20"/>
    </row>
    <row r="13439" spans="24:25">
      <c r="X13439" s="19"/>
      <c r="Y13439" s="20"/>
    </row>
    <row r="13440" spans="24:25">
      <c r="X13440" s="19"/>
      <c r="Y13440" s="20"/>
    </row>
    <row r="13441" spans="24:25">
      <c r="X13441" s="19"/>
      <c r="Y13441" s="20"/>
    </row>
    <row r="13442" spans="24:25">
      <c r="X13442" s="19"/>
      <c r="Y13442" s="20"/>
    </row>
    <row r="13443" spans="24:25">
      <c r="X13443" s="19"/>
      <c r="Y13443" s="20"/>
    </row>
    <row r="13444" spans="24:25">
      <c r="X13444" s="19"/>
      <c r="Y13444" s="20"/>
    </row>
    <row r="13445" spans="24:25">
      <c r="X13445" s="19"/>
      <c r="Y13445" s="20"/>
    </row>
    <row r="13446" spans="24:25">
      <c r="X13446" s="19"/>
      <c r="Y13446" s="20"/>
    </row>
    <row r="13447" spans="24:25">
      <c r="X13447" s="19"/>
      <c r="Y13447" s="20"/>
    </row>
    <row r="13448" spans="24:25">
      <c r="X13448" s="19"/>
      <c r="Y13448" s="20"/>
    </row>
    <row r="13449" spans="24:25">
      <c r="X13449" s="19"/>
      <c r="Y13449" s="20"/>
    </row>
    <row r="13450" spans="24:25">
      <c r="X13450" s="19"/>
      <c r="Y13450" s="20"/>
    </row>
    <row r="13451" spans="24:25">
      <c r="X13451" s="19"/>
      <c r="Y13451" s="20"/>
    </row>
    <row r="13452" spans="24:25">
      <c r="X13452" s="19"/>
      <c r="Y13452" s="20"/>
    </row>
    <row r="13453" spans="24:25">
      <c r="X13453" s="19"/>
      <c r="Y13453" s="20"/>
    </row>
    <row r="13454" spans="24:25">
      <c r="X13454" s="19"/>
      <c r="Y13454" s="20"/>
    </row>
    <row r="13455" spans="24:25">
      <c r="X13455" s="19"/>
      <c r="Y13455" s="20"/>
    </row>
    <row r="13456" spans="24:25">
      <c r="X13456" s="19"/>
      <c r="Y13456" s="20"/>
    </row>
    <row r="13457" spans="24:25">
      <c r="X13457" s="19"/>
      <c r="Y13457" s="20"/>
    </row>
    <row r="13458" spans="24:25">
      <c r="X13458" s="19"/>
      <c r="Y13458" s="20"/>
    </row>
    <row r="13459" spans="24:25">
      <c r="X13459" s="19"/>
      <c r="Y13459" s="20"/>
    </row>
    <row r="13460" spans="24:25">
      <c r="X13460" s="19"/>
      <c r="Y13460" s="20"/>
    </row>
    <row r="13461" spans="24:25">
      <c r="X13461" s="19"/>
      <c r="Y13461" s="20"/>
    </row>
    <row r="13462" spans="24:25">
      <c r="X13462" s="19"/>
      <c r="Y13462" s="20"/>
    </row>
    <row r="13463" spans="24:25">
      <c r="X13463" s="19"/>
      <c r="Y13463" s="20"/>
    </row>
    <row r="13464" spans="24:25">
      <c r="X13464" s="19"/>
      <c r="Y13464" s="20"/>
    </row>
    <row r="13465" spans="24:25">
      <c r="X13465" s="19"/>
      <c r="Y13465" s="20"/>
    </row>
    <row r="13466" spans="24:25">
      <c r="X13466" s="19"/>
      <c r="Y13466" s="20"/>
    </row>
    <row r="13467" spans="24:25">
      <c r="X13467" s="19"/>
      <c r="Y13467" s="20"/>
    </row>
    <row r="13468" spans="24:25">
      <c r="X13468" s="19"/>
      <c r="Y13468" s="20"/>
    </row>
    <row r="13469" spans="24:25">
      <c r="X13469" s="19"/>
      <c r="Y13469" s="20"/>
    </row>
    <row r="13470" spans="24:25">
      <c r="X13470" s="19"/>
      <c r="Y13470" s="20"/>
    </row>
    <row r="13471" spans="24:25">
      <c r="X13471" s="19"/>
      <c r="Y13471" s="20"/>
    </row>
    <row r="13472" spans="24:25">
      <c r="X13472" s="19"/>
      <c r="Y13472" s="20"/>
    </row>
    <row r="13473" spans="24:25">
      <c r="X13473" s="19"/>
      <c r="Y13473" s="20"/>
    </row>
    <row r="13474" spans="24:25">
      <c r="X13474" s="19"/>
      <c r="Y13474" s="20"/>
    </row>
    <row r="13475" spans="24:25">
      <c r="X13475" s="19"/>
      <c r="Y13475" s="20"/>
    </row>
    <row r="13476" spans="24:25">
      <c r="X13476" s="19"/>
      <c r="Y13476" s="20"/>
    </row>
    <row r="13477" spans="24:25">
      <c r="X13477" s="19"/>
      <c r="Y13477" s="20"/>
    </row>
    <row r="13478" spans="24:25">
      <c r="X13478" s="19"/>
      <c r="Y13478" s="20"/>
    </row>
    <row r="13479" spans="24:25">
      <c r="X13479" s="19"/>
      <c r="Y13479" s="20"/>
    </row>
    <row r="13480" spans="24:25">
      <c r="X13480" s="19"/>
      <c r="Y13480" s="20"/>
    </row>
    <row r="13481" spans="24:25">
      <c r="X13481" s="19"/>
      <c r="Y13481" s="20"/>
    </row>
    <row r="13482" spans="24:25">
      <c r="X13482" s="19"/>
      <c r="Y13482" s="20"/>
    </row>
    <row r="13483" spans="24:25">
      <c r="X13483" s="19"/>
      <c r="Y13483" s="20"/>
    </row>
    <row r="13484" spans="24:25">
      <c r="X13484" s="19"/>
      <c r="Y13484" s="20"/>
    </row>
    <row r="13485" spans="24:25">
      <c r="X13485" s="19"/>
      <c r="Y13485" s="20"/>
    </row>
    <row r="13486" spans="24:25">
      <c r="X13486" s="19"/>
      <c r="Y13486" s="20"/>
    </row>
    <row r="13487" spans="24:25">
      <c r="X13487" s="19"/>
      <c r="Y13487" s="20"/>
    </row>
    <row r="13488" spans="24:25">
      <c r="X13488" s="19"/>
      <c r="Y13488" s="20"/>
    </row>
    <row r="13489" spans="24:25">
      <c r="X13489" s="19"/>
      <c r="Y13489" s="20"/>
    </row>
    <row r="13490" spans="24:25">
      <c r="X13490" s="19"/>
      <c r="Y13490" s="20"/>
    </row>
    <row r="13491" spans="24:25">
      <c r="X13491" s="19"/>
      <c r="Y13491" s="20"/>
    </row>
    <row r="13492" spans="24:25">
      <c r="X13492" s="19"/>
      <c r="Y13492" s="20"/>
    </row>
    <row r="13493" spans="24:25">
      <c r="X13493" s="19"/>
      <c r="Y13493" s="20"/>
    </row>
    <row r="13494" spans="24:25">
      <c r="X13494" s="19"/>
      <c r="Y13494" s="20"/>
    </row>
    <row r="13495" spans="24:25">
      <c r="X13495" s="19"/>
      <c r="Y13495" s="20"/>
    </row>
    <row r="13496" spans="24:25">
      <c r="X13496" s="19"/>
      <c r="Y13496" s="20"/>
    </row>
    <row r="13497" spans="24:25">
      <c r="X13497" s="19"/>
      <c r="Y13497" s="20"/>
    </row>
    <row r="13498" spans="24:25">
      <c r="X13498" s="19"/>
      <c r="Y13498" s="20"/>
    </row>
    <row r="13499" spans="24:25">
      <c r="X13499" s="19"/>
      <c r="Y13499" s="20"/>
    </row>
    <row r="13500" spans="24:25">
      <c r="X13500" s="19"/>
      <c r="Y13500" s="20"/>
    </row>
    <row r="13501" spans="24:25">
      <c r="X13501" s="19"/>
      <c r="Y13501" s="20"/>
    </row>
    <row r="13502" spans="24:25">
      <c r="X13502" s="19"/>
      <c r="Y13502" s="20"/>
    </row>
    <row r="13503" spans="24:25">
      <c r="X13503" s="19"/>
      <c r="Y13503" s="20"/>
    </row>
    <row r="13504" spans="24:25">
      <c r="X13504" s="19"/>
      <c r="Y13504" s="20"/>
    </row>
    <row r="13505" spans="24:25">
      <c r="X13505" s="19"/>
      <c r="Y13505" s="20"/>
    </row>
    <row r="13506" spans="24:25">
      <c r="X13506" s="19"/>
      <c r="Y13506" s="20"/>
    </row>
    <row r="13507" spans="24:25">
      <c r="X13507" s="19"/>
      <c r="Y13507" s="20"/>
    </row>
    <row r="13508" spans="24:25">
      <c r="X13508" s="19"/>
      <c r="Y13508" s="20"/>
    </row>
    <row r="13509" spans="24:25">
      <c r="X13509" s="19"/>
      <c r="Y13509" s="20"/>
    </row>
    <row r="13510" spans="24:25">
      <c r="X13510" s="19"/>
      <c r="Y13510" s="20"/>
    </row>
    <row r="13511" spans="24:25">
      <c r="X13511" s="19"/>
      <c r="Y13511" s="20"/>
    </row>
    <row r="13512" spans="24:25">
      <c r="X13512" s="19"/>
      <c r="Y13512" s="20"/>
    </row>
    <row r="13513" spans="24:25">
      <c r="X13513" s="19"/>
      <c r="Y13513" s="20"/>
    </row>
    <row r="13514" spans="24:25">
      <c r="X13514" s="19"/>
      <c r="Y13514" s="20"/>
    </row>
    <row r="13515" spans="24:25">
      <c r="X13515" s="19"/>
      <c r="Y13515" s="20"/>
    </row>
    <row r="13516" spans="24:25">
      <c r="X13516" s="19"/>
      <c r="Y13516" s="20"/>
    </row>
    <row r="13517" spans="24:25">
      <c r="X13517" s="19"/>
      <c r="Y13517" s="20"/>
    </row>
    <row r="13518" spans="24:25">
      <c r="X13518" s="19"/>
      <c r="Y13518" s="20"/>
    </row>
    <row r="13519" spans="24:25">
      <c r="X13519" s="19"/>
      <c r="Y13519" s="20"/>
    </row>
    <row r="13520" spans="24:25">
      <c r="X13520" s="19"/>
      <c r="Y13520" s="20"/>
    </row>
    <row r="13521" spans="24:25">
      <c r="X13521" s="19"/>
      <c r="Y13521" s="20"/>
    </row>
    <row r="13522" spans="24:25">
      <c r="X13522" s="19"/>
      <c r="Y13522" s="20"/>
    </row>
    <row r="13523" spans="24:25">
      <c r="X13523" s="19"/>
      <c r="Y13523" s="20"/>
    </row>
    <row r="13524" spans="24:25">
      <c r="X13524" s="19"/>
      <c r="Y13524" s="20"/>
    </row>
    <row r="13525" spans="24:25">
      <c r="X13525" s="19"/>
      <c r="Y13525" s="20"/>
    </row>
    <row r="13526" spans="24:25">
      <c r="X13526" s="19"/>
      <c r="Y13526" s="20"/>
    </row>
    <row r="13527" spans="24:25">
      <c r="X13527" s="19"/>
      <c r="Y13527" s="20"/>
    </row>
    <row r="13528" spans="24:25">
      <c r="X13528" s="19"/>
      <c r="Y13528" s="20"/>
    </row>
    <row r="13529" spans="24:25">
      <c r="X13529" s="19"/>
      <c r="Y13529" s="20"/>
    </row>
    <row r="13530" spans="24:25">
      <c r="X13530" s="19"/>
      <c r="Y13530" s="20"/>
    </row>
    <row r="13531" spans="24:25">
      <c r="X13531" s="19"/>
      <c r="Y13531" s="20"/>
    </row>
    <row r="13532" spans="24:25">
      <c r="X13532" s="19"/>
      <c r="Y13532" s="20"/>
    </row>
    <row r="13533" spans="24:25">
      <c r="X13533" s="19"/>
      <c r="Y13533" s="20"/>
    </row>
    <row r="13534" spans="24:25">
      <c r="X13534" s="19"/>
      <c r="Y13534" s="20"/>
    </row>
    <row r="13535" spans="24:25">
      <c r="X13535" s="19"/>
      <c r="Y13535" s="20"/>
    </row>
    <row r="13536" spans="24:25">
      <c r="X13536" s="19"/>
      <c r="Y13536" s="20"/>
    </row>
    <row r="13537" spans="24:25">
      <c r="X13537" s="19"/>
      <c r="Y13537" s="20"/>
    </row>
    <row r="13538" spans="24:25">
      <c r="X13538" s="19"/>
      <c r="Y13538" s="20"/>
    </row>
    <row r="13539" spans="24:25">
      <c r="X13539" s="19"/>
      <c r="Y13539" s="20"/>
    </row>
    <row r="13540" spans="24:25">
      <c r="X13540" s="19"/>
      <c r="Y13540" s="20"/>
    </row>
    <row r="13541" spans="24:25">
      <c r="X13541" s="19"/>
      <c r="Y13541" s="20"/>
    </row>
    <row r="13542" spans="24:25">
      <c r="X13542" s="19"/>
      <c r="Y13542" s="20"/>
    </row>
    <row r="13543" spans="24:25">
      <c r="X13543" s="19"/>
      <c r="Y13543" s="20"/>
    </row>
    <row r="13544" spans="24:25">
      <c r="X13544" s="19"/>
      <c r="Y13544" s="20"/>
    </row>
    <row r="13545" spans="24:25">
      <c r="X13545" s="19"/>
      <c r="Y13545" s="20"/>
    </row>
    <row r="13546" spans="24:25">
      <c r="X13546" s="19"/>
      <c r="Y13546" s="20"/>
    </row>
    <row r="13547" spans="24:25">
      <c r="X13547" s="19"/>
      <c r="Y13547" s="20"/>
    </row>
    <row r="13548" spans="24:25">
      <c r="X13548" s="19"/>
      <c r="Y13548" s="20"/>
    </row>
    <row r="13549" spans="24:25">
      <c r="X13549" s="19"/>
      <c r="Y13549" s="20"/>
    </row>
    <row r="13550" spans="24:25">
      <c r="X13550" s="19"/>
      <c r="Y13550" s="20"/>
    </row>
    <row r="13551" spans="24:25">
      <c r="X13551" s="19"/>
      <c r="Y13551" s="20"/>
    </row>
    <row r="13552" spans="24:25">
      <c r="X13552" s="19"/>
      <c r="Y13552" s="20"/>
    </row>
    <row r="13553" spans="24:25">
      <c r="X13553" s="19"/>
      <c r="Y13553" s="20"/>
    </row>
    <row r="13554" spans="24:25">
      <c r="X13554" s="19"/>
      <c r="Y13554" s="20"/>
    </row>
    <row r="13555" spans="24:25">
      <c r="X13555" s="19"/>
      <c r="Y13555" s="20"/>
    </row>
    <row r="13556" spans="24:25">
      <c r="X13556" s="19"/>
      <c r="Y13556" s="20"/>
    </row>
    <row r="13557" spans="24:25">
      <c r="X13557" s="19"/>
      <c r="Y13557" s="20"/>
    </row>
    <row r="13558" spans="24:25">
      <c r="X13558" s="19"/>
      <c r="Y13558" s="20"/>
    </row>
    <row r="13559" spans="24:25">
      <c r="X13559" s="19"/>
      <c r="Y13559" s="20"/>
    </row>
    <row r="13560" spans="24:25">
      <c r="X13560" s="19"/>
      <c r="Y13560" s="20"/>
    </row>
    <row r="13561" spans="24:25">
      <c r="X13561" s="19"/>
      <c r="Y13561" s="20"/>
    </row>
    <row r="13562" spans="24:25">
      <c r="X13562" s="19"/>
      <c r="Y13562" s="20"/>
    </row>
    <row r="13563" spans="24:25">
      <c r="X13563" s="19"/>
      <c r="Y13563" s="20"/>
    </row>
    <row r="13564" spans="24:25">
      <c r="X13564" s="19"/>
      <c r="Y13564" s="20"/>
    </row>
    <row r="13565" spans="24:25">
      <c r="X13565" s="19"/>
      <c r="Y13565" s="20"/>
    </row>
    <row r="13566" spans="24:25">
      <c r="X13566" s="19"/>
      <c r="Y13566" s="20"/>
    </row>
    <row r="13567" spans="24:25">
      <c r="X13567" s="19"/>
      <c r="Y13567" s="20"/>
    </row>
    <row r="13568" spans="24:25">
      <c r="X13568" s="19"/>
      <c r="Y13568" s="20"/>
    </row>
    <row r="13569" spans="24:25">
      <c r="X13569" s="19"/>
      <c r="Y13569" s="20"/>
    </row>
    <row r="13570" spans="24:25">
      <c r="X13570" s="19"/>
      <c r="Y13570" s="20"/>
    </row>
    <row r="13571" spans="24:25">
      <c r="X13571" s="19"/>
      <c r="Y13571" s="20"/>
    </row>
    <row r="13572" spans="24:25">
      <c r="X13572" s="19"/>
      <c r="Y13572" s="20"/>
    </row>
    <row r="13573" spans="24:25">
      <c r="X13573" s="19"/>
      <c r="Y13573" s="20"/>
    </row>
    <row r="13574" spans="24:25">
      <c r="X13574" s="19"/>
      <c r="Y13574" s="20"/>
    </row>
    <row r="13575" spans="24:25">
      <c r="X13575" s="19"/>
      <c r="Y13575" s="20"/>
    </row>
    <row r="13576" spans="24:25">
      <c r="X13576" s="19"/>
      <c r="Y13576" s="20"/>
    </row>
    <row r="13577" spans="24:25">
      <c r="X13577" s="19"/>
      <c r="Y13577" s="20"/>
    </row>
    <row r="13578" spans="24:25">
      <c r="X13578" s="19"/>
      <c r="Y13578" s="20"/>
    </row>
    <row r="13579" spans="24:25">
      <c r="X13579" s="19"/>
      <c r="Y13579" s="20"/>
    </row>
    <row r="13580" spans="24:25">
      <c r="X13580" s="19"/>
      <c r="Y13580" s="20"/>
    </row>
    <row r="13581" spans="24:25">
      <c r="X13581" s="19"/>
      <c r="Y13581" s="20"/>
    </row>
    <row r="13582" spans="24:25">
      <c r="X13582" s="19"/>
      <c r="Y13582" s="20"/>
    </row>
    <row r="13583" spans="24:25">
      <c r="X13583" s="19"/>
      <c r="Y13583" s="20"/>
    </row>
    <row r="13584" spans="24:25">
      <c r="X13584" s="19"/>
      <c r="Y13584" s="20"/>
    </row>
    <row r="13585" spans="24:25">
      <c r="X13585" s="19"/>
      <c r="Y13585" s="20"/>
    </row>
    <row r="13586" spans="24:25">
      <c r="X13586" s="19"/>
      <c r="Y13586" s="20"/>
    </row>
    <row r="13587" spans="24:25">
      <c r="X13587" s="19"/>
      <c r="Y13587" s="20"/>
    </row>
    <row r="13588" spans="24:25">
      <c r="X13588" s="19"/>
      <c r="Y13588" s="20"/>
    </row>
    <row r="13589" spans="24:25">
      <c r="X13589" s="19"/>
      <c r="Y13589" s="20"/>
    </row>
    <row r="13590" spans="24:25">
      <c r="X13590" s="19"/>
      <c r="Y13590" s="20"/>
    </row>
    <row r="13591" spans="24:25">
      <c r="X13591" s="19"/>
      <c r="Y13591" s="20"/>
    </row>
    <row r="13592" spans="24:25">
      <c r="X13592" s="19"/>
      <c r="Y13592" s="20"/>
    </row>
    <row r="13593" spans="24:25">
      <c r="X13593" s="19"/>
      <c r="Y13593" s="20"/>
    </row>
    <row r="13594" spans="24:25">
      <c r="X13594" s="19"/>
      <c r="Y13594" s="20"/>
    </row>
    <row r="13595" spans="24:25">
      <c r="X13595" s="19"/>
      <c r="Y13595" s="20"/>
    </row>
    <row r="13596" spans="24:25">
      <c r="X13596" s="19"/>
      <c r="Y13596" s="20"/>
    </row>
    <row r="13597" spans="24:25">
      <c r="X13597" s="19"/>
      <c r="Y13597" s="20"/>
    </row>
    <row r="13598" spans="24:25">
      <c r="X13598" s="19"/>
      <c r="Y13598" s="20"/>
    </row>
    <row r="13599" spans="24:25">
      <c r="X13599" s="19"/>
      <c r="Y13599" s="20"/>
    </row>
    <row r="13600" spans="24:25">
      <c r="X13600" s="19"/>
      <c r="Y13600" s="20"/>
    </row>
    <row r="13601" spans="24:25">
      <c r="X13601" s="19"/>
      <c r="Y13601" s="20"/>
    </row>
    <row r="13602" spans="24:25">
      <c r="X13602" s="19"/>
      <c r="Y13602" s="20"/>
    </row>
    <row r="13603" spans="24:25">
      <c r="X13603" s="19"/>
      <c r="Y13603" s="20"/>
    </row>
    <row r="13604" spans="24:25">
      <c r="X13604" s="19"/>
      <c r="Y13604" s="20"/>
    </row>
    <row r="13605" spans="24:25">
      <c r="X13605" s="19"/>
      <c r="Y13605" s="20"/>
    </row>
    <row r="13606" spans="24:25">
      <c r="X13606" s="19"/>
      <c r="Y13606" s="20"/>
    </row>
    <row r="13607" spans="24:25">
      <c r="X13607" s="19"/>
      <c r="Y13607" s="20"/>
    </row>
    <row r="13608" spans="24:25">
      <c r="X13608" s="19"/>
      <c r="Y13608" s="20"/>
    </row>
    <row r="13609" spans="24:25">
      <c r="X13609" s="19"/>
      <c r="Y13609" s="20"/>
    </row>
    <row r="13610" spans="24:25">
      <c r="X13610" s="19"/>
      <c r="Y13610" s="20"/>
    </row>
    <row r="13611" spans="24:25">
      <c r="X13611" s="19"/>
      <c r="Y13611" s="20"/>
    </row>
    <row r="13612" spans="24:25">
      <c r="X13612" s="19"/>
      <c r="Y13612" s="20"/>
    </row>
    <row r="13613" spans="24:25">
      <c r="X13613" s="19"/>
      <c r="Y13613" s="20"/>
    </row>
    <row r="13614" spans="24:25">
      <c r="X13614" s="19"/>
      <c r="Y13614" s="20"/>
    </row>
    <row r="13615" spans="24:25">
      <c r="X13615" s="19"/>
      <c r="Y13615" s="20"/>
    </row>
    <row r="13616" spans="24:25">
      <c r="X13616" s="19"/>
      <c r="Y13616" s="20"/>
    </row>
    <row r="13617" spans="24:25">
      <c r="X13617" s="19"/>
      <c r="Y13617" s="20"/>
    </row>
    <row r="13618" spans="24:25">
      <c r="X13618" s="19"/>
      <c r="Y13618" s="20"/>
    </row>
    <row r="13619" spans="24:25">
      <c r="X13619" s="19"/>
      <c r="Y13619" s="20"/>
    </row>
    <row r="13620" spans="24:25">
      <c r="X13620" s="19"/>
      <c r="Y13620" s="20"/>
    </row>
    <row r="13621" spans="24:25">
      <c r="X13621" s="19"/>
      <c r="Y13621" s="20"/>
    </row>
    <row r="13622" spans="24:25">
      <c r="X13622" s="19"/>
      <c r="Y13622" s="20"/>
    </row>
    <row r="13623" spans="24:25">
      <c r="X13623" s="19"/>
      <c r="Y13623" s="20"/>
    </row>
    <row r="13624" spans="24:25">
      <c r="X13624" s="19"/>
      <c r="Y13624" s="20"/>
    </row>
    <row r="13625" spans="24:25">
      <c r="X13625" s="19"/>
      <c r="Y13625" s="20"/>
    </row>
    <row r="13626" spans="24:25">
      <c r="X13626" s="19"/>
      <c r="Y13626" s="20"/>
    </row>
    <row r="13627" spans="24:25">
      <c r="X13627" s="19"/>
      <c r="Y13627" s="20"/>
    </row>
    <row r="13628" spans="24:25">
      <c r="X13628" s="19"/>
      <c r="Y13628" s="20"/>
    </row>
    <row r="13629" spans="24:25">
      <c r="X13629" s="19"/>
      <c r="Y13629" s="20"/>
    </row>
    <row r="13630" spans="24:25">
      <c r="X13630" s="19"/>
      <c r="Y13630" s="20"/>
    </row>
    <row r="13631" spans="24:25">
      <c r="X13631" s="19"/>
      <c r="Y13631" s="20"/>
    </row>
    <row r="13632" spans="24:25">
      <c r="X13632" s="19"/>
      <c r="Y13632" s="20"/>
    </row>
    <row r="13633" spans="24:25">
      <c r="X13633" s="19"/>
      <c r="Y13633" s="20"/>
    </row>
    <row r="13634" spans="24:25">
      <c r="X13634" s="19"/>
      <c r="Y13634" s="20"/>
    </row>
    <row r="13635" spans="24:25">
      <c r="X13635" s="19"/>
      <c r="Y13635" s="20"/>
    </row>
    <row r="13636" spans="24:25">
      <c r="X13636" s="19"/>
      <c r="Y13636" s="20"/>
    </row>
    <row r="13637" spans="24:25">
      <c r="X13637" s="19"/>
      <c r="Y13637" s="20"/>
    </row>
    <row r="13638" spans="24:25">
      <c r="X13638" s="19"/>
      <c r="Y13638" s="20"/>
    </row>
    <row r="13639" spans="24:25">
      <c r="X13639" s="19"/>
      <c r="Y13639" s="20"/>
    </row>
    <row r="13640" spans="24:25">
      <c r="X13640" s="19"/>
      <c r="Y13640" s="20"/>
    </row>
    <row r="13641" spans="24:25">
      <c r="X13641" s="19"/>
      <c r="Y13641" s="20"/>
    </row>
    <row r="13642" spans="24:25">
      <c r="X13642" s="19"/>
      <c r="Y13642" s="20"/>
    </row>
    <row r="13643" spans="24:25">
      <c r="X13643" s="19"/>
      <c r="Y13643" s="20"/>
    </row>
    <row r="13644" spans="24:25">
      <c r="X13644" s="19"/>
      <c r="Y13644" s="20"/>
    </row>
    <row r="13645" spans="24:25">
      <c r="X13645" s="19"/>
      <c r="Y13645" s="20"/>
    </row>
    <row r="13646" spans="24:25">
      <c r="X13646" s="19"/>
      <c r="Y13646" s="20"/>
    </row>
    <row r="13647" spans="24:25">
      <c r="X13647" s="19"/>
      <c r="Y13647" s="20"/>
    </row>
    <row r="13648" spans="24:25">
      <c r="X13648" s="19"/>
      <c r="Y13648" s="20"/>
    </row>
    <row r="13649" spans="24:25">
      <c r="X13649" s="19"/>
      <c r="Y13649" s="20"/>
    </row>
    <row r="13650" spans="24:25">
      <c r="X13650" s="19"/>
      <c r="Y13650" s="20"/>
    </row>
    <row r="13651" spans="24:25">
      <c r="X13651" s="19"/>
      <c r="Y13651" s="20"/>
    </row>
    <row r="13652" spans="24:25">
      <c r="X13652" s="19"/>
      <c r="Y13652" s="20"/>
    </row>
    <row r="13653" spans="24:25">
      <c r="X13653" s="19"/>
      <c r="Y13653" s="20"/>
    </row>
    <row r="13654" spans="24:25">
      <c r="X13654" s="19"/>
      <c r="Y13654" s="20"/>
    </row>
    <row r="13655" spans="24:25">
      <c r="X13655" s="19"/>
      <c r="Y13655" s="20"/>
    </row>
    <row r="13656" spans="24:25">
      <c r="X13656" s="19"/>
      <c r="Y13656" s="20"/>
    </row>
    <row r="13657" spans="24:25">
      <c r="X13657" s="19"/>
      <c r="Y13657" s="20"/>
    </row>
    <row r="13658" spans="24:25">
      <c r="X13658" s="19"/>
      <c r="Y13658" s="20"/>
    </row>
    <row r="13659" spans="24:25">
      <c r="X13659" s="19"/>
      <c r="Y13659" s="20"/>
    </row>
    <row r="13660" spans="24:25">
      <c r="X13660" s="19"/>
      <c r="Y13660" s="20"/>
    </row>
    <row r="13661" spans="24:25">
      <c r="X13661" s="19"/>
      <c r="Y13661" s="20"/>
    </row>
    <row r="13662" spans="24:25">
      <c r="X13662" s="19"/>
      <c r="Y13662" s="20"/>
    </row>
    <row r="13663" spans="24:25">
      <c r="X13663" s="19"/>
      <c r="Y13663" s="20"/>
    </row>
    <row r="13664" spans="24:25">
      <c r="X13664" s="19"/>
      <c r="Y13664" s="20"/>
    </row>
    <row r="13665" spans="24:25">
      <c r="X13665" s="19"/>
      <c r="Y13665" s="20"/>
    </row>
    <row r="13666" spans="24:25">
      <c r="X13666" s="19"/>
      <c r="Y13666" s="20"/>
    </row>
    <row r="13667" spans="24:25">
      <c r="X13667" s="19"/>
      <c r="Y13667" s="20"/>
    </row>
    <row r="13668" spans="24:25">
      <c r="X13668" s="19"/>
      <c r="Y13668" s="20"/>
    </row>
    <row r="13669" spans="24:25">
      <c r="X13669" s="19"/>
      <c r="Y13669" s="20"/>
    </row>
    <row r="13670" spans="24:25">
      <c r="X13670" s="19"/>
      <c r="Y13670" s="20"/>
    </row>
    <row r="13671" spans="24:25">
      <c r="X13671" s="19"/>
      <c r="Y13671" s="20"/>
    </row>
    <row r="13672" spans="24:25">
      <c r="X13672" s="19"/>
      <c r="Y13672" s="20"/>
    </row>
    <row r="13673" spans="24:25">
      <c r="X13673" s="19"/>
      <c r="Y13673" s="20"/>
    </row>
    <row r="13674" spans="24:25">
      <c r="X13674" s="19"/>
      <c r="Y13674" s="20"/>
    </row>
    <row r="13675" spans="24:25">
      <c r="X13675" s="19"/>
      <c r="Y13675" s="20"/>
    </row>
    <row r="13676" spans="24:25">
      <c r="X13676" s="19"/>
      <c r="Y13676" s="20"/>
    </row>
    <row r="13677" spans="24:25">
      <c r="X13677" s="19"/>
      <c r="Y13677" s="20"/>
    </row>
    <row r="13678" spans="24:25">
      <c r="X13678" s="19"/>
      <c r="Y13678" s="20"/>
    </row>
    <row r="13679" spans="24:25">
      <c r="X13679" s="19"/>
      <c r="Y13679" s="20"/>
    </row>
    <row r="13680" spans="24:25">
      <c r="X13680" s="19"/>
      <c r="Y13680" s="20"/>
    </row>
    <row r="13681" spans="24:25">
      <c r="X13681" s="19"/>
      <c r="Y13681" s="20"/>
    </row>
    <row r="13682" spans="24:25">
      <c r="X13682" s="19"/>
      <c r="Y13682" s="20"/>
    </row>
    <row r="13683" spans="24:25">
      <c r="X13683" s="19"/>
      <c r="Y13683" s="20"/>
    </row>
    <row r="13684" spans="24:25">
      <c r="X13684" s="19"/>
      <c r="Y13684" s="20"/>
    </row>
    <row r="13685" spans="24:25">
      <c r="X13685" s="19"/>
      <c r="Y13685" s="20"/>
    </row>
    <row r="13686" spans="24:25">
      <c r="X13686" s="19"/>
      <c r="Y13686" s="20"/>
    </row>
    <row r="13687" spans="24:25">
      <c r="X13687" s="19"/>
      <c r="Y13687" s="20"/>
    </row>
    <row r="13688" spans="24:25">
      <c r="X13688" s="19"/>
      <c r="Y13688" s="20"/>
    </row>
    <row r="13689" spans="24:25">
      <c r="X13689" s="19"/>
      <c r="Y13689" s="20"/>
    </row>
    <row r="13690" spans="24:25">
      <c r="X13690" s="19"/>
      <c r="Y13690" s="20"/>
    </row>
    <row r="13691" spans="24:25">
      <c r="X13691" s="19"/>
      <c r="Y13691" s="20"/>
    </row>
    <row r="13692" spans="24:25">
      <c r="X13692" s="19"/>
      <c r="Y13692" s="20"/>
    </row>
    <row r="13693" spans="24:25">
      <c r="X13693" s="19"/>
      <c r="Y13693" s="20"/>
    </row>
    <row r="13694" spans="24:25">
      <c r="X13694" s="19"/>
      <c r="Y13694" s="20"/>
    </row>
    <row r="13695" spans="24:25">
      <c r="X13695" s="19"/>
      <c r="Y13695" s="20"/>
    </row>
    <row r="13696" spans="24:25">
      <c r="X13696" s="19"/>
      <c r="Y13696" s="20"/>
    </row>
    <row r="13697" spans="24:25">
      <c r="X13697" s="19"/>
      <c r="Y13697" s="20"/>
    </row>
    <row r="13698" spans="24:25">
      <c r="X13698" s="19"/>
      <c r="Y13698" s="20"/>
    </row>
    <row r="13699" spans="24:25">
      <c r="X13699" s="19"/>
      <c r="Y13699" s="20"/>
    </row>
    <row r="13700" spans="24:25">
      <c r="X13700" s="19"/>
      <c r="Y13700" s="20"/>
    </row>
    <row r="13701" spans="24:25">
      <c r="X13701" s="19"/>
      <c r="Y13701" s="20"/>
    </row>
    <row r="13702" spans="24:25">
      <c r="X13702" s="19"/>
      <c r="Y13702" s="20"/>
    </row>
    <row r="13703" spans="24:25">
      <c r="X13703" s="19"/>
      <c r="Y13703" s="20"/>
    </row>
    <row r="13704" spans="24:25">
      <c r="X13704" s="19"/>
      <c r="Y13704" s="20"/>
    </row>
    <row r="13705" spans="24:25">
      <c r="X13705" s="19"/>
      <c r="Y13705" s="20"/>
    </row>
    <row r="13706" spans="24:25">
      <c r="X13706" s="19"/>
      <c r="Y13706" s="20"/>
    </row>
    <row r="13707" spans="24:25">
      <c r="X13707" s="19"/>
      <c r="Y13707" s="20"/>
    </row>
    <row r="13708" spans="24:25">
      <c r="X13708" s="19"/>
      <c r="Y13708" s="20"/>
    </row>
    <row r="13709" spans="24:25">
      <c r="X13709" s="19"/>
      <c r="Y13709" s="20"/>
    </row>
    <row r="13710" spans="24:25">
      <c r="X13710" s="19"/>
      <c r="Y13710" s="20"/>
    </row>
    <row r="13711" spans="24:25">
      <c r="X13711" s="19"/>
      <c r="Y13711" s="20"/>
    </row>
    <row r="13712" spans="24:25">
      <c r="X13712" s="19"/>
      <c r="Y13712" s="20"/>
    </row>
    <row r="13713" spans="24:25">
      <c r="X13713" s="19"/>
      <c r="Y13713" s="20"/>
    </row>
    <row r="13714" spans="24:25">
      <c r="X13714" s="19"/>
      <c r="Y13714" s="20"/>
    </row>
    <row r="13715" spans="24:25">
      <c r="X13715" s="19"/>
      <c r="Y13715" s="20"/>
    </row>
    <row r="13716" spans="24:25">
      <c r="X13716" s="19"/>
      <c r="Y13716" s="20"/>
    </row>
    <row r="13717" spans="24:25">
      <c r="X13717" s="19"/>
      <c r="Y13717" s="20"/>
    </row>
    <row r="13718" spans="24:25">
      <c r="X13718" s="19"/>
      <c r="Y13718" s="20"/>
    </row>
    <row r="13719" spans="24:25">
      <c r="X13719" s="19"/>
      <c r="Y13719" s="20"/>
    </row>
    <row r="13720" spans="24:25">
      <c r="X13720" s="19"/>
      <c r="Y13720" s="20"/>
    </row>
    <row r="13721" spans="24:25">
      <c r="X13721" s="19"/>
      <c r="Y13721" s="20"/>
    </row>
    <row r="13722" spans="24:25">
      <c r="X13722" s="19"/>
      <c r="Y13722" s="20"/>
    </row>
    <row r="13723" spans="24:25">
      <c r="X13723" s="19"/>
      <c r="Y13723" s="20"/>
    </row>
    <row r="13724" spans="24:25">
      <c r="X13724" s="19"/>
      <c r="Y13724" s="20"/>
    </row>
    <row r="13725" spans="24:25">
      <c r="X13725" s="19"/>
      <c r="Y13725" s="20"/>
    </row>
    <row r="13726" spans="24:25">
      <c r="X13726" s="19"/>
      <c r="Y13726" s="20"/>
    </row>
    <row r="13727" spans="24:25">
      <c r="X13727" s="19"/>
      <c r="Y13727" s="20"/>
    </row>
    <row r="13728" spans="24:25">
      <c r="X13728" s="19"/>
      <c r="Y13728" s="20"/>
    </row>
    <row r="13729" spans="24:25">
      <c r="X13729" s="19"/>
      <c r="Y13729" s="20"/>
    </row>
    <row r="13730" spans="24:25">
      <c r="X13730" s="19"/>
      <c r="Y13730" s="20"/>
    </row>
    <row r="13731" spans="24:25">
      <c r="X13731" s="19"/>
      <c r="Y13731" s="20"/>
    </row>
    <row r="13732" spans="24:25">
      <c r="X13732" s="19"/>
      <c r="Y13732" s="20"/>
    </row>
    <row r="13733" spans="24:25">
      <c r="X13733" s="19"/>
      <c r="Y13733" s="20"/>
    </row>
    <row r="13734" spans="24:25">
      <c r="X13734" s="19"/>
      <c r="Y13734" s="20"/>
    </row>
    <row r="13735" spans="24:25">
      <c r="X13735" s="19"/>
      <c r="Y13735" s="20"/>
    </row>
    <row r="13736" spans="24:25">
      <c r="X13736" s="19"/>
      <c r="Y13736" s="20"/>
    </row>
    <row r="13737" spans="24:25">
      <c r="X13737" s="19"/>
      <c r="Y13737" s="20"/>
    </row>
    <row r="13738" spans="24:25">
      <c r="X13738" s="19"/>
      <c r="Y13738" s="20"/>
    </row>
    <row r="13739" spans="24:25">
      <c r="X13739" s="19"/>
      <c r="Y13739" s="20"/>
    </row>
    <row r="13740" spans="24:25">
      <c r="X13740" s="19"/>
      <c r="Y13740" s="20"/>
    </row>
    <row r="13741" spans="24:25">
      <c r="X13741" s="19"/>
      <c r="Y13741" s="20"/>
    </row>
    <row r="13742" spans="24:25">
      <c r="X13742" s="19"/>
      <c r="Y13742" s="20"/>
    </row>
    <row r="13743" spans="24:25">
      <c r="X13743" s="19"/>
      <c r="Y13743" s="20"/>
    </row>
    <row r="13744" spans="24:25">
      <c r="X13744" s="19"/>
      <c r="Y13744" s="20"/>
    </row>
    <row r="13745" spans="24:25">
      <c r="X13745" s="19"/>
      <c r="Y13745" s="20"/>
    </row>
    <row r="13746" spans="24:25">
      <c r="X13746" s="19"/>
      <c r="Y13746" s="20"/>
    </row>
    <row r="13747" spans="24:25">
      <c r="X13747" s="19"/>
      <c r="Y13747" s="20"/>
    </row>
    <row r="13748" spans="24:25">
      <c r="X13748" s="19"/>
      <c r="Y13748" s="20"/>
    </row>
    <row r="13749" spans="24:25">
      <c r="X13749" s="19"/>
      <c r="Y13749" s="20"/>
    </row>
    <row r="13750" spans="24:25">
      <c r="X13750" s="19"/>
      <c r="Y13750" s="20"/>
    </row>
    <row r="13751" spans="24:25">
      <c r="X13751" s="19"/>
      <c r="Y13751" s="20"/>
    </row>
    <row r="13752" spans="24:25">
      <c r="X13752" s="19"/>
      <c r="Y13752" s="20"/>
    </row>
    <row r="13753" spans="24:25">
      <c r="X13753" s="19"/>
      <c r="Y13753" s="20"/>
    </row>
    <row r="13754" spans="24:25">
      <c r="X13754" s="19"/>
      <c r="Y13754" s="20"/>
    </row>
    <row r="13755" spans="24:25">
      <c r="X13755" s="19"/>
      <c r="Y13755" s="20"/>
    </row>
    <row r="13756" spans="24:25">
      <c r="X13756" s="19"/>
      <c r="Y13756" s="20"/>
    </row>
    <row r="13757" spans="24:25">
      <c r="X13757" s="19"/>
      <c r="Y13757" s="20"/>
    </row>
    <row r="13758" spans="24:25">
      <c r="X13758" s="19"/>
      <c r="Y13758" s="20"/>
    </row>
    <row r="13759" spans="24:25">
      <c r="X13759" s="19"/>
      <c r="Y13759" s="20"/>
    </row>
    <row r="13760" spans="24:25">
      <c r="X13760" s="19"/>
      <c r="Y13760" s="20"/>
    </row>
    <row r="13761" spans="24:25">
      <c r="X13761" s="19"/>
      <c r="Y13761" s="20"/>
    </row>
    <row r="13762" spans="24:25">
      <c r="X13762" s="19"/>
      <c r="Y13762" s="20"/>
    </row>
    <row r="13763" spans="24:25">
      <c r="X13763" s="19"/>
      <c r="Y13763" s="20"/>
    </row>
    <row r="13764" spans="24:25">
      <c r="X13764" s="19"/>
      <c r="Y13764" s="20"/>
    </row>
    <row r="13765" spans="24:25">
      <c r="X13765" s="19"/>
      <c r="Y13765" s="20"/>
    </row>
    <row r="13766" spans="24:25">
      <c r="X13766" s="19"/>
      <c r="Y13766" s="20"/>
    </row>
    <row r="13767" spans="24:25">
      <c r="X13767" s="19"/>
      <c r="Y13767" s="20"/>
    </row>
    <row r="13768" spans="24:25">
      <c r="X13768" s="19"/>
      <c r="Y13768" s="20"/>
    </row>
    <row r="13769" spans="24:25">
      <c r="X13769" s="19"/>
      <c r="Y13769" s="20"/>
    </row>
    <row r="13770" spans="24:25">
      <c r="X13770" s="19"/>
      <c r="Y13770" s="20"/>
    </row>
    <row r="13771" spans="24:25">
      <c r="X13771" s="19"/>
      <c r="Y13771" s="20"/>
    </row>
    <row r="13772" spans="24:25">
      <c r="X13772" s="19"/>
      <c r="Y13772" s="20"/>
    </row>
    <row r="13773" spans="24:25">
      <c r="X13773" s="19"/>
      <c r="Y13773" s="20"/>
    </row>
    <row r="13774" spans="24:25">
      <c r="X13774" s="19"/>
      <c r="Y13774" s="20"/>
    </row>
    <row r="13775" spans="24:25">
      <c r="X13775" s="19"/>
      <c r="Y13775" s="20"/>
    </row>
    <row r="13776" spans="24:25">
      <c r="X13776" s="19"/>
      <c r="Y13776" s="20"/>
    </row>
    <row r="13777" spans="24:25">
      <c r="X13777" s="19"/>
      <c r="Y13777" s="20"/>
    </row>
    <row r="13778" spans="24:25">
      <c r="X13778" s="19"/>
      <c r="Y13778" s="20"/>
    </row>
    <row r="13779" spans="24:25">
      <c r="X13779" s="19"/>
      <c r="Y13779" s="20"/>
    </row>
    <row r="13780" spans="24:25">
      <c r="X13780" s="19"/>
      <c r="Y13780" s="20"/>
    </row>
    <row r="13781" spans="24:25">
      <c r="X13781" s="19"/>
      <c r="Y13781" s="20"/>
    </row>
    <row r="13782" spans="24:25">
      <c r="X13782" s="19"/>
      <c r="Y13782" s="20"/>
    </row>
    <row r="13783" spans="24:25">
      <c r="X13783" s="19"/>
      <c r="Y13783" s="20"/>
    </row>
    <row r="13784" spans="24:25">
      <c r="X13784" s="19"/>
      <c r="Y13784" s="20"/>
    </row>
    <row r="13785" spans="24:25">
      <c r="X13785" s="19"/>
      <c r="Y13785" s="20"/>
    </row>
    <row r="13786" spans="24:25">
      <c r="X13786" s="19"/>
      <c r="Y13786" s="20"/>
    </row>
    <row r="13787" spans="24:25">
      <c r="X13787" s="19"/>
      <c r="Y13787" s="20"/>
    </row>
    <row r="13788" spans="24:25">
      <c r="X13788" s="19"/>
      <c r="Y13788" s="20"/>
    </row>
    <row r="13789" spans="24:25">
      <c r="X13789" s="19"/>
      <c r="Y13789" s="20"/>
    </row>
    <row r="13790" spans="24:25">
      <c r="X13790" s="19"/>
      <c r="Y13790" s="20"/>
    </row>
    <row r="13791" spans="24:25">
      <c r="X13791" s="19"/>
      <c r="Y13791" s="20"/>
    </row>
    <row r="13792" spans="24:25">
      <c r="X13792" s="19"/>
      <c r="Y13792" s="20"/>
    </row>
    <row r="13793" spans="24:25">
      <c r="X13793" s="19"/>
      <c r="Y13793" s="20"/>
    </row>
    <row r="13794" spans="24:25">
      <c r="X13794" s="19"/>
      <c r="Y13794" s="20"/>
    </row>
    <row r="13795" spans="24:25">
      <c r="X13795" s="19"/>
      <c r="Y13795" s="20"/>
    </row>
    <row r="13796" spans="24:25">
      <c r="X13796" s="19"/>
      <c r="Y13796" s="20"/>
    </row>
    <row r="13797" spans="24:25">
      <c r="X13797" s="19"/>
      <c r="Y13797" s="20"/>
    </row>
    <row r="13798" spans="24:25">
      <c r="X13798" s="19"/>
      <c r="Y13798" s="20"/>
    </row>
    <row r="13799" spans="24:25">
      <c r="X13799" s="19"/>
      <c r="Y13799" s="20"/>
    </row>
    <row r="13800" spans="24:25">
      <c r="X13800" s="19"/>
      <c r="Y13800" s="20"/>
    </row>
    <row r="13801" spans="24:25">
      <c r="X13801" s="19"/>
      <c r="Y13801" s="20"/>
    </row>
    <row r="13802" spans="24:25">
      <c r="X13802" s="19"/>
      <c r="Y13802" s="20"/>
    </row>
    <row r="13803" spans="24:25">
      <c r="X13803" s="19"/>
      <c r="Y13803" s="20"/>
    </row>
    <row r="13804" spans="24:25">
      <c r="X13804" s="19"/>
      <c r="Y13804" s="20"/>
    </row>
    <row r="13805" spans="24:25">
      <c r="X13805" s="19"/>
      <c r="Y13805" s="20"/>
    </row>
    <row r="13806" spans="24:25">
      <c r="X13806" s="19"/>
      <c r="Y13806" s="20"/>
    </row>
    <row r="13807" spans="24:25">
      <c r="X13807" s="19"/>
      <c r="Y13807" s="20"/>
    </row>
    <row r="13808" spans="24:25">
      <c r="X13808" s="19"/>
      <c r="Y13808" s="20"/>
    </row>
    <row r="13809" spans="24:25">
      <c r="X13809" s="19"/>
      <c r="Y13809" s="20"/>
    </row>
    <row r="13810" spans="24:25">
      <c r="X13810" s="19"/>
      <c r="Y13810" s="20"/>
    </row>
    <row r="13811" spans="24:25">
      <c r="X13811" s="19"/>
      <c r="Y13811" s="20"/>
    </row>
    <row r="13812" spans="24:25">
      <c r="X13812" s="19"/>
      <c r="Y13812" s="20"/>
    </row>
    <row r="13813" spans="24:25">
      <c r="X13813" s="19"/>
      <c r="Y13813" s="20"/>
    </row>
    <row r="13814" spans="24:25">
      <c r="X13814" s="19"/>
      <c r="Y13814" s="20"/>
    </row>
    <row r="13815" spans="24:25">
      <c r="X13815" s="19"/>
      <c r="Y13815" s="20"/>
    </row>
    <row r="13816" spans="24:25">
      <c r="X13816" s="19"/>
      <c r="Y13816" s="20"/>
    </row>
    <row r="13817" spans="24:25">
      <c r="X13817" s="19"/>
      <c r="Y13817" s="20"/>
    </row>
    <row r="13818" spans="24:25">
      <c r="X13818" s="19"/>
      <c r="Y13818" s="20"/>
    </row>
    <row r="13819" spans="24:25">
      <c r="X13819" s="19"/>
      <c r="Y13819" s="20"/>
    </row>
    <row r="13820" spans="24:25">
      <c r="X13820" s="19"/>
      <c r="Y13820" s="20"/>
    </row>
    <row r="13821" spans="24:25">
      <c r="X13821" s="19"/>
      <c r="Y13821" s="20"/>
    </row>
    <row r="13822" spans="24:25">
      <c r="X13822" s="19"/>
      <c r="Y13822" s="20"/>
    </row>
    <row r="13823" spans="24:25">
      <c r="X13823" s="19"/>
      <c r="Y13823" s="20"/>
    </row>
    <row r="13824" spans="24:25">
      <c r="X13824" s="19"/>
      <c r="Y13824" s="20"/>
    </row>
    <row r="13825" spans="24:25">
      <c r="X13825" s="19"/>
      <c r="Y13825" s="20"/>
    </row>
    <row r="13826" spans="24:25">
      <c r="X13826" s="19"/>
      <c r="Y13826" s="20"/>
    </row>
    <row r="13827" spans="24:25">
      <c r="X13827" s="19"/>
      <c r="Y13827" s="20"/>
    </row>
    <row r="13828" spans="24:25">
      <c r="X13828" s="19"/>
      <c r="Y13828" s="20"/>
    </row>
    <row r="13829" spans="24:25">
      <c r="X13829" s="19"/>
      <c r="Y13829" s="20"/>
    </row>
    <row r="13830" spans="24:25">
      <c r="X13830" s="19"/>
      <c r="Y13830" s="20"/>
    </row>
    <row r="13831" spans="24:25">
      <c r="X13831" s="19"/>
      <c r="Y13831" s="20"/>
    </row>
    <row r="13832" spans="24:25">
      <c r="X13832" s="19"/>
      <c r="Y13832" s="20"/>
    </row>
    <row r="13833" spans="24:25">
      <c r="X13833" s="19"/>
      <c r="Y13833" s="20"/>
    </row>
    <row r="13834" spans="24:25">
      <c r="X13834" s="19"/>
      <c r="Y13834" s="20"/>
    </row>
    <row r="13835" spans="24:25">
      <c r="X13835" s="19"/>
      <c r="Y13835" s="20"/>
    </row>
    <row r="13836" spans="24:25">
      <c r="X13836" s="19"/>
      <c r="Y13836" s="20"/>
    </row>
    <row r="13837" spans="24:25">
      <c r="X13837" s="19"/>
      <c r="Y13837" s="20"/>
    </row>
    <row r="13838" spans="24:25">
      <c r="X13838" s="19"/>
      <c r="Y13838" s="20"/>
    </row>
    <row r="13839" spans="24:25">
      <c r="X13839" s="19"/>
      <c r="Y13839" s="20"/>
    </row>
    <row r="13840" spans="24:25">
      <c r="X13840" s="19"/>
      <c r="Y13840" s="20"/>
    </row>
    <row r="13841" spans="24:25">
      <c r="X13841" s="19"/>
      <c r="Y13841" s="20"/>
    </row>
    <row r="13842" spans="24:25">
      <c r="X13842" s="19"/>
      <c r="Y13842" s="20"/>
    </row>
    <row r="13843" spans="24:25">
      <c r="X13843" s="19"/>
      <c r="Y13843" s="20"/>
    </row>
    <row r="13844" spans="24:25">
      <c r="X13844" s="19"/>
      <c r="Y13844" s="20"/>
    </row>
    <row r="13845" spans="24:25">
      <c r="X13845" s="19"/>
      <c r="Y13845" s="20"/>
    </row>
    <row r="13846" spans="24:25">
      <c r="X13846" s="19"/>
      <c r="Y13846" s="20"/>
    </row>
    <row r="13847" spans="24:25">
      <c r="X13847" s="19"/>
      <c r="Y13847" s="20"/>
    </row>
    <row r="13848" spans="24:25">
      <c r="X13848" s="19"/>
      <c r="Y13848" s="20"/>
    </row>
    <row r="13849" spans="24:25">
      <c r="X13849" s="19"/>
      <c r="Y13849" s="20"/>
    </row>
    <row r="13850" spans="24:25">
      <c r="X13850" s="19"/>
      <c r="Y13850" s="20"/>
    </row>
    <row r="13851" spans="24:25">
      <c r="X13851" s="19"/>
      <c r="Y13851" s="20"/>
    </row>
    <row r="13852" spans="24:25">
      <c r="X13852" s="19"/>
      <c r="Y13852" s="20"/>
    </row>
    <row r="13853" spans="24:25">
      <c r="X13853" s="19"/>
      <c r="Y13853" s="20"/>
    </row>
    <row r="13854" spans="24:25">
      <c r="X13854" s="19"/>
      <c r="Y13854" s="20"/>
    </row>
    <row r="13855" spans="24:25">
      <c r="X13855" s="19"/>
      <c r="Y13855" s="20"/>
    </row>
    <row r="13856" spans="24:25">
      <c r="X13856" s="19"/>
      <c r="Y13856" s="20"/>
    </row>
    <row r="13857" spans="24:25">
      <c r="X13857" s="19"/>
      <c r="Y13857" s="20"/>
    </row>
    <row r="13858" spans="24:25">
      <c r="X13858" s="19"/>
      <c r="Y13858" s="20"/>
    </row>
    <row r="13859" spans="24:25">
      <c r="X13859" s="19"/>
      <c r="Y13859" s="20"/>
    </row>
    <row r="13860" spans="24:25">
      <c r="X13860" s="19"/>
      <c r="Y13860" s="20"/>
    </row>
    <row r="13861" spans="24:25">
      <c r="X13861" s="19"/>
      <c r="Y13861" s="20"/>
    </row>
    <row r="13862" spans="24:25">
      <c r="X13862" s="19"/>
      <c r="Y13862" s="20"/>
    </row>
    <row r="13863" spans="24:25">
      <c r="X13863" s="19"/>
      <c r="Y13863" s="20"/>
    </row>
    <row r="13864" spans="24:25">
      <c r="X13864" s="19"/>
      <c r="Y13864" s="20"/>
    </row>
    <row r="13865" spans="24:25">
      <c r="X13865" s="19"/>
      <c r="Y13865" s="20"/>
    </row>
    <row r="13866" spans="24:25">
      <c r="X13866" s="19"/>
      <c r="Y13866" s="20"/>
    </row>
    <row r="13867" spans="24:25">
      <c r="X13867" s="19"/>
      <c r="Y13867" s="20"/>
    </row>
    <row r="13868" spans="24:25">
      <c r="X13868" s="19"/>
      <c r="Y13868" s="20"/>
    </row>
    <row r="13869" spans="24:25">
      <c r="X13869" s="19"/>
      <c r="Y13869" s="20"/>
    </row>
    <row r="13870" spans="24:25">
      <c r="X13870" s="19"/>
      <c r="Y13870" s="20"/>
    </row>
    <row r="13871" spans="24:25">
      <c r="X13871" s="19"/>
      <c r="Y13871" s="20"/>
    </row>
    <row r="13872" spans="24:25">
      <c r="X13872" s="19"/>
      <c r="Y13872" s="20"/>
    </row>
    <row r="13873" spans="24:25">
      <c r="X13873" s="19"/>
      <c r="Y13873" s="20"/>
    </row>
    <row r="13874" spans="24:25">
      <c r="X13874" s="19"/>
      <c r="Y13874" s="20"/>
    </row>
    <row r="13875" spans="24:25">
      <c r="X13875" s="19"/>
      <c r="Y13875" s="20"/>
    </row>
    <row r="13876" spans="24:25">
      <c r="X13876" s="19"/>
      <c r="Y13876" s="20"/>
    </row>
    <row r="13877" spans="24:25">
      <c r="X13877" s="19"/>
      <c r="Y13877" s="20"/>
    </row>
    <row r="13878" spans="24:25">
      <c r="X13878" s="19"/>
      <c r="Y13878" s="20"/>
    </row>
    <row r="13879" spans="24:25">
      <c r="X13879" s="19"/>
      <c r="Y13879" s="20"/>
    </row>
    <row r="13880" spans="24:25">
      <c r="X13880" s="19"/>
      <c r="Y13880" s="20"/>
    </row>
    <row r="13881" spans="24:25">
      <c r="X13881" s="19"/>
      <c r="Y13881" s="20"/>
    </row>
    <row r="13882" spans="24:25">
      <c r="X13882" s="19"/>
      <c r="Y13882" s="20"/>
    </row>
    <row r="13883" spans="24:25">
      <c r="X13883" s="19"/>
      <c r="Y13883" s="20"/>
    </row>
    <row r="13884" spans="24:25">
      <c r="X13884" s="19"/>
      <c r="Y13884" s="20"/>
    </row>
    <row r="13885" spans="24:25">
      <c r="X13885" s="19"/>
      <c r="Y13885" s="20"/>
    </row>
    <row r="13886" spans="24:25">
      <c r="X13886" s="19"/>
      <c r="Y13886" s="20"/>
    </row>
    <row r="13887" spans="24:25">
      <c r="X13887" s="19"/>
      <c r="Y13887" s="20"/>
    </row>
    <row r="13888" spans="24:25">
      <c r="X13888" s="19"/>
      <c r="Y13888" s="20"/>
    </row>
    <row r="13889" spans="24:25">
      <c r="X13889" s="19"/>
      <c r="Y13889" s="20"/>
    </row>
    <row r="13890" spans="24:25">
      <c r="X13890" s="19"/>
      <c r="Y13890" s="20"/>
    </row>
    <row r="13891" spans="24:25">
      <c r="X13891" s="19"/>
      <c r="Y13891" s="20"/>
    </row>
    <row r="13892" spans="24:25">
      <c r="X13892" s="19"/>
      <c r="Y13892" s="20"/>
    </row>
    <row r="13893" spans="24:25">
      <c r="X13893" s="19"/>
      <c r="Y13893" s="20"/>
    </row>
    <row r="13894" spans="24:25">
      <c r="X13894" s="19"/>
      <c r="Y13894" s="20"/>
    </row>
    <row r="13895" spans="24:25">
      <c r="X13895" s="19"/>
      <c r="Y13895" s="20"/>
    </row>
    <row r="13896" spans="24:25">
      <c r="X13896" s="19"/>
      <c r="Y13896" s="20"/>
    </row>
    <row r="13897" spans="24:25">
      <c r="X13897" s="19"/>
      <c r="Y13897" s="20"/>
    </row>
    <row r="13898" spans="24:25">
      <c r="X13898" s="19"/>
      <c r="Y13898" s="20"/>
    </row>
    <row r="13899" spans="24:25">
      <c r="X13899" s="19"/>
      <c r="Y13899" s="20"/>
    </row>
    <row r="13900" spans="24:25">
      <c r="X13900" s="19"/>
      <c r="Y13900" s="20"/>
    </row>
    <row r="13901" spans="24:25">
      <c r="X13901" s="19"/>
      <c r="Y13901" s="20"/>
    </row>
    <row r="13902" spans="24:25">
      <c r="X13902" s="19"/>
      <c r="Y13902" s="20"/>
    </row>
    <row r="13903" spans="24:25">
      <c r="X13903" s="19"/>
      <c r="Y13903" s="20"/>
    </row>
    <row r="13904" spans="24:25">
      <c r="X13904" s="19"/>
      <c r="Y13904" s="20"/>
    </row>
    <row r="13905" spans="24:25">
      <c r="X13905" s="19"/>
      <c r="Y13905" s="20"/>
    </row>
    <row r="13906" spans="24:25">
      <c r="X13906" s="19"/>
      <c r="Y13906" s="20"/>
    </row>
    <row r="13907" spans="24:25">
      <c r="X13907" s="19"/>
      <c r="Y13907" s="20"/>
    </row>
    <row r="13908" spans="24:25">
      <c r="X13908" s="19"/>
      <c r="Y13908" s="20"/>
    </row>
    <row r="13909" spans="24:25">
      <c r="X13909" s="19"/>
      <c r="Y13909" s="20"/>
    </row>
    <row r="13910" spans="24:25">
      <c r="X13910" s="19"/>
      <c r="Y13910" s="20"/>
    </row>
    <row r="13911" spans="24:25">
      <c r="X13911" s="19"/>
      <c r="Y13911" s="20"/>
    </row>
    <row r="13912" spans="24:25">
      <c r="X13912" s="19"/>
      <c r="Y13912" s="20"/>
    </row>
    <row r="13913" spans="24:25">
      <c r="X13913" s="19"/>
      <c r="Y13913" s="20"/>
    </row>
    <row r="13914" spans="24:25">
      <c r="X13914" s="19"/>
      <c r="Y13914" s="20"/>
    </row>
    <row r="13915" spans="24:25">
      <c r="X13915" s="19"/>
      <c r="Y13915" s="20"/>
    </row>
    <row r="13916" spans="24:25">
      <c r="X13916" s="19"/>
      <c r="Y13916" s="20"/>
    </row>
    <row r="13917" spans="24:25">
      <c r="X13917" s="19"/>
      <c r="Y13917" s="20"/>
    </row>
    <row r="13918" spans="24:25">
      <c r="X13918" s="19"/>
      <c r="Y13918" s="20"/>
    </row>
    <row r="13919" spans="24:25">
      <c r="X13919" s="19"/>
      <c r="Y13919" s="20"/>
    </row>
    <row r="13920" spans="24:25">
      <c r="X13920" s="19"/>
      <c r="Y13920" s="20"/>
    </row>
    <row r="13921" spans="24:25">
      <c r="X13921" s="19"/>
      <c r="Y13921" s="20"/>
    </row>
    <row r="13922" spans="24:25">
      <c r="X13922" s="19"/>
      <c r="Y13922" s="20"/>
    </row>
    <row r="13923" spans="24:25">
      <c r="X13923" s="19"/>
      <c r="Y13923" s="20"/>
    </row>
    <row r="13924" spans="24:25">
      <c r="X13924" s="19"/>
      <c r="Y13924" s="20"/>
    </row>
    <row r="13925" spans="24:25">
      <c r="X13925" s="19"/>
      <c r="Y13925" s="20"/>
    </row>
    <row r="13926" spans="24:25">
      <c r="X13926" s="19"/>
      <c r="Y13926" s="20"/>
    </row>
    <row r="13927" spans="24:25">
      <c r="X13927" s="19"/>
      <c r="Y13927" s="20"/>
    </row>
    <row r="13928" spans="24:25">
      <c r="X13928" s="19"/>
      <c r="Y13928" s="20"/>
    </row>
    <row r="13929" spans="24:25">
      <c r="X13929" s="19"/>
      <c r="Y13929" s="20"/>
    </row>
    <row r="13930" spans="24:25">
      <c r="X13930" s="19"/>
      <c r="Y13930" s="20"/>
    </row>
    <row r="13931" spans="24:25">
      <c r="X13931" s="19"/>
      <c r="Y13931" s="20"/>
    </row>
    <row r="13932" spans="24:25">
      <c r="X13932" s="19"/>
      <c r="Y13932" s="20"/>
    </row>
    <row r="13933" spans="24:25">
      <c r="X13933" s="19"/>
      <c r="Y13933" s="20"/>
    </row>
    <row r="13934" spans="24:25">
      <c r="X13934" s="19"/>
      <c r="Y13934" s="20"/>
    </row>
    <row r="13935" spans="24:25">
      <c r="X13935" s="19"/>
      <c r="Y13935" s="20"/>
    </row>
    <row r="13936" spans="24:25">
      <c r="X13936" s="19"/>
      <c r="Y13936" s="20"/>
    </row>
    <row r="13937" spans="24:25">
      <c r="X13937" s="19"/>
      <c r="Y13937" s="20"/>
    </row>
    <row r="13938" spans="24:25">
      <c r="X13938" s="19"/>
      <c r="Y13938" s="20"/>
    </row>
    <row r="13939" spans="24:25">
      <c r="X13939" s="19"/>
      <c r="Y13939" s="20"/>
    </row>
    <row r="13940" spans="24:25">
      <c r="X13940" s="19"/>
      <c r="Y13940" s="20"/>
    </row>
    <row r="13941" spans="24:25">
      <c r="X13941" s="19"/>
      <c r="Y13941" s="20"/>
    </row>
    <row r="13942" spans="24:25">
      <c r="X13942" s="19"/>
      <c r="Y13942" s="20"/>
    </row>
    <row r="13943" spans="24:25">
      <c r="X13943" s="19"/>
      <c r="Y13943" s="20"/>
    </row>
    <row r="13944" spans="24:25">
      <c r="X13944" s="19"/>
      <c r="Y13944" s="20"/>
    </row>
    <row r="13945" spans="24:25">
      <c r="X13945" s="19"/>
      <c r="Y13945" s="20"/>
    </row>
    <row r="13946" spans="24:25">
      <c r="X13946" s="19"/>
      <c r="Y13946" s="20"/>
    </row>
    <row r="13947" spans="24:25">
      <c r="X13947" s="19"/>
      <c r="Y13947" s="20"/>
    </row>
    <row r="13948" spans="24:25">
      <c r="X13948" s="19"/>
      <c r="Y13948" s="20"/>
    </row>
    <row r="13949" spans="24:25">
      <c r="X13949" s="19"/>
      <c r="Y13949" s="20"/>
    </row>
    <row r="13950" spans="24:25">
      <c r="X13950" s="19"/>
      <c r="Y13950" s="20"/>
    </row>
    <row r="13951" spans="24:25">
      <c r="X13951" s="19"/>
      <c r="Y13951" s="20"/>
    </row>
    <row r="13952" spans="24:25">
      <c r="X13952" s="19"/>
      <c r="Y13952" s="20"/>
    </row>
    <row r="13953" spans="24:25">
      <c r="X13953" s="19"/>
      <c r="Y13953" s="20"/>
    </row>
    <row r="13954" spans="24:25">
      <c r="X13954" s="19"/>
      <c r="Y13954" s="20"/>
    </row>
    <row r="13955" spans="24:25">
      <c r="X13955" s="19"/>
      <c r="Y13955" s="20"/>
    </row>
    <row r="13956" spans="24:25">
      <c r="X13956" s="19"/>
      <c r="Y13956" s="20"/>
    </row>
    <row r="13957" spans="24:25">
      <c r="X13957" s="19"/>
      <c r="Y13957" s="20"/>
    </row>
    <row r="13958" spans="24:25">
      <c r="X13958" s="19"/>
      <c r="Y13958" s="20"/>
    </row>
    <row r="13959" spans="24:25">
      <c r="X13959" s="19"/>
      <c r="Y13959" s="20"/>
    </row>
    <row r="13960" spans="24:25">
      <c r="X13960" s="19"/>
      <c r="Y13960" s="20"/>
    </row>
    <row r="13961" spans="24:25">
      <c r="X13961" s="19"/>
      <c r="Y13961" s="20"/>
    </row>
    <row r="13962" spans="24:25">
      <c r="X13962" s="19"/>
      <c r="Y13962" s="20"/>
    </row>
    <row r="13963" spans="24:25">
      <c r="X13963" s="19"/>
      <c r="Y13963" s="20"/>
    </row>
    <row r="13964" spans="24:25">
      <c r="X13964" s="19"/>
      <c r="Y13964" s="20"/>
    </row>
    <row r="13965" spans="24:25">
      <c r="X13965" s="19"/>
      <c r="Y13965" s="20"/>
    </row>
    <row r="13966" spans="24:25">
      <c r="X13966" s="19"/>
      <c r="Y13966" s="20"/>
    </row>
    <row r="13967" spans="24:25">
      <c r="X13967" s="19"/>
      <c r="Y13967" s="20"/>
    </row>
    <row r="13968" spans="24:25">
      <c r="X13968" s="19"/>
      <c r="Y13968" s="20"/>
    </row>
    <row r="13969" spans="24:25">
      <c r="X13969" s="19"/>
      <c r="Y13969" s="20"/>
    </row>
    <row r="13970" spans="24:25">
      <c r="X13970" s="19"/>
      <c r="Y13970" s="20"/>
    </row>
    <row r="13971" spans="24:25">
      <c r="X13971" s="19"/>
      <c r="Y13971" s="20"/>
    </row>
    <row r="13972" spans="24:25">
      <c r="X13972" s="19"/>
      <c r="Y13972" s="20"/>
    </row>
    <row r="13973" spans="24:25">
      <c r="X13973" s="19"/>
      <c r="Y13973" s="20"/>
    </row>
    <row r="13974" spans="24:25">
      <c r="X13974" s="19"/>
      <c r="Y13974" s="20"/>
    </row>
    <row r="13975" spans="24:25">
      <c r="X13975" s="19"/>
      <c r="Y13975" s="20"/>
    </row>
    <row r="13976" spans="24:25">
      <c r="X13976" s="19"/>
      <c r="Y13976" s="20"/>
    </row>
    <row r="13977" spans="24:25">
      <c r="X13977" s="19"/>
      <c r="Y13977" s="20"/>
    </row>
    <row r="13978" spans="24:25">
      <c r="X13978" s="19"/>
      <c r="Y13978" s="20"/>
    </row>
    <row r="13979" spans="24:25">
      <c r="X13979" s="19"/>
      <c r="Y13979" s="20"/>
    </row>
    <row r="13980" spans="24:25">
      <c r="X13980" s="19"/>
      <c r="Y13980" s="20"/>
    </row>
    <row r="13981" spans="24:25">
      <c r="X13981" s="19"/>
      <c r="Y13981" s="20"/>
    </row>
    <row r="13982" spans="24:25">
      <c r="X13982" s="19"/>
      <c r="Y13982" s="20"/>
    </row>
    <row r="13983" spans="24:25">
      <c r="X13983" s="19"/>
      <c r="Y13983" s="20"/>
    </row>
    <row r="13984" spans="24:25">
      <c r="X13984" s="19"/>
      <c r="Y13984" s="20"/>
    </row>
    <row r="13985" spans="24:25">
      <c r="X13985" s="19"/>
      <c r="Y13985" s="20"/>
    </row>
    <row r="13986" spans="24:25">
      <c r="X13986" s="19"/>
      <c r="Y13986" s="20"/>
    </row>
    <row r="13987" spans="24:25">
      <c r="X13987" s="19"/>
      <c r="Y13987" s="20"/>
    </row>
    <row r="13988" spans="24:25">
      <c r="X13988" s="19"/>
      <c r="Y13988" s="20"/>
    </row>
    <row r="13989" spans="24:25">
      <c r="X13989" s="19"/>
      <c r="Y13989" s="20"/>
    </row>
    <row r="13990" spans="24:25">
      <c r="X13990" s="19"/>
      <c r="Y13990" s="20"/>
    </row>
    <row r="13991" spans="24:25">
      <c r="X13991" s="19"/>
      <c r="Y13991" s="20"/>
    </row>
    <row r="13992" spans="24:25">
      <c r="X13992" s="19"/>
      <c r="Y13992" s="20"/>
    </row>
    <row r="13993" spans="24:25">
      <c r="X13993" s="19"/>
      <c r="Y13993" s="20"/>
    </row>
    <row r="13994" spans="24:25">
      <c r="X13994" s="19"/>
      <c r="Y13994" s="20"/>
    </row>
    <row r="13995" spans="24:25">
      <c r="X13995" s="19"/>
      <c r="Y13995" s="20"/>
    </row>
    <row r="13996" spans="24:25">
      <c r="X13996" s="19"/>
      <c r="Y13996" s="20"/>
    </row>
    <row r="13997" spans="24:25">
      <c r="X13997" s="19"/>
      <c r="Y13997" s="20"/>
    </row>
    <row r="13998" spans="24:25">
      <c r="X13998" s="19"/>
      <c r="Y13998" s="20"/>
    </row>
    <row r="13999" spans="24:25">
      <c r="X13999" s="19"/>
      <c r="Y13999" s="20"/>
    </row>
    <row r="14000" spans="24:25">
      <c r="X14000" s="19"/>
      <c r="Y14000" s="20"/>
    </row>
    <row r="14001" spans="24:25">
      <c r="X14001" s="19"/>
      <c r="Y14001" s="20"/>
    </row>
    <row r="14002" spans="24:25">
      <c r="X14002" s="19"/>
      <c r="Y14002" s="20"/>
    </row>
    <row r="14003" spans="24:25">
      <c r="X14003" s="19"/>
      <c r="Y14003" s="20"/>
    </row>
    <row r="14004" spans="24:25">
      <c r="X14004" s="19"/>
      <c r="Y14004" s="20"/>
    </row>
    <row r="14005" spans="24:25">
      <c r="X14005" s="19"/>
      <c r="Y14005" s="20"/>
    </row>
    <row r="14006" spans="24:25">
      <c r="X14006" s="19"/>
      <c r="Y14006" s="20"/>
    </row>
    <row r="14007" spans="24:25">
      <c r="X14007" s="19"/>
      <c r="Y14007" s="20"/>
    </row>
    <row r="14008" spans="24:25">
      <c r="X14008" s="19"/>
      <c r="Y14008" s="20"/>
    </row>
    <row r="14009" spans="24:25">
      <c r="X14009" s="19"/>
      <c r="Y14009" s="20"/>
    </row>
    <row r="14010" spans="24:25">
      <c r="X14010" s="19"/>
      <c r="Y14010" s="20"/>
    </row>
    <row r="14011" spans="24:25">
      <c r="X14011" s="19"/>
      <c r="Y14011" s="20"/>
    </row>
    <row r="14012" spans="24:25">
      <c r="X14012" s="19"/>
      <c r="Y14012" s="20"/>
    </row>
    <row r="14013" spans="24:25">
      <c r="X14013" s="19"/>
      <c r="Y14013" s="20"/>
    </row>
    <row r="14014" spans="24:25">
      <c r="X14014" s="19"/>
      <c r="Y14014" s="20"/>
    </row>
    <row r="14015" spans="24:25">
      <c r="X14015" s="19"/>
      <c r="Y14015" s="20"/>
    </row>
    <row r="14016" spans="24:25">
      <c r="X14016" s="19"/>
      <c r="Y14016" s="20"/>
    </row>
    <row r="14017" spans="24:25">
      <c r="X14017" s="19"/>
      <c r="Y14017" s="20"/>
    </row>
    <row r="14018" spans="24:25">
      <c r="X14018" s="19"/>
      <c r="Y14018" s="20"/>
    </row>
    <row r="14019" spans="24:25">
      <c r="X14019" s="19"/>
      <c r="Y14019" s="20"/>
    </row>
    <row r="14020" spans="24:25">
      <c r="X14020" s="19"/>
      <c r="Y14020" s="20"/>
    </row>
    <row r="14021" spans="24:25">
      <c r="X14021" s="19"/>
      <c r="Y14021" s="20"/>
    </row>
    <row r="14022" spans="24:25">
      <c r="X14022" s="19"/>
      <c r="Y14022" s="20"/>
    </row>
    <row r="14023" spans="24:25">
      <c r="X14023" s="19"/>
      <c r="Y14023" s="20"/>
    </row>
    <row r="14024" spans="24:25">
      <c r="X14024" s="19"/>
      <c r="Y14024" s="20"/>
    </row>
    <row r="14025" spans="24:25">
      <c r="X14025" s="19"/>
      <c r="Y14025" s="20"/>
    </row>
    <row r="14026" spans="24:25">
      <c r="X14026" s="19"/>
      <c r="Y14026" s="20"/>
    </row>
    <row r="14027" spans="24:25">
      <c r="X14027" s="19"/>
      <c r="Y14027" s="20"/>
    </row>
    <row r="14028" spans="24:25">
      <c r="X14028" s="19"/>
      <c r="Y14028" s="20"/>
    </row>
    <row r="14029" spans="24:25">
      <c r="X14029" s="19"/>
      <c r="Y14029" s="20"/>
    </row>
    <row r="14030" spans="24:25">
      <c r="X14030" s="19"/>
      <c r="Y14030" s="20"/>
    </row>
    <row r="14031" spans="24:25">
      <c r="X14031" s="19"/>
      <c r="Y14031" s="20"/>
    </row>
    <row r="14032" spans="24:25">
      <c r="X14032" s="19"/>
      <c r="Y14032" s="20"/>
    </row>
    <row r="14033" spans="24:25">
      <c r="X14033" s="19"/>
      <c r="Y14033" s="20"/>
    </row>
    <row r="14034" spans="24:25">
      <c r="X14034" s="19"/>
      <c r="Y14034" s="20"/>
    </row>
    <row r="14035" spans="24:25">
      <c r="X14035" s="19"/>
      <c r="Y14035" s="20"/>
    </row>
    <row r="14036" spans="24:25">
      <c r="X14036" s="19"/>
      <c r="Y14036" s="20"/>
    </row>
    <row r="14037" spans="24:25">
      <c r="X14037" s="19"/>
      <c r="Y14037" s="20"/>
    </row>
    <row r="14038" spans="24:25">
      <c r="X14038" s="19"/>
      <c r="Y14038" s="20"/>
    </row>
    <row r="14039" spans="24:25">
      <c r="X14039" s="19"/>
      <c r="Y14039" s="20"/>
    </row>
    <row r="14040" spans="24:25">
      <c r="X14040" s="19"/>
      <c r="Y14040" s="20"/>
    </row>
    <row r="14041" spans="24:25">
      <c r="X14041" s="19"/>
      <c r="Y14041" s="20"/>
    </row>
    <row r="14042" spans="24:25">
      <c r="X14042" s="19"/>
      <c r="Y14042" s="20"/>
    </row>
    <row r="14043" spans="24:25">
      <c r="X14043" s="19"/>
      <c r="Y14043" s="20"/>
    </row>
    <row r="14044" spans="24:25">
      <c r="X14044" s="19"/>
      <c r="Y14044" s="20"/>
    </row>
    <row r="14045" spans="24:25">
      <c r="X14045" s="19"/>
      <c r="Y14045" s="20"/>
    </row>
    <row r="14046" spans="24:25">
      <c r="X14046" s="19"/>
      <c r="Y14046" s="20"/>
    </row>
    <row r="14047" spans="24:25">
      <c r="X14047" s="19"/>
      <c r="Y14047" s="20"/>
    </row>
    <row r="14048" spans="24:25">
      <c r="X14048" s="19"/>
      <c r="Y14048" s="20"/>
    </row>
    <row r="14049" spans="24:25">
      <c r="X14049" s="19"/>
      <c r="Y14049" s="20"/>
    </row>
    <row r="14050" spans="24:25">
      <c r="X14050" s="19"/>
      <c r="Y14050" s="20"/>
    </row>
    <row r="14051" spans="24:25">
      <c r="X14051" s="19"/>
      <c r="Y14051" s="20"/>
    </row>
    <row r="14052" spans="24:25">
      <c r="X14052" s="19"/>
      <c r="Y14052" s="20"/>
    </row>
    <row r="14053" spans="24:25">
      <c r="X14053" s="19"/>
      <c r="Y14053" s="20"/>
    </row>
    <row r="14054" spans="24:25">
      <c r="X14054" s="19"/>
      <c r="Y14054" s="20"/>
    </row>
    <row r="14055" spans="24:25">
      <c r="X14055" s="19"/>
      <c r="Y14055" s="20"/>
    </row>
    <row r="14056" spans="24:25">
      <c r="X14056" s="19"/>
      <c r="Y14056" s="20"/>
    </row>
    <row r="14057" spans="24:25">
      <c r="X14057" s="19"/>
      <c r="Y14057" s="20"/>
    </row>
    <row r="14058" spans="24:25">
      <c r="X14058" s="19"/>
      <c r="Y14058" s="20"/>
    </row>
    <row r="14059" spans="24:25">
      <c r="X14059" s="19"/>
      <c r="Y14059" s="20"/>
    </row>
    <row r="14060" spans="24:25">
      <c r="X14060" s="19"/>
      <c r="Y14060" s="20"/>
    </row>
    <row r="14061" spans="24:25">
      <c r="X14061" s="19"/>
      <c r="Y14061" s="20"/>
    </row>
    <row r="14062" spans="24:25">
      <c r="X14062" s="19"/>
      <c r="Y14062" s="20"/>
    </row>
    <row r="14063" spans="24:25">
      <c r="X14063" s="19"/>
      <c r="Y14063" s="20"/>
    </row>
    <row r="14064" spans="24:25">
      <c r="X14064" s="19"/>
      <c r="Y14064" s="20"/>
    </row>
    <row r="14065" spans="24:25">
      <c r="X14065" s="19"/>
      <c r="Y14065" s="20"/>
    </row>
    <row r="14066" spans="24:25">
      <c r="X14066" s="19"/>
      <c r="Y14066" s="20"/>
    </row>
    <row r="14067" spans="24:25">
      <c r="X14067" s="19"/>
      <c r="Y14067" s="20"/>
    </row>
    <row r="14068" spans="24:25">
      <c r="X14068" s="19"/>
      <c r="Y14068" s="20"/>
    </row>
    <row r="14069" spans="24:25">
      <c r="X14069" s="19"/>
      <c r="Y14069" s="20"/>
    </row>
    <row r="14070" spans="24:25">
      <c r="X14070" s="19"/>
      <c r="Y14070" s="20"/>
    </row>
    <row r="14071" spans="24:25">
      <c r="X14071" s="19"/>
      <c r="Y14071" s="20"/>
    </row>
    <row r="14072" spans="24:25">
      <c r="X14072" s="19"/>
      <c r="Y14072" s="20"/>
    </row>
    <row r="14073" spans="24:25">
      <c r="X14073" s="19"/>
      <c r="Y14073" s="20"/>
    </row>
    <row r="14074" spans="24:25">
      <c r="X14074" s="19"/>
      <c r="Y14074" s="20"/>
    </row>
    <row r="14075" spans="24:25">
      <c r="X14075" s="19"/>
      <c r="Y14075" s="20"/>
    </row>
    <row r="14076" spans="24:25">
      <c r="X14076" s="19"/>
      <c r="Y14076" s="20"/>
    </row>
    <row r="14077" spans="24:25">
      <c r="X14077" s="19"/>
      <c r="Y14077" s="20"/>
    </row>
    <row r="14078" spans="24:25">
      <c r="X14078" s="19"/>
      <c r="Y14078" s="20"/>
    </row>
    <row r="14079" spans="24:25">
      <c r="X14079" s="19"/>
      <c r="Y14079" s="20"/>
    </row>
    <row r="14080" spans="24:25">
      <c r="X14080" s="19"/>
      <c r="Y14080" s="20"/>
    </row>
    <row r="14081" spans="24:25">
      <c r="X14081" s="19"/>
      <c r="Y14081" s="20"/>
    </row>
    <row r="14082" spans="24:25">
      <c r="X14082" s="19"/>
      <c r="Y14082" s="20"/>
    </row>
    <row r="14083" spans="24:25">
      <c r="X14083" s="19"/>
      <c r="Y14083" s="20"/>
    </row>
    <row r="14084" spans="24:25">
      <c r="X14084" s="19"/>
      <c r="Y14084" s="20"/>
    </row>
    <row r="14085" spans="24:25">
      <c r="X14085" s="19"/>
      <c r="Y14085" s="20"/>
    </row>
    <row r="14086" spans="24:25">
      <c r="X14086" s="19"/>
      <c r="Y14086" s="20"/>
    </row>
    <row r="14087" spans="24:25">
      <c r="X14087" s="19"/>
      <c r="Y14087" s="20"/>
    </row>
    <row r="14088" spans="24:25">
      <c r="X14088" s="19"/>
      <c r="Y14088" s="20"/>
    </row>
    <row r="14089" spans="24:25">
      <c r="X14089" s="19"/>
      <c r="Y14089" s="20"/>
    </row>
    <row r="14090" spans="24:25">
      <c r="X14090" s="19"/>
      <c r="Y14090" s="20"/>
    </row>
    <row r="14091" spans="24:25">
      <c r="X14091" s="19"/>
      <c r="Y14091" s="20"/>
    </row>
    <row r="14092" spans="24:25">
      <c r="X14092" s="19"/>
      <c r="Y14092" s="20"/>
    </row>
    <row r="14093" spans="24:25">
      <c r="X14093" s="19"/>
      <c r="Y14093" s="20"/>
    </row>
    <row r="14094" spans="24:25">
      <c r="X14094" s="19"/>
      <c r="Y14094" s="20"/>
    </row>
    <row r="14095" spans="24:25">
      <c r="X14095" s="19"/>
      <c r="Y14095" s="20"/>
    </row>
    <row r="14096" spans="24:25">
      <c r="X14096" s="19"/>
      <c r="Y14096" s="20"/>
    </row>
    <row r="14097" spans="24:25">
      <c r="X14097" s="19"/>
      <c r="Y14097" s="20"/>
    </row>
    <row r="14098" spans="24:25">
      <c r="X14098" s="19"/>
      <c r="Y14098" s="20"/>
    </row>
    <row r="14099" spans="24:25">
      <c r="X14099" s="19"/>
      <c r="Y14099" s="20"/>
    </row>
    <row r="14100" spans="24:25">
      <c r="X14100" s="19"/>
      <c r="Y14100" s="20"/>
    </row>
    <row r="14101" spans="24:25">
      <c r="X14101" s="19"/>
      <c r="Y14101" s="20"/>
    </row>
    <row r="14102" spans="24:25">
      <c r="X14102" s="19"/>
      <c r="Y14102" s="20"/>
    </row>
    <row r="14103" spans="24:25">
      <c r="X14103" s="19"/>
      <c r="Y14103" s="20"/>
    </row>
    <row r="14104" spans="24:25">
      <c r="X14104" s="19"/>
      <c r="Y14104" s="20"/>
    </row>
    <row r="14105" spans="24:25">
      <c r="X14105" s="19"/>
      <c r="Y14105" s="20"/>
    </row>
    <row r="14106" spans="24:25">
      <c r="X14106" s="19"/>
      <c r="Y14106" s="20"/>
    </row>
    <row r="14107" spans="24:25">
      <c r="X14107" s="19"/>
      <c r="Y14107" s="20"/>
    </row>
    <row r="14108" spans="24:25">
      <c r="X14108" s="19"/>
      <c r="Y14108" s="20"/>
    </row>
    <row r="14109" spans="24:25">
      <c r="X14109" s="19"/>
      <c r="Y14109" s="20"/>
    </row>
    <row r="14110" spans="24:25">
      <c r="X14110" s="19"/>
      <c r="Y14110" s="20"/>
    </row>
    <row r="14111" spans="24:25">
      <c r="X14111" s="19"/>
      <c r="Y14111" s="20"/>
    </row>
    <row r="14112" spans="24:25">
      <c r="X14112" s="19"/>
      <c r="Y14112" s="20"/>
    </row>
    <row r="14113" spans="24:25">
      <c r="X14113" s="19"/>
      <c r="Y14113" s="20"/>
    </row>
    <row r="14114" spans="24:25">
      <c r="X14114" s="19"/>
      <c r="Y14114" s="20"/>
    </row>
    <row r="14115" spans="24:25">
      <c r="X14115" s="19"/>
      <c r="Y14115" s="20"/>
    </row>
    <row r="14116" spans="24:25">
      <c r="X14116" s="19"/>
      <c r="Y14116" s="20"/>
    </row>
    <row r="14117" spans="24:25">
      <c r="X14117" s="19"/>
      <c r="Y14117" s="20"/>
    </row>
    <row r="14118" spans="24:25">
      <c r="X14118" s="19"/>
      <c r="Y14118" s="20"/>
    </row>
    <row r="14119" spans="24:25">
      <c r="X14119" s="19"/>
      <c r="Y14119" s="20"/>
    </row>
    <row r="14120" spans="24:25">
      <c r="X14120" s="19"/>
      <c r="Y14120" s="20"/>
    </row>
    <row r="14121" spans="24:25">
      <c r="X14121" s="19"/>
      <c r="Y14121" s="20"/>
    </row>
    <row r="14122" spans="24:25">
      <c r="X14122" s="19"/>
      <c r="Y14122" s="20"/>
    </row>
    <row r="14123" spans="24:25">
      <c r="X14123" s="19"/>
      <c r="Y14123" s="20"/>
    </row>
    <row r="14124" spans="24:25">
      <c r="X14124" s="19"/>
      <c r="Y14124" s="20"/>
    </row>
    <row r="14125" spans="24:25">
      <c r="X14125" s="19"/>
      <c r="Y14125" s="20"/>
    </row>
    <row r="14126" spans="24:25">
      <c r="X14126" s="19"/>
      <c r="Y14126" s="20"/>
    </row>
    <row r="14127" spans="24:25">
      <c r="X14127" s="19"/>
      <c r="Y14127" s="20"/>
    </row>
    <row r="14128" spans="24:25">
      <c r="X14128" s="19"/>
      <c r="Y14128" s="20"/>
    </row>
    <row r="14129" spans="24:25">
      <c r="X14129" s="19"/>
      <c r="Y14129" s="20"/>
    </row>
    <row r="14130" spans="24:25">
      <c r="X14130" s="19"/>
      <c r="Y14130" s="20"/>
    </row>
    <row r="14131" spans="24:25">
      <c r="X14131" s="19"/>
      <c r="Y14131" s="20"/>
    </row>
    <row r="14132" spans="24:25">
      <c r="X14132" s="19"/>
      <c r="Y14132" s="20"/>
    </row>
    <row r="14133" spans="24:25">
      <c r="X14133" s="19"/>
      <c r="Y14133" s="20"/>
    </row>
    <row r="14134" spans="24:25">
      <c r="X14134" s="19"/>
      <c r="Y14134" s="20"/>
    </row>
    <row r="14135" spans="24:25">
      <c r="X14135" s="19"/>
      <c r="Y14135" s="20"/>
    </row>
    <row r="14136" spans="24:25">
      <c r="X14136" s="19"/>
      <c r="Y14136" s="20"/>
    </row>
    <row r="14137" spans="24:25">
      <c r="X14137" s="19"/>
      <c r="Y14137" s="20"/>
    </row>
    <row r="14138" spans="24:25">
      <c r="X14138" s="19"/>
      <c r="Y14138" s="20"/>
    </row>
    <row r="14139" spans="24:25">
      <c r="X14139" s="19"/>
      <c r="Y14139" s="20"/>
    </row>
    <row r="14140" spans="24:25">
      <c r="X14140" s="19"/>
      <c r="Y14140" s="20"/>
    </row>
    <row r="14141" spans="24:25">
      <c r="X14141" s="19"/>
      <c r="Y14141" s="20"/>
    </row>
    <row r="14142" spans="24:25">
      <c r="X14142" s="19"/>
      <c r="Y14142" s="20"/>
    </row>
    <row r="14143" spans="24:25">
      <c r="X14143" s="19"/>
      <c r="Y14143" s="20"/>
    </row>
    <row r="14144" spans="24:25">
      <c r="X14144" s="19"/>
      <c r="Y14144" s="20"/>
    </row>
    <row r="14145" spans="24:25">
      <c r="X14145" s="19"/>
      <c r="Y14145" s="20"/>
    </row>
    <row r="14146" spans="24:25">
      <c r="X14146" s="19"/>
      <c r="Y14146" s="20"/>
    </row>
    <row r="14147" spans="24:25">
      <c r="X14147" s="19"/>
      <c r="Y14147" s="20"/>
    </row>
    <row r="14148" spans="24:25">
      <c r="X14148" s="19"/>
      <c r="Y14148" s="20"/>
    </row>
    <row r="14149" spans="24:25">
      <c r="X14149" s="19"/>
      <c r="Y14149" s="20"/>
    </row>
    <row r="14150" spans="24:25">
      <c r="X14150" s="19"/>
      <c r="Y14150" s="20"/>
    </row>
    <row r="14151" spans="24:25">
      <c r="X14151" s="19"/>
      <c r="Y14151" s="20"/>
    </row>
    <row r="14152" spans="24:25">
      <c r="X14152" s="19"/>
      <c r="Y14152" s="20"/>
    </row>
    <row r="14153" spans="24:25">
      <c r="X14153" s="19"/>
      <c r="Y14153" s="20"/>
    </row>
    <row r="14154" spans="24:25">
      <c r="X14154" s="19"/>
      <c r="Y14154" s="20"/>
    </row>
    <row r="14155" spans="24:25">
      <c r="X14155" s="19"/>
      <c r="Y14155" s="20"/>
    </row>
    <row r="14156" spans="24:25">
      <c r="X14156" s="19"/>
      <c r="Y14156" s="20"/>
    </row>
    <row r="14157" spans="24:25">
      <c r="X14157" s="19"/>
      <c r="Y14157" s="20"/>
    </row>
    <row r="14158" spans="24:25">
      <c r="X14158" s="19"/>
      <c r="Y14158" s="20"/>
    </row>
    <row r="14159" spans="24:25">
      <c r="X14159" s="19"/>
      <c r="Y14159" s="20"/>
    </row>
    <row r="14160" spans="24:25">
      <c r="X14160" s="19"/>
      <c r="Y14160" s="20"/>
    </row>
    <row r="14161" spans="24:25">
      <c r="X14161" s="19"/>
      <c r="Y14161" s="20"/>
    </row>
    <row r="14162" spans="24:25">
      <c r="X14162" s="19"/>
      <c r="Y14162" s="20"/>
    </row>
    <row r="14163" spans="24:25">
      <c r="X14163" s="19"/>
      <c r="Y14163" s="20"/>
    </row>
    <row r="14164" spans="24:25">
      <c r="X14164" s="19"/>
      <c r="Y14164" s="20"/>
    </row>
    <row r="14165" spans="24:25">
      <c r="X14165" s="19"/>
      <c r="Y14165" s="20"/>
    </row>
    <row r="14166" spans="24:25">
      <c r="X14166" s="19"/>
      <c r="Y14166" s="20"/>
    </row>
    <row r="14167" spans="24:25">
      <c r="X14167" s="19"/>
      <c r="Y14167" s="20"/>
    </row>
    <row r="14168" spans="24:25">
      <c r="X14168" s="19"/>
      <c r="Y14168" s="20"/>
    </row>
    <row r="14169" spans="24:25">
      <c r="X14169" s="19"/>
      <c r="Y14169" s="20"/>
    </row>
    <row r="14170" spans="24:25">
      <c r="X14170" s="19"/>
      <c r="Y14170" s="20"/>
    </row>
    <row r="14171" spans="24:25">
      <c r="X14171" s="19"/>
      <c r="Y14171" s="20"/>
    </row>
    <row r="14172" spans="24:25">
      <c r="X14172" s="19"/>
      <c r="Y14172" s="20"/>
    </row>
    <row r="14173" spans="24:25">
      <c r="X14173" s="19"/>
      <c r="Y14173" s="20"/>
    </row>
    <row r="14174" spans="24:25">
      <c r="X14174" s="19"/>
      <c r="Y14174" s="20"/>
    </row>
    <row r="14175" spans="24:25">
      <c r="X14175" s="19"/>
      <c r="Y14175" s="20"/>
    </row>
    <row r="14176" spans="24:25">
      <c r="X14176" s="19"/>
      <c r="Y14176" s="20"/>
    </row>
    <row r="14177" spans="24:25">
      <c r="X14177" s="19"/>
      <c r="Y14177" s="20"/>
    </row>
    <row r="14178" spans="24:25">
      <c r="X14178" s="19"/>
      <c r="Y14178" s="20"/>
    </row>
    <row r="14179" spans="24:25">
      <c r="X14179" s="19"/>
      <c r="Y14179" s="20"/>
    </row>
    <row r="14180" spans="24:25">
      <c r="X14180" s="19"/>
      <c r="Y14180" s="20"/>
    </row>
    <row r="14181" spans="24:25">
      <c r="X14181" s="19"/>
      <c r="Y14181" s="20"/>
    </row>
    <row r="14182" spans="24:25">
      <c r="X14182" s="19"/>
      <c r="Y14182" s="20"/>
    </row>
    <row r="14183" spans="24:25">
      <c r="X14183" s="19"/>
      <c r="Y14183" s="20"/>
    </row>
    <row r="14184" spans="24:25">
      <c r="X14184" s="19"/>
      <c r="Y14184" s="20"/>
    </row>
    <row r="14185" spans="24:25">
      <c r="X14185" s="19"/>
      <c r="Y14185" s="20"/>
    </row>
    <row r="14186" spans="24:25">
      <c r="X14186" s="19"/>
      <c r="Y14186" s="20"/>
    </row>
    <row r="14187" spans="24:25">
      <c r="X14187" s="19"/>
      <c r="Y14187" s="20"/>
    </row>
    <row r="14188" spans="24:25">
      <c r="X14188" s="19"/>
      <c r="Y14188" s="20"/>
    </row>
    <row r="14189" spans="24:25">
      <c r="X14189" s="19"/>
      <c r="Y14189" s="20"/>
    </row>
    <row r="14190" spans="24:25">
      <c r="X14190" s="19"/>
      <c r="Y14190" s="20"/>
    </row>
    <row r="14191" spans="24:25">
      <c r="X14191" s="19"/>
      <c r="Y14191" s="20"/>
    </row>
    <row r="14192" spans="24:25">
      <c r="X14192" s="19"/>
      <c r="Y14192" s="20"/>
    </row>
    <row r="14193" spans="24:25">
      <c r="X14193" s="19"/>
      <c r="Y14193" s="20"/>
    </row>
    <row r="14194" spans="24:25">
      <c r="X14194" s="19"/>
      <c r="Y14194" s="20"/>
    </row>
    <row r="14195" spans="24:25">
      <c r="X14195" s="19"/>
      <c r="Y14195" s="20"/>
    </row>
    <row r="14196" spans="24:25">
      <c r="X14196" s="19"/>
      <c r="Y14196" s="20"/>
    </row>
    <row r="14197" spans="24:25">
      <c r="X14197" s="19"/>
      <c r="Y14197" s="20"/>
    </row>
    <row r="14198" spans="24:25">
      <c r="X14198" s="19"/>
      <c r="Y14198" s="20"/>
    </row>
    <row r="14199" spans="24:25">
      <c r="X14199" s="19"/>
      <c r="Y14199" s="20"/>
    </row>
    <row r="14200" spans="24:25">
      <c r="X14200" s="19"/>
      <c r="Y14200" s="20"/>
    </row>
    <row r="14201" spans="24:25">
      <c r="X14201" s="19"/>
      <c r="Y14201" s="20"/>
    </row>
    <row r="14202" spans="24:25">
      <c r="X14202" s="19"/>
      <c r="Y14202" s="20"/>
    </row>
    <row r="14203" spans="24:25">
      <c r="X14203" s="19"/>
      <c r="Y14203" s="20"/>
    </row>
    <row r="14204" spans="24:25">
      <c r="X14204" s="19"/>
      <c r="Y14204" s="20"/>
    </row>
    <row r="14205" spans="24:25">
      <c r="X14205" s="19"/>
      <c r="Y14205" s="20"/>
    </row>
    <row r="14206" spans="24:25">
      <c r="X14206" s="19"/>
      <c r="Y14206" s="20"/>
    </row>
    <row r="14207" spans="24:25">
      <c r="X14207" s="19"/>
      <c r="Y14207" s="20"/>
    </row>
    <row r="14208" spans="24:25">
      <c r="X14208" s="19"/>
      <c r="Y14208" s="20"/>
    </row>
    <row r="14209" spans="24:25">
      <c r="X14209" s="19"/>
      <c r="Y14209" s="20"/>
    </row>
    <row r="14210" spans="24:25">
      <c r="X14210" s="19"/>
      <c r="Y14210" s="20"/>
    </row>
    <row r="14211" spans="24:25">
      <c r="X14211" s="19"/>
      <c r="Y14211" s="20"/>
    </row>
    <row r="14212" spans="24:25">
      <c r="X14212" s="19"/>
      <c r="Y14212" s="20"/>
    </row>
    <row r="14213" spans="24:25">
      <c r="X14213" s="19"/>
      <c r="Y14213" s="20"/>
    </row>
    <row r="14214" spans="24:25">
      <c r="X14214" s="19"/>
      <c r="Y14214" s="20"/>
    </row>
    <row r="14215" spans="24:25">
      <c r="X14215" s="19"/>
      <c r="Y14215" s="20"/>
    </row>
    <row r="14216" spans="24:25">
      <c r="X14216" s="19"/>
      <c r="Y14216" s="20"/>
    </row>
    <row r="14217" spans="24:25">
      <c r="X14217" s="19"/>
      <c r="Y14217" s="20"/>
    </row>
    <row r="14218" spans="24:25">
      <c r="X14218" s="19"/>
      <c r="Y14218" s="20"/>
    </row>
    <row r="14219" spans="24:25">
      <c r="X14219" s="19"/>
      <c r="Y14219" s="20"/>
    </row>
    <row r="14220" spans="24:25">
      <c r="X14220" s="19"/>
      <c r="Y14220" s="20"/>
    </row>
    <row r="14221" spans="24:25">
      <c r="X14221" s="19"/>
      <c r="Y14221" s="20"/>
    </row>
    <row r="14222" spans="24:25">
      <c r="X14222" s="19"/>
      <c r="Y14222" s="20"/>
    </row>
    <row r="14223" spans="24:25">
      <c r="X14223" s="19"/>
      <c r="Y14223" s="20"/>
    </row>
    <row r="14224" spans="24:25">
      <c r="X14224" s="19"/>
      <c r="Y14224" s="20"/>
    </row>
    <row r="14225" spans="24:25">
      <c r="X14225" s="19"/>
      <c r="Y14225" s="20"/>
    </row>
    <row r="14226" spans="24:25">
      <c r="X14226" s="19"/>
      <c r="Y14226" s="20"/>
    </row>
    <row r="14227" spans="24:25">
      <c r="X14227" s="19"/>
      <c r="Y14227" s="20"/>
    </row>
    <row r="14228" spans="24:25">
      <c r="X14228" s="19"/>
      <c r="Y14228" s="20"/>
    </row>
    <row r="14229" spans="24:25">
      <c r="X14229" s="19"/>
      <c r="Y14229" s="20"/>
    </row>
    <row r="14230" spans="24:25">
      <c r="X14230" s="19"/>
      <c r="Y14230" s="20"/>
    </row>
    <row r="14231" spans="24:25">
      <c r="X14231" s="19"/>
      <c r="Y14231" s="20"/>
    </row>
    <row r="14232" spans="24:25">
      <c r="X14232" s="19"/>
      <c r="Y14232" s="20"/>
    </row>
    <row r="14233" spans="24:25">
      <c r="X14233" s="19"/>
      <c r="Y14233" s="20"/>
    </row>
    <row r="14234" spans="24:25">
      <c r="X14234" s="19"/>
      <c r="Y14234" s="20"/>
    </row>
    <row r="14235" spans="24:25">
      <c r="X14235" s="19"/>
      <c r="Y14235" s="20"/>
    </row>
    <row r="14236" spans="24:25">
      <c r="X14236" s="19"/>
      <c r="Y14236" s="20"/>
    </row>
    <row r="14237" spans="24:25">
      <c r="X14237" s="19"/>
      <c r="Y14237" s="20"/>
    </row>
    <row r="14238" spans="24:25">
      <c r="X14238" s="19"/>
      <c r="Y14238" s="20"/>
    </row>
    <row r="14239" spans="24:25">
      <c r="X14239" s="19"/>
      <c r="Y14239" s="20"/>
    </row>
    <row r="14240" spans="24:25">
      <c r="X14240" s="19"/>
      <c r="Y14240" s="20"/>
    </row>
    <row r="14241" spans="24:25">
      <c r="X14241" s="19"/>
      <c r="Y14241" s="20"/>
    </row>
    <row r="14242" spans="24:25">
      <c r="X14242" s="19"/>
      <c r="Y14242" s="20"/>
    </row>
    <row r="14243" spans="24:25">
      <c r="X14243" s="19"/>
      <c r="Y14243" s="20"/>
    </row>
    <row r="14244" spans="24:25">
      <c r="X14244" s="19"/>
      <c r="Y14244" s="20"/>
    </row>
    <row r="14245" spans="24:25">
      <c r="X14245" s="19"/>
      <c r="Y14245" s="20"/>
    </row>
    <row r="14246" spans="24:25">
      <c r="X14246" s="19"/>
      <c r="Y14246" s="20"/>
    </row>
    <row r="14247" spans="24:25">
      <c r="X14247" s="19"/>
      <c r="Y14247" s="20"/>
    </row>
    <row r="14248" spans="24:25">
      <c r="X14248" s="19"/>
      <c r="Y14248" s="20"/>
    </row>
    <row r="14249" spans="24:25">
      <c r="X14249" s="19"/>
      <c r="Y14249" s="20"/>
    </row>
    <row r="14250" spans="24:25">
      <c r="X14250" s="19"/>
      <c r="Y14250" s="20"/>
    </row>
    <row r="14251" spans="24:25">
      <c r="X14251" s="19"/>
      <c r="Y14251" s="20"/>
    </row>
    <row r="14252" spans="24:25">
      <c r="X14252" s="19"/>
      <c r="Y14252" s="20"/>
    </row>
    <row r="14253" spans="24:25">
      <c r="X14253" s="19"/>
      <c r="Y14253" s="20"/>
    </row>
    <row r="14254" spans="24:25">
      <c r="X14254" s="19"/>
      <c r="Y14254" s="20"/>
    </row>
    <row r="14255" spans="24:25">
      <c r="X14255" s="19"/>
      <c r="Y14255" s="20"/>
    </row>
    <row r="14256" spans="24:25">
      <c r="X14256" s="19"/>
      <c r="Y14256" s="20"/>
    </row>
    <row r="14257" spans="24:25">
      <c r="X14257" s="19"/>
      <c r="Y14257" s="20"/>
    </row>
    <row r="14258" spans="24:25">
      <c r="X14258" s="19"/>
      <c r="Y14258" s="20"/>
    </row>
    <row r="14259" spans="24:25">
      <c r="X14259" s="19"/>
      <c r="Y14259" s="20"/>
    </row>
    <row r="14260" spans="24:25">
      <c r="X14260" s="19"/>
      <c r="Y14260" s="20"/>
    </row>
    <row r="14261" spans="24:25">
      <c r="X14261" s="19"/>
      <c r="Y14261" s="20"/>
    </row>
    <row r="14262" spans="24:25">
      <c r="X14262" s="19"/>
      <c r="Y14262" s="20"/>
    </row>
    <row r="14263" spans="24:25">
      <c r="X14263" s="19"/>
      <c r="Y14263" s="20"/>
    </row>
    <row r="14264" spans="24:25">
      <c r="X14264" s="19"/>
      <c r="Y14264" s="20"/>
    </row>
    <row r="14265" spans="24:25">
      <c r="X14265" s="19"/>
      <c r="Y14265" s="20"/>
    </row>
    <row r="14266" spans="24:25">
      <c r="X14266" s="19"/>
      <c r="Y14266" s="20"/>
    </row>
    <row r="14267" spans="24:25">
      <c r="X14267" s="19"/>
      <c r="Y14267" s="20"/>
    </row>
    <row r="14268" spans="24:25">
      <c r="X14268" s="19"/>
      <c r="Y14268" s="20"/>
    </row>
    <row r="14269" spans="24:25">
      <c r="X14269" s="19"/>
      <c r="Y14269" s="20"/>
    </row>
    <row r="14270" spans="24:25">
      <c r="X14270" s="19"/>
      <c r="Y14270" s="20"/>
    </row>
    <row r="14271" spans="24:25">
      <c r="X14271" s="19"/>
      <c r="Y14271" s="20"/>
    </row>
    <row r="14272" spans="24:25">
      <c r="X14272" s="19"/>
      <c r="Y14272" s="20"/>
    </row>
    <row r="14273" spans="24:25">
      <c r="X14273" s="19"/>
      <c r="Y14273" s="20"/>
    </row>
    <row r="14274" spans="24:25">
      <c r="X14274" s="19"/>
      <c r="Y14274" s="20"/>
    </row>
    <row r="14275" spans="24:25">
      <c r="X14275" s="19"/>
      <c r="Y14275" s="20"/>
    </row>
    <row r="14276" spans="24:25">
      <c r="X14276" s="19"/>
      <c r="Y14276" s="20"/>
    </row>
    <row r="14277" spans="24:25">
      <c r="X14277" s="19"/>
      <c r="Y14277" s="20"/>
    </row>
    <row r="14278" spans="24:25">
      <c r="X14278" s="19"/>
      <c r="Y14278" s="20"/>
    </row>
    <row r="14279" spans="24:25">
      <c r="X14279" s="19"/>
      <c r="Y14279" s="20"/>
    </row>
    <row r="14280" spans="24:25">
      <c r="X14280" s="19"/>
      <c r="Y14280" s="20"/>
    </row>
    <row r="14281" spans="24:25">
      <c r="X14281" s="19"/>
      <c r="Y14281" s="20"/>
    </row>
    <row r="14282" spans="24:25">
      <c r="X14282" s="19"/>
      <c r="Y14282" s="20"/>
    </row>
    <row r="14283" spans="24:25">
      <c r="X14283" s="19"/>
      <c r="Y14283" s="20"/>
    </row>
    <row r="14284" spans="24:25">
      <c r="X14284" s="19"/>
      <c r="Y14284" s="20"/>
    </row>
    <row r="14285" spans="24:25">
      <c r="X14285" s="19"/>
      <c r="Y14285" s="20"/>
    </row>
    <row r="14286" spans="24:25">
      <c r="X14286" s="19"/>
      <c r="Y14286" s="20"/>
    </row>
    <row r="14287" spans="24:25">
      <c r="X14287" s="19"/>
      <c r="Y14287" s="20"/>
    </row>
    <row r="14288" spans="24:25">
      <c r="X14288" s="19"/>
      <c r="Y14288" s="20"/>
    </row>
    <row r="14289" spans="24:25">
      <c r="X14289" s="19"/>
      <c r="Y14289" s="20"/>
    </row>
    <row r="14290" spans="24:25">
      <c r="X14290" s="19"/>
      <c r="Y14290" s="20"/>
    </row>
    <row r="14291" spans="24:25">
      <c r="X14291" s="19"/>
      <c r="Y14291" s="20"/>
    </row>
    <row r="14292" spans="24:25">
      <c r="X14292" s="19"/>
      <c r="Y14292" s="20"/>
    </row>
    <row r="14293" spans="24:25">
      <c r="X14293" s="19"/>
      <c r="Y14293" s="20"/>
    </row>
    <row r="14294" spans="24:25">
      <c r="X14294" s="19"/>
      <c r="Y14294" s="20"/>
    </row>
    <row r="14295" spans="24:25">
      <c r="X14295" s="19"/>
      <c r="Y14295" s="20"/>
    </row>
    <row r="14296" spans="24:25">
      <c r="X14296" s="19"/>
      <c r="Y14296" s="20"/>
    </row>
    <row r="14297" spans="24:25">
      <c r="X14297" s="19"/>
      <c r="Y14297" s="20"/>
    </row>
    <row r="14298" spans="24:25">
      <c r="X14298" s="19"/>
      <c r="Y14298" s="20"/>
    </row>
    <row r="14299" spans="24:25">
      <c r="X14299" s="19"/>
      <c r="Y14299" s="20"/>
    </row>
    <row r="14300" spans="24:25">
      <c r="X14300" s="19"/>
      <c r="Y14300" s="20"/>
    </row>
    <row r="14301" spans="24:25">
      <c r="X14301" s="19"/>
      <c r="Y14301" s="20"/>
    </row>
    <row r="14302" spans="24:25">
      <c r="X14302" s="19"/>
      <c r="Y14302" s="20"/>
    </row>
    <row r="14303" spans="24:25">
      <c r="X14303" s="19"/>
      <c r="Y14303" s="20"/>
    </row>
    <row r="14304" spans="24:25">
      <c r="X14304" s="19"/>
      <c r="Y14304" s="20"/>
    </row>
    <row r="14305" spans="24:25">
      <c r="X14305" s="19"/>
      <c r="Y14305" s="20"/>
    </row>
    <row r="14306" spans="24:25">
      <c r="X14306" s="19"/>
      <c r="Y14306" s="20"/>
    </row>
    <row r="14307" spans="24:25">
      <c r="X14307" s="19"/>
      <c r="Y14307" s="20"/>
    </row>
    <row r="14308" spans="24:25">
      <c r="X14308" s="19"/>
      <c r="Y14308" s="20"/>
    </row>
    <row r="14309" spans="24:25">
      <c r="X14309" s="19"/>
      <c r="Y14309" s="20"/>
    </row>
    <row r="14310" spans="24:25">
      <c r="X14310" s="19"/>
      <c r="Y14310" s="20"/>
    </row>
    <row r="14311" spans="24:25">
      <c r="X14311" s="19"/>
      <c r="Y14311" s="20"/>
    </row>
    <row r="14312" spans="24:25">
      <c r="X14312" s="19"/>
      <c r="Y14312" s="20"/>
    </row>
    <row r="14313" spans="24:25">
      <c r="X14313" s="19"/>
      <c r="Y14313" s="20"/>
    </row>
    <row r="14314" spans="24:25">
      <c r="X14314" s="19"/>
      <c r="Y14314" s="20"/>
    </row>
    <row r="14315" spans="24:25">
      <c r="X14315" s="19"/>
      <c r="Y14315" s="20"/>
    </row>
    <row r="14316" spans="24:25">
      <c r="X14316" s="19"/>
      <c r="Y14316" s="20"/>
    </row>
    <row r="14317" spans="24:25">
      <c r="X14317" s="19"/>
      <c r="Y14317" s="20"/>
    </row>
    <row r="14318" spans="24:25">
      <c r="X14318" s="19"/>
      <c r="Y14318" s="20"/>
    </row>
    <row r="14319" spans="24:25">
      <c r="X14319" s="19"/>
      <c r="Y14319" s="20"/>
    </row>
    <row r="14320" spans="24:25">
      <c r="X14320" s="19"/>
      <c r="Y14320" s="20"/>
    </row>
    <row r="14321" spans="24:25">
      <c r="X14321" s="19"/>
      <c r="Y14321" s="20"/>
    </row>
    <row r="14322" spans="24:25">
      <c r="X14322" s="19"/>
      <c r="Y14322" s="20"/>
    </row>
    <row r="14323" spans="24:25">
      <c r="X14323" s="19"/>
      <c r="Y14323" s="20"/>
    </row>
    <row r="14324" spans="24:25">
      <c r="X14324" s="19"/>
      <c r="Y14324" s="20"/>
    </row>
    <row r="14325" spans="24:25">
      <c r="X14325" s="19"/>
      <c r="Y14325" s="20"/>
    </row>
    <row r="14326" spans="24:25">
      <c r="X14326" s="19"/>
      <c r="Y14326" s="20"/>
    </row>
    <row r="14327" spans="24:25">
      <c r="X14327" s="19"/>
      <c r="Y14327" s="20"/>
    </row>
    <row r="14328" spans="24:25">
      <c r="X14328" s="19"/>
      <c r="Y14328" s="20"/>
    </row>
    <row r="14329" spans="24:25">
      <c r="X14329" s="19"/>
      <c r="Y14329" s="20"/>
    </row>
    <row r="14330" spans="24:25">
      <c r="X14330" s="19"/>
      <c r="Y14330" s="20"/>
    </row>
    <row r="14331" spans="24:25">
      <c r="X14331" s="19"/>
      <c r="Y14331" s="20"/>
    </row>
    <row r="14332" spans="24:25">
      <c r="X14332" s="19"/>
      <c r="Y14332" s="20"/>
    </row>
    <row r="14333" spans="24:25">
      <c r="X14333" s="19"/>
      <c r="Y14333" s="20"/>
    </row>
    <row r="14334" spans="24:25">
      <c r="X14334" s="19"/>
      <c r="Y14334" s="20"/>
    </row>
    <row r="14335" spans="24:25">
      <c r="X14335" s="19"/>
      <c r="Y14335" s="20"/>
    </row>
    <row r="14336" spans="24:25">
      <c r="X14336" s="19"/>
      <c r="Y14336" s="20"/>
    </row>
    <row r="14337" spans="24:25">
      <c r="X14337" s="19"/>
      <c r="Y14337" s="20"/>
    </row>
    <row r="14338" spans="24:25">
      <c r="X14338" s="19"/>
      <c r="Y14338" s="20"/>
    </row>
    <row r="14339" spans="24:25">
      <c r="X14339" s="19"/>
      <c r="Y14339" s="20"/>
    </row>
    <row r="14340" spans="24:25">
      <c r="X14340" s="19"/>
      <c r="Y14340" s="20"/>
    </row>
    <row r="14341" spans="24:25">
      <c r="X14341" s="19"/>
      <c r="Y14341" s="20"/>
    </row>
    <row r="14342" spans="24:25">
      <c r="X14342" s="19"/>
      <c r="Y14342" s="20"/>
    </row>
    <row r="14343" spans="24:25">
      <c r="X14343" s="19"/>
      <c r="Y14343" s="20"/>
    </row>
    <row r="14344" spans="24:25">
      <c r="X14344" s="19"/>
      <c r="Y14344" s="20"/>
    </row>
    <row r="14345" spans="24:25">
      <c r="X14345" s="19"/>
      <c r="Y14345" s="20"/>
    </row>
    <row r="14346" spans="24:25">
      <c r="X14346" s="19"/>
      <c r="Y14346" s="20"/>
    </row>
    <row r="14347" spans="24:25">
      <c r="X14347" s="19"/>
      <c r="Y14347" s="20"/>
    </row>
    <row r="14348" spans="24:25">
      <c r="X14348" s="19"/>
      <c r="Y14348" s="20"/>
    </row>
    <row r="14349" spans="24:25">
      <c r="X14349" s="19"/>
      <c r="Y14349" s="20"/>
    </row>
    <row r="14350" spans="24:25">
      <c r="X14350" s="19"/>
      <c r="Y14350" s="20"/>
    </row>
    <row r="14351" spans="24:25">
      <c r="X14351" s="19"/>
      <c r="Y14351" s="20"/>
    </row>
    <row r="14352" spans="24:25">
      <c r="X14352" s="19"/>
      <c r="Y14352" s="20"/>
    </row>
    <row r="14353" spans="24:25">
      <c r="X14353" s="19"/>
      <c r="Y14353" s="20"/>
    </row>
    <row r="14354" spans="24:25">
      <c r="X14354" s="19"/>
      <c r="Y14354" s="20"/>
    </row>
    <row r="14355" spans="24:25">
      <c r="X14355" s="19"/>
      <c r="Y14355" s="20"/>
    </row>
    <row r="14356" spans="24:25">
      <c r="X14356" s="19"/>
      <c r="Y14356" s="20"/>
    </row>
    <row r="14357" spans="24:25">
      <c r="X14357" s="19"/>
      <c r="Y14357" s="20"/>
    </row>
    <row r="14358" spans="24:25">
      <c r="X14358" s="19"/>
      <c r="Y14358" s="20"/>
    </row>
    <row r="14359" spans="24:25">
      <c r="X14359" s="19"/>
      <c r="Y14359" s="20"/>
    </row>
    <row r="14360" spans="24:25">
      <c r="X14360" s="19"/>
      <c r="Y14360" s="20"/>
    </row>
    <row r="14361" spans="24:25">
      <c r="X14361" s="19"/>
      <c r="Y14361" s="20"/>
    </row>
    <row r="14362" spans="24:25">
      <c r="X14362" s="19"/>
      <c r="Y14362" s="20"/>
    </row>
    <row r="14363" spans="24:25">
      <c r="X14363" s="19"/>
      <c r="Y14363" s="20"/>
    </row>
    <row r="14364" spans="24:25">
      <c r="X14364" s="19"/>
      <c r="Y14364" s="20"/>
    </row>
    <row r="14365" spans="24:25">
      <c r="X14365" s="19"/>
      <c r="Y14365" s="20"/>
    </row>
    <row r="14366" spans="24:25">
      <c r="X14366" s="19"/>
      <c r="Y14366" s="20"/>
    </row>
    <row r="14367" spans="24:25">
      <c r="X14367" s="19"/>
      <c r="Y14367" s="20"/>
    </row>
    <row r="14368" spans="24:25">
      <c r="X14368" s="19"/>
      <c r="Y14368" s="20"/>
    </row>
    <row r="14369" spans="24:25">
      <c r="X14369" s="19"/>
      <c r="Y14369" s="20"/>
    </row>
    <row r="14370" spans="24:25">
      <c r="X14370" s="19"/>
      <c r="Y14370" s="20"/>
    </row>
    <row r="14371" spans="24:25">
      <c r="X14371" s="19"/>
      <c r="Y14371" s="20"/>
    </row>
    <row r="14372" spans="24:25">
      <c r="X14372" s="19"/>
      <c r="Y14372" s="20"/>
    </row>
    <row r="14373" spans="24:25">
      <c r="X14373" s="19"/>
      <c r="Y14373" s="20"/>
    </row>
    <row r="14374" spans="24:25">
      <c r="X14374" s="19"/>
      <c r="Y14374" s="20"/>
    </row>
    <row r="14375" spans="24:25">
      <c r="X14375" s="19"/>
      <c r="Y14375" s="20"/>
    </row>
    <row r="14376" spans="24:25">
      <c r="X14376" s="19"/>
      <c r="Y14376" s="20"/>
    </row>
    <row r="14377" spans="24:25">
      <c r="X14377" s="19"/>
      <c r="Y14377" s="20"/>
    </row>
    <row r="14378" spans="24:25">
      <c r="X14378" s="19"/>
      <c r="Y14378" s="20"/>
    </row>
    <row r="14379" spans="24:25">
      <c r="X14379" s="19"/>
      <c r="Y14379" s="20"/>
    </row>
    <row r="14380" spans="24:25">
      <c r="X14380" s="19"/>
      <c r="Y14380" s="20"/>
    </row>
    <row r="14381" spans="24:25">
      <c r="X14381" s="19"/>
      <c r="Y14381" s="20"/>
    </row>
    <row r="14382" spans="24:25">
      <c r="X14382" s="19"/>
      <c r="Y14382" s="20"/>
    </row>
    <row r="14383" spans="24:25">
      <c r="X14383" s="19"/>
      <c r="Y14383" s="20"/>
    </row>
    <row r="14384" spans="24:25">
      <c r="X14384" s="19"/>
      <c r="Y14384" s="20"/>
    </row>
    <row r="14385" spans="24:25">
      <c r="X14385" s="19"/>
      <c r="Y14385" s="20"/>
    </row>
    <row r="14386" spans="24:25">
      <c r="X14386" s="19"/>
      <c r="Y14386" s="20"/>
    </row>
    <row r="14387" spans="24:25">
      <c r="X14387" s="19"/>
      <c r="Y14387" s="20"/>
    </row>
    <row r="14388" spans="24:25">
      <c r="X14388" s="19"/>
      <c r="Y14388" s="20"/>
    </row>
    <row r="14389" spans="24:25">
      <c r="X14389" s="19"/>
      <c r="Y14389" s="20"/>
    </row>
    <row r="14390" spans="24:25">
      <c r="X14390" s="19"/>
      <c r="Y14390" s="20"/>
    </row>
    <row r="14391" spans="24:25">
      <c r="X14391" s="19"/>
      <c r="Y14391" s="20"/>
    </row>
    <row r="14392" spans="24:25">
      <c r="X14392" s="19"/>
      <c r="Y14392" s="20"/>
    </row>
    <row r="14393" spans="24:25">
      <c r="X14393" s="19"/>
      <c r="Y14393" s="20"/>
    </row>
    <row r="14394" spans="24:25">
      <c r="X14394" s="19"/>
      <c r="Y14394" s="20"/>
    </row>
    <row r="14395" spans="24:25">
      <c r="X14395" s="19"/>
      <c r="Y14395" s="20"/>
    </row>
    <row r="14396" spans="24:25">
      <c r="X14396" s="19"/>
      <c r="Y14396" s="20"/>
    </row>
    <row r="14397" spans="24:25">
      <c r="X14397" s="19"/>
      <c r="Y14397" s="20"/>
    </row>
    <row r="14398" spans="24:25">
      <c r="X14398" s="19"/>
      <c r="Y14398" s="20"/>
    </row>
    <row r="14399" spans="24:25">
      <c r="X14399" s="19"/>
      <c r="Y14399" s="20"/>
    </row>
    <row r="14400" spans="24:25">
      <c r="X14400" s="19"/>
      <c r="Y14400" s="20"/>
    </row>
    <row r="14401" spans="24:25">
      <c r="X14401" s="19"/>
      <c r="Y14401" s="20"/>
    </row>
    <row r="14402" spans="24:25">
      <c r="X14402" s="19"/>
      <c r="Y14402" s="20"/>
    </row>
    <row r="14403" spans="24:25">
      <c r="X14403" s="19"/>
      <c r="Y14403" s="20"/>
    </row>
    <row r="14404" spans="24:25">
      <c r="X14404" s="19"/>
      <c r="Y14404" s="20"/>
    </row>
    <row r="14405" spans="24:25">
      <c r="X14405" s="19"/>
      <c r="Y14405" s="20"/>
    </row>
    <row r="14406" spans="24:25">
      <c r="X14406" s="19"/>
      <c r="Y14406" s="20"/>
    </row>
    <row r="14407" spans="24:25">
      <c r="X14407" s="19"/>
      <c r="Y14407" s="20"/>
    </row>
    <row r="14408" spans="24:25">
      <c r="X14408" s="19"/>
      <c r="Y14408" s="20"/>
    </row>
    <row r="14409" spans="24:25">
      <c r="X14409" s="19"/>
      <c r="Y14409" s="20"/>
    </row>
    <row r="14410" spans="24:25">
      <c r="X14410" s="19"/>
      <c r="Y14410" s="20"/>
    </row>
    <row r="14411" spans="24:25">
      <c r="X14411" s="19"/>
      <c r="Y14411" s="20"/>
    </row>
    <row r="14412" spans="24:25">
      <c r="X14412" s="19"/>
      <c r="Y14412" s="20"/>
    </row>
    <row r="14413" spans="24:25">
      <c r="X14413" s="19"/>
      <c r="Y14413" s="20"/>
    </row>
    <row r="14414" spans="24:25">
      <c r="X14414" s="19"/>
      <c r="Y14414" s="20"/>
    </row>
    <row r="14415" spans="24:25">
      <c r="X14415" s="19"/>
      <c r="Y14415" s="20"/>
    </row>
    <row r="14416" spans="24:25">
      <c r="X14416" s="19"/>
      <c r="Y14416" s="20"/>
    </row>
    <row r="14417" spans="24:25">
      <c r="X14417" s="19"/>
      <c r="Y14417" s="20"/>
    </row>
    <row r="14418" spans="24:25">
      <c r="X14418" s="19"/>
      <c r="Y14418" s="20"/>
    </row>
    <row r="14419" spans="24:25">
      <c r="X14419" s="19"/>
      <c r="Y14419" s="20"/>
    </row>
    <row r="14420" spans="24:25">
      <c r="X14420" s="19"/>
      <c r="Y14420" s="20"/>
    </row>
    <row r="14421" spans="24:25">
      <c r="X14421" s="19"/>
      <c r="Y14421" s="20"/>
    </row>
    <row r="14422" spans="24:25">
      <c r="X14422" s="19"/>
      <c r="Y14422" s="20"/>
    </row>
    <row r="14423" spans="24:25">
      <c r="X14423" s="19"/>
      <c r="Y14423" s="20"/>
    </row>
    <row r="14424" spans="24:25">
      <c r="X14424" s="19"/>
      <c r="Y14424" s="20"/>
    </row>
    <row r="14425" spans="24:25">
      <c r="X14425" s="19"/>
      <c r="Y14425" s="20"/>
    </row>
    <row r="14426" spans="24:25">
      <c r="X14426" s="19"/>
      <c r="Y14426" s="20"/>
    </row>
    <row r="14427" spans="24:25">
      <c r="X14427" s="19"/>
      <c r="Y14427" s="20"/>
    </row>
    <row r="14428" spans="24:25">
      <c r="X14428" s="19"/>
      <c r="Y14428" s="20"/>
    </row>
    <row r="14429" spans="24:25">
      <c r="X14429" s="19"/>
      <c r="Y14429" s="20"/>
    </row>
    <row r="14430" spans="24:25">
      <c r="X14430" s="19"/>
      <c r="Y14430" s="20"/>
    </row>
    <row r="14431" spans="24:25">
      <c r="X14431" s="19"/>
      <c r="Y14431" s="20"/>
    </row>
    <row r="14432" spans="24:25">
      <c r="X14432" s="19"/>
      <c r="Y14432" s="20"/>
    </row>
    <row r="14433" spans="24:25">
      <c r="X14433" s="19"/>
      <c r="Y14433" s="20"/>
    </row>
    <row r="14434" spans="24:25">
      <c r="X14434" s="19"/>
      <c r="Y14434" s="20"/>
    </row>
    <row r="14435" spans="24:25">
      <c r="X14435" s="19"/>
      <c r="Y14435" s="20"/>
    </row>
    <row r="14436" spans="24:25">
      <c r="X14436" s="19"/>
      <c r="Y14436" s="20"/>
    </row>
    <row r="14437" spans="24:25">
      <c r="X14437" s="19"/>
      <c r="Y14437" s="20"/>
    </row>
    <row r="14438" spans="24:25">
      <c r="X14438" s="19"/>
      <c r="Y14438" s="20"/>
    </row>
    <row r="14439" spans="24:25">
      <c r="X14439" s="19"/>
      <c r="Y14439" s="20"/>
    </row>
    <row r="14440" spans="24:25">
      <c r="X14440" s="19"/>
      <c r="Y14440" s="20"/>
    </row>
    <row r="14441" spans="24:25">
      <c r="X14441" s="19"/>
      <c r="Y14441" s="20"/>
    </row>
    <row r="14442" spans="24:25">
      <c r="X14442" s="19"/>
      <c r="Y14442" s="20"/>
    </row>
    <row r="14443" spans="24:25">
      <c r="X14443" s="19"/>
      <c r="Y14443" s="20"/>
    </row>
    <row r="14444" spans="24:25">
      <c r="X14444" s="19"/>
      <c r="Y14444" s="20"/>
    </row>
    <row r="14445" spans="24:25">
      <c r="X14445" s="19"/>
      <c r="Y14445" s="20"/>
    </row>
    <row r="14446" spans="24:25">
      <c r="X14446" s="19"/>
      <c r="Y14446" s="20"/>
    </row>
    <row r="14447" spans="24:25">
      <c r="X14447" s="19"/>
      <c r="Y14447" s="20"/>
    </row>
    <row r="14448" spans="24:25">
      <c r="X14448" s="19"/>
      <c r="Y14448" s="20"/>
    </row>
    <row r="14449" spans="24:25">
      <c r="X14449" s="19"/>
      <c r="Y14449" s="20"/>
    </row>
    <row r="14450" spans="24:25">
      <c r="X14450" s="19"/>
      <c r="Y14450" s="20"/>
    </row>
    <row r="14451" spans="24:25">
      <c r="X14451" s="19"/>
      <c r="Y14451" s="20"/>
    </row>
    <row r="14452" spans="24:25">
      <c r="X14452" s="19"/>
      <c r="Y14452" s="20"/>
    </row>
    <row r="14453" spans="24:25">
      <c r="X14453" s="19"/>
      <c r="Y14453" s="20"/>
    </row>
    <row r="14454" spans="24:25">
      <c r="X14454" s="19"/>
      <c r="Y14454" s="20"/>
    </row>
    <row r="14455" spans="24:25">
      <c r="X14455" s="19"/>
      <c r="Y14455" s="20"/>
    </row>
    <row r="14456" spans="24:25">
      <c r="X14456" s="19"/>
      <c r="Y14456" s="20"/>
    </row>
    <row r="14457" spans="24:25">
      <c r="X14457" s="19"/>
      <c r="Y14457" s="20"/>
    </row>
    <row r="14458" spans="24:25">
      <c r="X14458" s="19"/>
      <c r="Y14458" s="20"/>
    </row>
    <row r="14459" spans="24:25">
      <c r="X14459" s="19"/>
      <c r="Y14459" s="20"/>
    </row>
    <row r="14460" spans="24:25">
      <c r="X14460" s="19"/>
      <c r="Y14460" s="20"/>
    </row>
    <row r="14461" spans="24:25">
      <c r="X14461" s="19"/>
      <c r="Y14461" s="20"/>
    </row>
    <row r="14462" spans="24:25">
      <c r="X14462" s="19"/>
      <c r="Y14462" s="20"/>
    </row>
    <row r="14463" spans="24:25">
      <c r="X14463" s="19"/>
      <c r="Y14463" s="20"/>
    </row>
    <row r="14464" spans="24:25">
      <c r="X14464" s="19"/>
      <c r="Y14464" s="20"/>
    </row>
    <row r="14465" spans="24:25">
      <c r="X14465" s="19"/>
      <c r="Y14465" s="20"/>
    </row>
    <row r="14466" spans="24:25">
      <c r="X14466" s="19"/>
      <c r="Y14466" s="20"/>
    </row>
    <row r="14467" spans="24:25">
      <c r="X14467" s="19"/>
      <c r="Y14467" s="20"/>
    </row>
    <row r="14468" spans="24:25">
      <c r="X14468" s="19"/>
      <c r="Y14468" s="20"/>
    </row>
    <row r="14469" spans="24:25">
      <c r="X14469" s="19"/>
      <c r="Y14469" s="20"/>
    </row>
    <row r="14470" spans="24:25">
      <c r="X14470" s="19"/>
      <c r="Y14470" s="20"/>
    </row>
    <row r="14471" spans="24:25">
      <c r="X14471" s="19"/>
      <c r="Y14471" s="20"/>
    </row>
    <row r="14472" spans="24:25">
      <c r="X14472" s="19"/>
      <c r="Y14472" s="20"/>
    </row>
    <row r="14473" spans="24:25">
      <c r="X14473" s="19"/>
      <c r="Y14473" s="20"/>
    </row>
    <row r="14474" spans="24:25">
      <c r="X14474" s="19"/>
      <c r="Y14474" s="20"/>
    </row>
    <row r="14475" spans="24:25">
      <c r="X14475" s="19"/>
      <c r="Y14475" s="20"/>
    </row>
    <row r="14476" spans="24:25">
      <c r="X14476" s="19"/>
      <c r="Y14476" s="20"/>
    </row>
    <row r="14477" spans="24:25">
      <c r="X14477" s="19"/>
      <c r="Y14477" s="20"/>
    </row>
    <row r="14478" spans="24:25">
      <c r="X14478" s="19"/>
      <c r="Y14478" s="20"/>
    </row>
    <row r="14479" spans="24:25">
      <c r="X14479" s="19"/>
      <c r="Y14479" s="20"/>
    </row>
    <row r="14480" spans="24:25">
      <c r="X14480" s="19"/>
      <c r="Y14480" s="20"/>
    </row>
    <row r="14481" spans="24:25">
      <c r="X14481" s="19"/>
      <c r="Y14481" s="20"/>
    </row>
    <row r="14482" spans="24:25">
      <c r="X14482" s="19"/>
      <c r="Y14482" s="20"/>
    </row>
    <row r="14483" spans="24:25">
      <c r="X14483" s="19"/>
      <c r="Y14483" s="20"/>
    </row>
    <row r="14484" spans="24:25">
      <c r="X14484" s="19"/>
      <c r="Y14484" s="20"/>
    </row>
    <row r="14485" spans="24:25">
      <c r="X14485" s="19"/>
      <c r="Y14485" s="20"/>
    </row>
    <row r="14486" spans="24:25">
      <c r="X14486" s="19"/>
      <c r="Y14486" s="20"/>
    </row>
    <row r="14487" spans="24:25">
      <c r="X14487" s="19"/>
      <c r="Y14487" s="20"/>
    </row>
    <row r="14488" spans="24:25">
      <c r="X14488" s="19"/>
      <c r="Y14488" s="20"/>
    </row>
    <row r="14489" spans="24:25">
      <c r="X14489" s="19"/>
      <c r="Y14489" s="20"/>
    </row>
    <row r="14490" spans="24:25">
      <c r="X14490" s="19"/>
      <c r="Y14490" s="20"/>
    </row>
    <row r="14491" spans="24:25">
      <c r="X14491" s="19"/>
      <c r="Y14491" s="20"/>
    </row>
    <row r="14492" spans="24:25">
      <c r="X14492" s="19"/>
      <c r="Y14492" s="20"/>
    </row>
    <row r="14493" spans="24:25">
      <c r="X14493" s="19"/>
      <c r="Y14493" s="20"/>
    </row>
    <row r="14494" spans="24:25">
      <c r="X14494" s="19"/>
      <c r="Y14494" s="20"/>
    </row>
    <row r="14495" spans="24:25">
      <c r="X14495" s="19"/>
      <c r="Y14495" s="20"/>
    </row>
    <row r="14496" spans="24:25">
      <c r="X14496" s="19"/>
      <c r="Y14496" s="20"/>
    </row>
    <row r="14497" spans="24:25">
      <c r="X14497" s="19"/>
      <c r="Y14497" s="20"/>
    </row>
    <row r="14498" spans="24:25">
      <c r="X14498" s="19"/>
      <c r="Y14498" s="20"/>
    </row>
    <row r="14499" spans="24:25">
      <c r="X14499" s="19"/>
      <c r="Y14499" s="20"/>
    </row>
    <row r="14500" spans="24:25">
      <c r="X14500" s="19"/>
      <c r="Y14500" s="20"/>
    </row>
    <row r="14501" spans="24:25">
      <c r="X14501" s="19"/>
      <c r="Y14501" s="20"/>
    </row>
    <row r="14502" spans="24:25">
      <c r="X14502" s="19"/>
      <c r="Y14502" s="20"/>
    </row>
    <row r="14503" spans="24:25">
      <c r="X14503" s="19"/>
      <c r="Y14503" s="20"/>
    </row>
    <row r="14504" spans="24:25">
      <c r="X14504" s="19"/>
      <c r="Y14504" s="20"/>
    </row>
    <row r="14505" spans="24:25">
      <c r="X14505" s="19"/>
      <c r="Y14505" s="20"/>
    </row>
    <row r="14506" spans="24:25">
      <c r="X14506" s="19"/>
      <c r="Y14506" s="20"/>
    </row>
    <row r="14507" spans="24:25">
      <c r="X14507" s="19"/>
      <c r="Y14507" s="20"/>
    </row>
    <row r="14508" spans="24:25">
      <c r="X14508" s="19"/>
      <c r="Y14508" s="20"/>
    </row>
    <row r="14509" spans="24:25">
      <c r="X14509" s="19"/>
      <c r="Y14509" s="20"/>
    </row>
    <row r="14510" spans="24:25">
      <c r="X14510" s="19"/>
      <c r="Y14510" s="20"/>
    </row>
    <row r="14511" spans="24:25">
      <c r="X14511" s="19"/>
      <c r="Y14511" s="20"/>
    </row>
    <row r="14512" spans="24:25">
      <c r="X14512" s="19"/>
      <c r="Y14512" s="20"/>
    </row>
    <row r="14513" spans="24:25">
      <c r="X14513" s="19"/>
      <c r="Y14513" s="20"/>
    </row>
    <row r="14514" spans="24:25">
      <c r="X14514" s="19"/>
      <c r="Y14514" s="20"/>
    </row>
    <row r="14515" spans="24:25">
      <c r="X14515" s="19"/>
      <c r="Y14515" s="20"/>
    </row>
    <row r="14516" spans="24:25">
      <c r="X14516" s="19"/>
      <c r="Y14516" s="20"/>
    </row>
    <row r="14517" spans="24:25">
      <c r="X14517" s="19"/>
      <c r="Y14517" s="20"/>
    </row>
    <row r="14518" spans="24:25">
      <c r="X14518" s="19"/>
      <c r="Y14518" s="20"/>
    </row>
    <row r="14519" spans="24:25">
      <c r="X14519" s="19"/>
      <c r="Y14519" s="20"/>
    </row>
    <row r="14520" spans="24:25">
      <c r="X14520" s="19"/>
      <c r="Y14520" s="20"/>
    </row>
    <row r="14521" spans="24:25">
      <c r="X14521" s="19"/>
      <c r="Y14521" s="20"/>
    </row>
    <row r="14522" spans="24:25">
      <c r="X14522" s="19"/>
      <c r="Y14522" s="20"/>
    </row>
    <row r="14523" spans="24:25">
      <c r="X14523" s="19"/>
      <c r="Y14523" s="20"/>
    </row>
    <row r="14524" spans="24:25">
      <c r="X14524" s="19"/>
      <c r="Y14524" s="20"/>
    </row>
    <row r="14525" spans="24:25">
      <c r="X14525" s="19"/>
      <c r="Y14525" s="20"/>
    </row>
    <row r="14526" spans="24:25">
      <c r="X14526" s="19"/>
      <c r="Y14526" s="20"/>
    </row>
    <row r="14527" spans="24:25">
      <c r="X14527" s="19"/>
      <c r="Y14527" s="20"/>
    </row>
    <row r="14528" spans="24:25">
      <c r="X14528" s="19"/>
      <c r="Y14528" s="20"/>
    </row>
    <row r="14529" spans="24:25">
      <c r="X14529" s="19"/>
      <c r="Y14529" s="20"/>
    </row>
    <row r="14530" spans="24:25">
      <c r="X14530" s="19"/>
      <c r="Y14530" s="20"/>
    </row>
    <row r="14531" spans="24:25">
      <c r="X14531" s="19"/>
      <c r="Y14531" s="20"/>
    </row>
    <row r="14532" spans="24:25">
      <c r="X14532" s="19"/>
      <c r="Y14532" s="20"/>
    </row>
    <row r="14533" spans="24:25">
      <c r="X14533" s="19"/>
      <c r="Y14533" s="20"/>
    </row>
    <row r="14534" spans="24:25">
      <c r="X14534" s="19"/>
      <c r="Y14534" s="20"/>
    </row>
    <row r="14535" spans="24:25">
      <c r="X14535" s="19"/>
      <c r="Y14535" s="20"/>
    </row>
    <row r="14536" spans="24:25">
      <c r="X14536" s="19"/>
      <c r="Y14536" s="20"/>
    </row>
    <row r="14537" spans="24:25">
      <c r="X14537" s="19"/>
      <c r="Y14537" s="20"/>
    </row>
    <row r="14538" spans="24:25">
      <c r="X14538" s="19"/>
      <c r="Y14538" s="20"/>
    </row>
    <row r="14539" spans="24:25">
      <c r="X14539" s="19"/>
      <c r="Y14539" s="20"/>
    </row>
    <row r="14540" spans="24:25">
      <c r="X14540" s="19"/>
      <c r="Y14540" s="20"/>
    </row>
    <row r="14541" spans="24:25">
      <c r="X14541" s="19"/>
      <c r="Y14541" s="20"/>
    </row>
    <row r="14542" spans="24:25">
      <c r="X14542" s="19"/>
      <c r="Y14542" s="20"/>
    </row>
    <row r="14543" spans="24:25">
      <c r="X14543" s="19"/>
      <c r="Y14543" s="20"/>
    </row>
    <row r="14544" spans="24:25">
      <c r="X14544" s="19"/>
      <c r="Y14544" s="20"/>
    </row>
    <row r="14545" spans="24:25">
      <c r="X14545" s="19"/>
      <c r="Y14545" s="20"/>
    </row>
    <row r="14546" spans="24:25">
      <c r="X14546" s="19"/>
      <c r="Y14546" s="20"/>
    </row>
    <row r="14547" spans="24:25">
      <c r="X14547" s="19"/>
      <c r="Y14547" s="20"/>
    </row>
    <row r="14548" spans="24:25">
      <c r="X14548" s="19"/>
      <c r="Y14548" s="20"/>
    </row>
    <row r="14549" spans="24:25">
      <c r="X14549" s="19"/>
      <c r="Y14549" s="20"/>
    </row>
    <row r="14550" spans="24:25">
      <c r="X14550" s="19"/>
      <c r="Y14550" s="20"/>
    </row>
    <row r="14551" spans="24:25">
      <c r="X14551" s="19"/>
      <c r="Y14551" s="20"/>
    </row>
    <row r="14552" spans="24:25">
      <c r="X14552" s="19"/>
      <c r="Y14552" s="20"/>
    </row>
    <row r="14553" spans="24:25">
      <c r="X14553" s="19"/>
      <c r="Y14553" s="20"/>
    </row>
    <row r="14554" spans="24:25">
      <c r="X14554" s="19"/>
      <c r="Y14554" s="20"/>
    </row>
    <row r="14555" spans="24:25">
      <c r="X14555" s="19"/>
      <c r="Y14555" s="20"/>
    </row>
    <row r="14556" spans="24:25">
      <c r="X14556" s="19"/>
      <c r="Y14556" s="20"/>
    </row>
    <row r="14557" spans="24:25">
      <c r="X14557" s="19"/>
      <c r="Y14557" s="20"/>
    </row>
    <row r="14558" spans="24:25">
      <c r="X14558" s="19"/>
      <c r="Y14558" s="20"/>
    </row>
    <row r="14559" spans="24:25">
      <c r="X14559" s="19"/>
      <c r="Y14559" s="20"/>
    </row>
    <row r="14560" spans="24:25">
      <c r="X14560" s="19"/>
      <c r="Y14560" s="20"/>
    </row>
    <row r="14561" spans="24:25">
      <c r="X14561" s="19"/>
      <c r="Y14561" s="20"/>
    </row>
    <row r="14562" spans="24:25">
      <c r="X14562" s="19"/>
      <c r="Y14562" s="20"/>
    </row>
    <row r="14563" spans="24:25">
      <c r="X14563" s="19"/>
      <c r="Y14563" s="20"/>
    </row>
    <row r="14564" spans="24:25">
      <c r="X14564" s="19"/>
      <c r="Y14564" s="20"/>
    </row>
    <row r="14565" spans="24:25">
      <c r="X14565" s="19"/>
      <c r="Y14565" s="20"/>
    </row>
    <row r="14566" spans="24:25">
      <c r="X14566" s="19"/>
      <c r="Y14566" s="20"/>
    </row>
    <row r="14567" spans="24:25">
      <c r="X14567" s="19"/>
      <c r="Y14567" s="20"/>
    </row>
    <row r="14568" spans="24:25">
      <c r="X14568" s="19"/>
      <c r="Y14568" s="20"/>
    </row>
    <row r="14569" spans="24:25">
      <c r="X14569" s="19"/>
      <c r="Y14569" s="20"/>
    </row>
    <row r="14570" spans="24:25">
      <c r="X14570" s="19"/>
      <c r="Y14570" s="20"/>
    </row>
    <row r="14571" spans="24:25">
      <c r="X14571" s="19"/>
      <c r="Y14571" s="20"/>
    </row>
    <row r="14572" spans="24:25">
      <c r="X14572" s="19"/>
      <c r="Y14572" s="20"/>
    </row>
    <row r="14573" spans="24:25">
      <c r="X14573" s="19"/>
      <c r="Y14573" s="20"/>
    </row>
    <row r="14574" spans="24:25">
      <c r="X14574" s="19"/>
      <c r="Y14574" s="20"/>
    </row>
    <row r="14575" spans="24:25">
      <c r="X14575" s="19"/>
      <c r="Y14575" s="20"/>
    </row>
    <row r="14576" spans="24:25">
      <c r="X14576" s="19"/>
      <c r="Y14576" s="20"/>
    </row>
    <row r="14577" spans="24:25">
      <c r="X14577" s="19"/>
      <c r="Y14577" s="20"/>
    </row>
    <row r="14578" spans="24:25">
      <c r="X14578" s="19"/>
      <c r="Y14578" s="20"/>
    </row>
    <row r="14579" spans="24:25">
      <c r="X14579" s="19"/>
      <c r="Y14579" s="20"/>
    </row>
    <row r="14580" spans="24:25">
      <c r="X14580" s="19"/>
      <c r="Y14580" s="20"/>
    </row>
    <row r="14581" spans="24:25">
      <c r="X14581" s="19"/>
      <c r="Y14581" s="20"/>
    </row>
    <row r="14582" spans="24:25">
      <c r="X14582" s="19"/>
      <c r="Y14582" s="20"/>
    </row>
    <row r="14583" spans="24:25">
      <c r="X14583" s="19"/>
      <c r="Y14583" s="20"/>
    </row>
    <row r="14584" spans="24:25">
      <c r="X14584" s="19"/>
      <c r="Y14584" s="20"/>
    </row>
    <row r="14585" spans="24:25">
      <c r="X14585" s="19"/>
      <c r="Y14585" s="20"/>
    </row>
    <row r="14586" spans="24:25">
      <c r="X14586" s="19"/>
      <c r="Y14586" s="20"/>
    </row>
    <row r="14587" spans="24:25">
      <c r="X14587" s="19"/>
      <c r="Y14587" s="20"/>
    </row>
    <row r="14588" spans="24:25">
      <c r="X14588" s="19"/>
      <c r="Y14588" s="20"/>
    </row>
    <row r="14589" spans="24:25">
      <c r="X14589" s="19"/>
      <c r="Y14589" s="20"/>
    </row>
    <row r="14590" spans="24:25">
      <c r="X14590" s="19"/>
      <c r="Y14590" s="20"/>
    </row>
    <row r="14591" spans="24:25">
      <c r="X14591" s="19"/>
      <c r="Y14591" s="20"/>
    </row>
    <row r="14592" spans="24:25">
      <c r="X14592" s="19"/>
      <c r="Y14592" s="20"/>
    </row>
    <row r="14593" spans="24:25">
      <c r="X14593" s="19"/>
      <c r="Y14593" s="20"/>
    </row>
    <row r="14594" spans="24:25">
      <c r="X14594" s="19"/>
      <c r="Y14594" s="20"/>
    </row>
    <row r="14595" spans="24:25">
      <c r="X14595" s="19"/>
      <c r="Y14595" s="20"/>
    </row>
    <row r="14596" spans="24:25">
      <c r="X14596" s="19"/>
      <c r="Y14596" s="20"/>
    </row>
    <row r="14597" spans="24:25">
      <c r="X14597" s="19"/>
      <c r="Y14597" s="20"/>
    </row>
    <row r="14598" spans="24:25">
      <c r="X14598" s="19"/>
      <c r="Y14598" s="20"/>
    </row>
    <row r="14599" spans="24:25">
      <c r="X14599" s="19"/>
      <c r="Y14599" s="20"/>
    </row>
    <row r="14600" spans="24:25">
      <c r="X14600" s="19"/>
      <c r="Y14600" s="20"/>
    </row>
    <row r="14601" spans="24:25">
      <c r="X14601" s="19"/>
      <c r="Y14601" s="20"/>
    </row>
    <row r="14602" spans="24:25">
      <c r="X14602" s="19"/>
      <c r="Y14602" s="20"/>
    </row>
    <row r="14603" spans="24:25">
      <c r="X14603" s="19"/>
      <c r="Y14603" s="20"/>
    </row>
    <row r="14604" spans="24:25">
      <c r="X14604" s="19"/>
      <c r="Y14604" s="20"/>
    </row>
    <row r="14605" spans="24:25">
      <c r="X14605" s="19"/>
      <c r="Y14605" s="20"/>
    </row>
    <row r="14606" spans="24:25">
      <c r="X14606" s="19"/>
      <c r="Y14606" s="20"/>
    </row>
    <row r="14607" spans="24:25">
      <c r="X14607" s="19"/>
      <c r="Y14607" s="20"/>
    </row>
    <row r="14608" spans="24:25">
      <c r="X14608" s="19"/>
      <c r="Y14608" s="20"/>
    </row>
    <row r="14609" spans="24:25">
      <c r="X14609" s="19"/>
      <c r="Y14609" s="20"/>
    </row>
    <row r="14610" spans="24:25">
      <c r="X14610" s="19"/>
      <c r="Y14610" s="20"/>
    </row>
    <row r="14611" spans="24:25">
      <c r="X14611" s="19"/>
      <c r="Y14611" s="20"/>
    </row>
    <row r="14612" spans="24:25">
      <c r="X14612" s="19"/>
      <c r="Y14612" s="20"/>
    </row>
    <row r="14613" spans="24:25">
      <c r="X14613" s="19"/>
      <c r="Y14613" s="20"/>
    </row>
    <row r="14614" spans="24:25">
      <c r="X14614" s="19"/>
      <c r="Y14614" s="20"/>
    </row>
    <row r="14615" spans="24:25">
      <c r="X14615" s="19"/>
      <c r="Y14615" s="20"/>
    </row>
    <row r="14616" spans="24:25">
      <c r="X14616" s="19"/>
      <c r="Y14616" s="20"/>
    </row>
    <row r="14617" spans="24:25">
      <c r="X14617" s="19"/>
      <c r="Y14617" s="20"/>
    </row>
    <row r="14618" spans="24:25">
      <c r="X14618" s="19"/>
      <c r="Y14618" s="20"/>
    </row>
    <row r="14619" spans="24:25">
      <c r="X14619" s="19"/>
      <c r="Y14619" s="20"/>
    </row>
    <row r="14620" spans="24:25">
      <c r="X14620" s="19"/>
      <c r="Y14620" s="20"/>
    </row>
    <row r="14621" spans="24:25">
      <c r="X14621" s="19"/>
      <c r="Y14621" s="20"/>
    </row>
    <row r="14622" spans="24:25">
      <c r="X14622" s="19"/>
      <c r="Y14622" s="20"/>
    </row>
    <row r="14623" spans="24:25">
      <c r="X14623" s="19"/>
      <c r="Y14623" s="20"/>
    </row>
    <row r="14624" spans="24:25">
      <c r="X14624" s="19"/>
      <c r="Y14624" s="20"/>
    </row>
    <row r="14625" spans="24:25">
      <c r="X14625" s="19"/>
      <c r="Y14625" s="20"/>
    </row>
    <row r="14626" spans="24:25">
      <c r="X14626" s="19"/>
      <c r="Y14626" s="20"/>
    </row>
    <row r="14627" spans="24:25">
      <c r="X14627" s="19"/>
      <c r="Y14627" s="20"/>
    </row>
    <row r="14628" spans="24:25">
      <c r="X14628" s="19"/>
      <c r="Y14628" s="20"/>
    </row>
    <row r="14629" spans="24:25">
      <c r="X14629" s="19"/>
      <c r="Y14629" s="20"/>
    </row>
    <row r="14630" spans="24:25">
      <c r="X14630" s="19"/>
      <c r="Y14630" s="20"/>
    </row>
    <row r="14631" spans="24:25">
      <c r="X14631" s="19"/>
      <c r="Y14631" s="20"/>
    </row>
    <row r="14632" spans="24:25">
      <c r="X14632" s="19"/>
      <c r="Y14632" s="20"/>
    </row>
    <row r="14633" spans="24:25">
      <c r="X14633" s="19"/>
      <c r="Y14633" s="20"/>
    </row>
    <row r="14634" spans="24:25">
      <c r="X14634" s="19"/>
      <c r="Y14634" s="20"/>
    </row>
    <row r="14635" spans="24:25">
      <c r="X14635" s="19"/>
      <c r="Y14635" s="20"/>
    </row>
    <row r="14636" spans="24:25">
      <c r="X14636" s="19"/>
      <c r="Y14636" s="20"/>
    </row>
    <row r="14637" spans="24:25">
      <c r="X14637" s="19"/>
      <c r="Y14637" s="20"/>
    </row>
    <row r="14638" spans="24:25">
      <c r="X14638" s="19"/>
      <c r="Y14638" s="20"/>
    </row>
    <row r="14639" spans="24:25">
      <c r="X14639" s="19"/>
      <c r="Y14639" s="20"/>
    </row>
    <row r="14640" spans="24:25">
      <c r="X14640" s="19"/>
      <c r="Y14640" s="20"/>
    </row>
    <row r="14641" spans="24:25">
      <c r="X14641" s="19"/>
      <c r="Y14641" s="20"/>
    </row>
    <row r="14642" spans="24:25">
      <c r="X14642" s="19"/>
      <c r="Y14642" s="20"/>
    </row>
    <row r="14643" spans="24:25">
      <c r="X14643" s="19"/>
      <c r="Y14643" s="20"/>
    </row>
    <row r="14644" spans="24:25">
      <c r="X14644" s="19"/>
      <c r="Y14644" s="20"/>
    </row>
    <row r="14645" spans="24:25">
      <c r="X14645" s="19"/>
      <c r="Y14645" s="20"/>
    </row>
    <row r="14646" spans="24:25">
      <c r="X14646" s="19"/>
      <c r="Y14646" s="20"/>
    </row>
    <row r="14647" spans="24:25">
      <c r="X14647" s="19"/>
      <c r="Y14647" s="20"/>
    </row>
    <row r="14648" spans="24:25">
      <c r="X14648" s="19"/>
      <c r="Y14648" s="20"/>
    </row>
    <row r="14649" spans="24:25">
      <c r="X14649" s="19"/>
      <c r="Y14649" s="20"/>
    </row>
    <row r="14650" spans="24:25">
      <c r="X14650" s="19"/>
      <c r="Y14650" s="20"/>
    </row>
    <row r="14651" spans="24:25">
      <c r="X14651" s="19"/>
      <c r="Y14651" s="20"/>
    </row>
    <row r="14652" spans="24:25">
      <c r="X14652" s="19"/>
      <c r="Y14652" s="20"/>
    </row>
    <row r="14653" spans="24:25">
      <c r="X14653" s="19"/>
      <c r="Y14653" s="20"/>
    </row>
    <row r="14654" spans="24:25">
      <c r="X14654" s="19"/>
      <c r="Y14654" s="20"/>
    </row>
    <row r="14655" spans="24:25">
      <c r="X14655" s="19"/>
      <c r="Y14655" s="20"/>
    </row>
    <row r="14656" spans="24:25">
      <c r="X14656" s="19"/>
      <c r="Y14656" s="20"/>
    </row>
    <row r="14657" spans="24:25">
      <c r="X14657" s="19"/>
      <c r="Y14657" s="20"/>
    </row>
    <row r="14658" spans="24:25">
      <c r="X14658" s="19"/>
      <c r="Y14658" s="20"/>
    </row>
    <row r="14659" spans="24:25">
      <c r="X14659" s="19"/>
      <c r="Y14659" s="20"/>
    </row>
    <row r="14660" spans="24:25">
      <c r="X14660" s="19"/>
      <c r="Y14660" s="20"/>
    </row>
    <row r="14661" spans="24:25">
      <c r="X14661" s="19"/>
      <c r="Y14661" s="20"/>
    </row>
    <row r="14662" spans="24:25">
      <c r="X14662" s="19"/>
      <c r="Y14662" s="20"/>
    </row>
    <row r="14663" spans="24:25">
      <c r="X14663" s="19"/>
      <c r="Y14663" s="20"/>
    </row>
    <row r="14664" spans="24:25">
      <c r="X14664" s="19"/>
      <c r="Y14664" s="20"/>
    </row>
    <row r="14665" spans="24:25">
      <c r="X14665" s="19"/>
      <c r="Y14665" s="20"/>
    </row>
    <row r="14666" spans="24:25">
      <c r="X14666" s="19"/>
      <c r="Y14666" s="20"/>
    </row>
    <row r="14667" spans="24:25">
      <c r="X14667" s="19"/>
      <c r="Y14667" s="20"/>
    </row>
    <row r="14668" spans="24:25">
      <c r="X14668" s="19"/>
      <c r="Y14668" s="20"/>
    </row>
    <row r="14669" spans="24:25">
      <c r="X14669" s="19"/>
      <c r="Y14669" s="20"/>
    </row>
    <row r="14670" spans="24:25">
      <c r="X14670" s="19"/>
      <c r="Y14670" s="20"/>
    </row>
    <row r="14671" spans="24:25">
      <c r="X14671" s="19"/>
      <c r="Y14671" s="20"/>
    </row>
    <row r="14672" spans="24:25">
      <c r="X14672" s="19"/>
      <c r="Y14672" s="20"/>
    </row>
    <row r="14673" spans="24:25">
      <c r="X14673" s="19"/>
      <c r="Y14673" s="20"/>
    </row>
    <row r="14674" spans="24:25">
      <c r="X14674" s="19"/>
      <c r="Y14674" s="20"/>
    </row>
    <row r="14675" spans="24:25">
      <c r="X14675" s="19"/>
      <c r="Y14675" s="20"/>
    </row>
    <row r="14676" spans="24:25">
      <c r="X14676" s="19"/>
      <c r="Y14676" s="20"/>
    </row>
    <row r="14677" spans="24:25">
      <c r="X14677" s="19"/>
      <c r="Y14677" s="20"/>
    </row>
    <row r="14678" spans="24:25">
      <c r="X14678" s="19"/>
      <c r="Y14678" s="20"/>
    </row>
    <row r="14679" spans="24:25">
      <c r="X14679" s="19"/>
      <c r="Y14679" s="20"/>
    </row>
    <row r="14680" spans="24:25">
      <c r="X14680" s="19"/>
      <c r="Y14680" s="20"/>
    </row>
    <row r="14681" spans="24:25">
      <c r="X14681" s="19"/>
      <c r="Y14681" s="20"/>
    </row>
    <row r="14682" spans="24:25">
      <c r="X14682" s="19"/>
      <c r="Y14682" s="20"/>
    </row>
    <row r="14683" spans="24:25">
      <c r="X14683" s="19"/>
      <c r="Y14683" s="20"/>
    </row>
    <row r="14684" spans="24:25">
      <c r="X14684" s="19"/>
      <c r="Y14684" s="20"/>
    </row>
    <row r="14685" spans="24:25">
      <c r="X14685" s="19"/>
      <c r="Y14685" s="20"/>
    </row>
    <row r="14686" spans="24:25">
      <c r="X14686" s="19"/>
      <c r="Y14686" s="20"/>
    </row>
    <row r="14687" spans="24:25">
      <c r="X14687" s="19"/>
      <c r="Y14687" s="20"/>
    </row>
    <row r="14688" spans="24:25">
      <c r="X14688" s="19"/>
      <c r="Y14688" s="20"/>
    </row>
    <row r="14689" spans="24:25">
      <c r="X14689" s="19"/>
      <c r="Y14689" s="20"/>
    </row>
    <row r="14690" spans="24:25">
      <c r="X14690" s="19"/>
      <c r="Y14690" s="20"/>
    </row>
    <row r="14691" spans="24:25">
      <c r="X14691" s="19"/>
      <c r="Y14691" s="20"/>
    </row>
    <row r="14692" spans="24:25">
      <c r="X14692" s="19"/>
      <c r="Y14692" s="20"/>
    </row>
    <row r="14693" spans="24:25">
      <c r="X14693" s="19"/>
      <c r="Y14693" s="20"/>
    </row>
    <row r="14694" spans="24:25">
      <c r="X14694" s="19"/>
      <c r="Y14694" s="20"/>
    </row>
    <row r="14695" spans="24:25">
      <c r="X14695" s="19"/>
      <c r="Y14695" s="20"/>
    </row>
    <row r="14696" spans="24:25">
      <c r="X14696" s="19"/>
      <c r="Y14696" s="20"/>
    </row>
    <row r="14697" spans="24:25">
      <c r="X14697" s="19"/>
      <c r="Y14697" s="20"/>
    </row>
    <row r="14698" spans="24:25">
      <c r="X14698" s="19"/>
      <c r="Y14698" s="20"/>
    </row>
    <row r="14699" spans="24:25">
      <c r="X14699" s="19"/>
      <c r="Y14699" s="20"/>
    </row>
    <row r="14700" spans="24:25">
      <c r="X14700" s="19"/>
      <c r="Y14700" s="20"/>
    </row>
    <row r="14701" spans="24:25">
      <c r="X14701" s="19"/>
      <c r="Y14701" s="20"/>
    </row>
    <row r="14702" spans="24:25">
      <c r="X14702" s="19"/>
      <c r="Y14702" s="20"/>
    </row>
    <row r="14703" spans="24:25">
      <c r="X14703" s="19"/>
      <c r="Y14703" s="20"/>
    </row>
    <row r="14704" spans="24:25">
      <c r="X14704" s="19"/>
      <c r="Y14704" s="20"/>
    </row>
    <row r="14705" spans="24:25">
      <c r="X14705" s="19"/>
      <c r="Y14705" s="20"/>
    </row>
    <row r="14706" spans="24:25">
      <c r="X14706" s="19"/>
      <c r="Y14706" s="20"/>
    </row>
    <row r="14707" spans="24:25">
      <c r="X14707" s="19"/>
      <c r="Y14707" s="20"/>
    </row>
    <row r="14708" spans="24:25">
      <c r="X14708" s="19"/>
      <c r="Y14708" s="20"/>
    </row>
    <row r="14709" spans="24:25">
      <c r="X14709" s="19"/>
      <c r="Y14709" s="20"/>
    </row>
    <row r="14710" spans="24:25">
      <c r="X14710" s="19"/>
      <c r="Y14710" s="20"/>
    </row>
    <row r="14711" spans="24:25">
      <c r="X14711" s="19"/>
      <c r="Y14711" s="20"/>
    </row>
    <row r="14712" spans="24:25">
      <c r="X14712" s="19"/>
      <c r="Y14712" s="20"/>
    </row>
    <row r="14713" spans="24:25">
      <c r="X14713" s="19"/>
      <c r="Y14713" s="20"/>
    </row>
    <row r="14714" spans="24:25">
      <c r="X14714" s="19"/>
      <c r="Y14714" s="20"/>
    </row>
    <row r="14715" spans="24:25">
      <c r="X14715" s="19"/>
      <c r="Y14715" s="20"/>
    </row>
    <row r="14716" spans="24:25">
      <c r="X14716" s="19"/>
      <c r="Y14716" s="20"/>
    </row>
    <row r="14717" spans="24:25">
      <c r="X14717" s="19"/>
      <c r="Y14717" s="20"/>
    </row>
    <row r="14718" spans="24:25">
      <c r="X14718" s="19"/>
      <c r="Y14718" s="20"/>
    </row>
    <row r="14719" spans="24:25">
      <c r="X14719" s="19"/>
      <c r="Y14719" s="20"/>
    </row>
    <row r="14720" spans="24:25">
      <c r="X14720" s="19"/>
      <c r="Y14720" s="20"/>
    </row>
    <row r="14721" spans="24:25">
      <c r="X14721" s="19"/>
      <c r="Y14721" s="20"/>
    </row>
    <row r="14722" spans="24:25">
      <c r="X14722" s="19"/>
      <c r="Y14722" s="20"/>
    </row>
    <row r="14723" spans="24:25">
      <c r="X14723" s="19"/>
      <c r="Y14723" s="20"/>
    </row>
    <row r="14724" spans="24:25">
      <c r="X14724" s="19"/>
      <c r="Y14724" s="20"/>
    </row>
    <row r="14725" spans="24:25">
      <c r="X14725" s="19"/>
      <c r="Y14725" s="20"/>
    </row>
    <row r="14726" spans="24:25">
      <c r="X14726" s="19"/>
      <c r="Y14726" s="20"/>
    </row>
    <row r="14727" spans="24:25">
      <c r="X14727" s="19"/>
      <c r="Y14727" s="20"/>
    </row>
    <row r="14728" spans="24:25">
      <c r="X14728" s="19"/>
      <c r="Y14728" s="20"/>
    </row>
    <row r="14729" spans="24:25">
      <c r="X14729" s="19"/>
      <c r="Y14729" s="20"/>
    </row>
    <row r="14730" spans="24:25">
      <c r="X14730" s="19"/>
      <c r="Y14730" s="20"/>
    </row>
    <row r="14731" spans="24:25">
      <c r="X14731" s="19"/>
      <c r="Y14731" s="20"/>
    </row>
    <row r="14732" spans="24:25">
      <c r="X14732" s="19"/>
      <c r="Y14732" s="20"/>
    </row>
    <row r="14733" spans="24:25">
      <c r="X14733" s="19"/>
      <c r="Y14733" s="20"/>
    </row>
    <row r="14734" spans="24:25">
      <c r="X14734" s="19"/>
      <c r="Y14734" s="20"/>
    </row>
    <row r="14735" spans="24:25">
      <c r="X14735" s="19"/>
      <c r="Y14735" s="20"/>
    </row>
    <row r="14736" spans="24:25">
      <c r="X14736" s="19"/>
      <c r="Y14736" s="20"/>
    </row>
    <row r="14737" spans="24:25">
      <c r="X14737" s="19"/>
      <c r="Y14737" s="20"/>
    </row>
    <row r="14738" spans="24:25">
      <c r="X14738" s="19"/>
      <c r="Y14738" s="20"/>
    </row>
    <row r="14739" spans="24:25">
      <c r="X14739" s="19"/>
      <c r="Y14739" s="20"/>
    </row>
    <row r="14740" spans="24:25">
      <c r="X14740" s="19"/>
      <c r="Y14740" s="20"/>
    </row>
    <row r="14741" spans="24:25">
      <c r="X14741" s="19"/>
      <c r="Y14741" s="20"/>
    </row>
    <row r="14742" spans="24:25">
      <c r="X14742" s="19"/>
      <c r="Y14742" s="20"/>
    </row>
    <row r="14743" spans="24:25">
      <c r="X14743" s="19"/>
      <c r="Y14743" s="20"/>
    </row>
    <row r="14744" spans="24:25">
      <c r="X14744" s="19"/>
      <c r="Y14744" s="20"/>
    </row>
    <row r="14745" spans="24:25">
      <c r="X14745" s="19"/>
      <c r="Y14745" s="20"/>
    </row>
    <row r="14746" spans="24:25">
      <c r="X14746" s="19"/>
      <c r="Y14746" s="20"/>
    </row>
    <row r="14747" spans="24:25">
      <c r="X14747" s="19"/>
      <c r="Y14747" s="20"/>
    </row>
    <row r="14748" spans="24:25">
      <c r="X14748" s="19"/>
      <c r="Y14748" s="20"/>
    </row>
    <row r="14749" spans="24:25">
      <c r="X14749" s="19"/>
      <c r="Y14749" s="20"/>
    </row>
    <row r="14750" spans="24:25">
      <c r="X14750" s="19"/>
      <c r="Y14750" s="20"/>
    </row>
    <row r="14751" spans="24:25">
      <c r="X14751" s="19"/>
      <c r="Y14751" s="20"/>
    </row>
    <row r="14752" spans="24:25">
      <c r="X14752" s="19"/>
      <c r="Y14752" s="20"/>
    </row>
    <row r="14753" spans="24:25">
      <c r="X14753" s="19"/>
      <c r="Y14753" s="20"/>
    </row>
    <row r="14754" spans="24:25">
      <c r="X14754" s="19"/>
      <c r="Y14754" s="20"/>
    </row>
    <row r="14755" spans="24:25">
      <c r="X14755" s="19"/>
      <c r="Y14755" s="20"/>
    </row>
    <row r="14756" spans="24:25">
      <c r="X14756" s="19"/>
      <c r="Y14756" s="20"/>
    </row>
    <row r="14757" spans="24:25">
      <c r="X14757" s="19"/>
      <c r="Y14757" s="20"/>
    </row>
    <row r="14758" spans="24:25">
      <c r="X14758" s="19"/>
      <c r="Y14758" s="20"/>
    </row>
    <row r="14759" spans="24:25">
      <c r="X14759" s="19"/>
      <c r="Y14759" s="20"/>
    </row>
    <row r="14760" spans="24:25">
      <c r="X14760" s="19"/>
      <c r="Y14760" s="20"/>
    </row>
    <row r="14761" spans="24:25">
      <c r="X14761" s="19"/>
      <c r="Y14761" s="20"/>
    </row>
    <row r="14762" spans="24:25">
      <c r="X14762" s="19"/>
      <c r="Y14762" s="20"/>
    </row>
    <row r="14763" spans="24:25">
      <c r="X14763" s="19"/>
      <c r="Y14763" s="20"/>
    </row>
    <row r="14764" spans="24:25">
      <c r="X14764" s="19"/>
      <c r="Y14764" s="20"/>
    </row>
    <row r="14765" spans="24:25">
      <c r="X14765" s="19"/>
      <c r="Y14765" s="20"/>
    </row>
    <row r="14766" spans="24:25">
      <c r="X14766" s="19"/>
      <c r="Y14766" s="20"/>
    </row>
    <row r="14767" spans="24:25">
      <c r="X14767" s="19"/>
      <c r="Y14767" s="20"/>
    </row>
    <row r="14768" spans="24:25">
      <c r="X14768" s="19"/>
      <c r="Y14768" s="20"/>
    </row>
    <row r="14769" spans="24:25">
      <c r="X14769" s="19"/>
      <c r="Y14769" s="20"/>
    </row>
    <row r="14770" spans="24:25">
      <c r="X14770" s="19"/>
      <c r="Y14770" s="20"/>
    </row>
    <row r="14771" spans="24:25">
      <c r="X14771" s="19"/>
      <c r="Y14771" s="20"/>
    </row>
    <row r="14772" spans="24:25">
      <c r="X14772" s="19"/>
      <c r="Y14772" s="20"/>
    </row>
    <row r="14773" spans="24:25">
      <c r="X14773" s="19"/>
      <c r="Y14773" s="20"/>
    </row>
    <row r="14774" spans="24:25">
      <c r="X14774" s="19"/>
      <c r="Y14774" s="20"/>
    </row>
    <row r="14775" spans="24:25">
      <c r="X14775" s="19"/>
      <c r="Y14775" s="20"/>
    </row>
    <row r="14776" spans="24:25">
      <c r="X14776" s="19"/>
      <c r="Y14776" s="20"/>
    </row>
    <row r="14777" spans="24:25">
      <c r="X14777" s="19"/>
      <c r="Y14777" s="20"/>
    </row>
    <row r="14778" spans="24:25">
      <c r="X14778" s="19"/>
      <c r="Y14778" s="20"/>
    </row>
    <row r="14779" spans="24:25">
      <c r="X14779" s="19"/>
      <c r="Y14779" s="20"/>
    </row>
    <row r="14780" spans="24:25">
      <c r="X14780" s="19"/>
      <c r="Y14780" s="20"/>
    </row>
    <row r="14781" spans="24:25">
      <c r="X14781" s="19"/>
      <c r="Y14781" s="20"/>
    </row>
    <row r="14782" spans="24:25">
      <c r="X14782" s="19"/>
      <c r="Y14782" s="20"/>
    </row>
    <row r="14783" spans="24:25">
      <c r="X14783" s="19"/>
      <c r="Y14783" s="20"/>
    </row>
    <row r="14784" spans="24:25">
      <c r="X14784" s="19"/>
      <c r="Y14784" s="20"/>
    </row>
    <row r="14785" spans="24:25">
      <c r="X14785" s="19"/>
      <c r="Y14785" s="20"/>
    </row>
    <row r="14786" spans="24:25">
      <c r="X14786" s="19"/>
      <c r="Y14786" s="20"/>
    </row>
    <row r="14787" spans="24:25">
      <c r="X14787" s="19"/>
      <c r="Y14787" s="20"/>
    </row>
    <row r="14788" spans="24:25">
      <c r="X14788" s="19"/>
      <c r="Y14788" s="20"/>
    </row>
    <row r="14789" spans="24:25">
      <c r="X14789" s="19"/>
      <c r="Y14789" s="20"/>
    </row>
    <row r="14790" spans="24:25">
      <c r="X14790" s="19"/>
      <c r="Y14790" s="20"/>
    </row>
    <row r="14791" spans="24:25">
      <c r="X14791" s="19"/>
      <c r="Y14791" s="20"/>
    </row>
    <row r="14792" spans="24:25">
      <c r="X14792" s="19"/>
      <c r="Y14792" s="20"/>
    </row>
    <row r="14793" spans="24:25">
      <c r="X14793" s="19"/>
      <c r="Y14793" s="20"/>
    </row>
    <row r="14794" spans="24:25">
      <c r="X14794" s="19"/>
      <c r="Y14794" s="20"/>
    </row>
    <row r="14795" spans="24:25">
      <c r="X14795" s="19"/>
      <c r="Y14795" s="20"/>
    </row>
    <row r="14796" spans="24:25">
      <c r="X14796" s="19"/>
      <c r="Y14796" s="20"/>
    </row>
    <row r="14797" spans="24:25">
      <c r="X14797" s="19"/>
      <c r="Y14797" s="20"/>
    </row>
    <row r="14798" spans="24:25">
      <c r="X14798" s="19"/>
      <c r="Y14798" s="20"/>
    </row>
    <row r="14799" spans="24:25">
      <c r="X14799" s="19"/>
      <c r="Y14799" s="20"/>
    </row>
    <row r="14800" spans="24:25">
      <c r="X14800" s="19"/>
      <c r="Y14800" s="20"/>
    </row>
    <row r="14801" spans="24:25">
      <c r="X14801" s="19"/>
      <c r="Y14801" s="20"/>
    </row>
    <row r="14802" spans="24:25">
      <c r="X14802" s="19"/>
      <c r="Y14802" s="20"/>
    </row>
    <row r="14803" spans="24:25">
      <c r="X14803" s="19"/>
      <c r="Y14803" s="20"/>
    </row>
    <row r="14804" spans="24:25">
      <c r="X14804" s="19"/>
      <c r="Y14804" s="20"/>
    </row>
    <row r="14805" spans="24:25">
      <c r="X14805" s="19"/>
      <c r="Y14805" s="20"/>
    </row>
    <row r="14806" spans="24:25">
      <c r="X14806" s="19"/>
      <c r="Y14806" s="20"/>
    </row>
    <row r="14807" spans="24:25">
      <c r="X14807" s="19"/>
      <c r="Y14807" s="20"/>
    </row>
    <row r="14808" spans="24:25">
      <c r="X14808" s="19"/>
      <c r="Y14808" s="20"/>
    </row>
    <row r="14809" spans="24:25">
      <c r="X14809" s="19"/>
      <c r="Y14809" s="20"/>
    </row>
    <row r="14810" spans="24:25">
      <c r="X14810" s="19"/>
      <c r="Y14810" s="20"/>
    </row>
    <row r="14811" spans="24:25">
      <c r="X14811" s="19"/>
      <c r="Y14811" s="20"/>
    </row>
    <row r="14812" spans="24:25">
      <c r="X14812" s="19"/>
      <c r="Y14812" s="20"/>
    </row>
    <row r="14813" spans="24:25">
      <c r="X14813" s="19"/>
      <c r="Y14813" s="20"/>
    </row>
    <row r="14814" spans="24:25">
      <c r="X14814" s="19"/>
      <c r="Y14814" s="20"/>
    </row>
    <row r="14815" spans="24:25">
      <c r="X14815" s="19"/>
      <c r="Y14815" s="20"/>
    </row>
    <row r="14816" spans="24:25">
      <c r="X14816" s="19"/>
      <c r="Y14816" s="20"/>
    </row>
    <row r="14817" spans="24:25">
      <c r="X14817" s="19"/>
      <c r="Y14817" s="20"/>
    </row>
    <row r="14818" spans="24:25">
      <c r="X14818" s="19"/>
      <c r="Y14818" s="20"/>
    </row>
    <row r="14819" spans="24:25">
      <c r="X14819" s="19"/>
      <c r="Y14819" s="20"/>
    </row>
    <row r="14820" spans="24:25">
      <c r="X14820" s="19"/>
      <c r="Y14820" s="20"/>
    </row>
    <row r="14821" spans="24:25">
      <c r="X14821" s="19"/>
      <c r="Y14821" s="20"/>
    </row>
    <row r="14822" spans="24:25">
      <c r="X14822" s="19"/>
      <c r="Y14822" s="20"/>
    </row>
    <row r="14823" spans="24:25">
      <c r="X14823" s="19"/>
      <c r="Y14823" s="20"/>
    </row>
    <row r="14824" spans="24:25">
      <c r="X14824" s="19"/>
      <c r="Y14824" s="20"/>
    </row>
    <row r="14825" spans="24:25">
      <c r="X14825" s="19"/>
      <c r="Y14825" s="20"/>
    </row>
    <row r="14826" spans="24:25">
      <c r="X14826" s="19"/>
      <c r="Y14826" s="20"/>
    </row>
    <row r="14827" spans="24:25">
      <c r="X14827" s="19"/>
      <c r="Y14827" s="20"/>
    </row>
    <row r="14828" spans="24:25">
      <c r="X14828" s="19"/>
      <c r="Y14828" s="20"/>
    </row>
    <row r="14829" spans="24:25">
      <c r="X14829" s="19"/>
      <c r="Y14829" s="20"/>
    </row>
    <row r="14830" spans="24:25">
      <c r="X14830" s="19"/>
      <c r="Y14830" s="20"/>
    </row>
    <row r="14831" spans="24:25">
      <c r="X14831" s="19"/>
      <c r="Y14831" s="20"/>
    </row>
    <row r="14832" spans="24:25">
      <c r="X14832" s="19"/>
      <c r="Y14832" s="20"/>
    </row>
    <row r="14833" spans="24:25">
      <c r="X14833" s="19"/>
      <c r="Y14833" s="20"/>
    </row>
    <row r="14834" spans="24:25">
      <c r="X14834" s="19"/>
      <c r="Y14834" s="20"/>
    </row>
    <row r="14835" spans="24:25">
      <c r="X14835" s="19"/>
      <c r="Y14835" s="20"/>
    </row>
    <row r="14836" spans="24:25">
      <c r="X14836" s="19"/>
      <c r="Y14836" s="20"/>
    </row>
    <row r="14837" spans="24:25">
      <c r="X14837" s="19"/>
      <c r="Y14837" s="20"/>
    </row>
    <row r="14838" spans="24:25">
      <c r="X14838" s="19"/>
      <c r="Y14838" s="20"/>
    </row>
    <row r="14839" spans="24:25">
      <c r="X14839" s="19"/>
      <c r="Y14839" s="20"/>
    </row>
    <row r="14840" spans="24:25">
      <c r="X14840" s="19"/>
      <c r="Y14840" s="20"/>
    </row>
    <row r="14841" spans="24:25">
      <c r="X14841" s="19"/>
      <c r="Y14841" s="20"/>
    </row>
    <row r="14842" spans="24:25">
      <c r="X14842" s="19"/>
      <c r="Y14842" s="20"/>
    </row>
    <row r="14843" spans="24:25">
      <c r="X14843" s="19"/>
      <c r="Y14843" s="20"/>
    </row>
    <row r="14844" spans="24:25">
      <c r="X14844" s="19"/>
      <c r="Y14844" s="20"/>
    </row>
    <row r="14845" spans="24:25">
      <c r="X14845" s="19"/>
      <c r="Y14845" s="20"/>
    </row>
    <row r="14846" spans="24:25">
      <c r="X14846" s="19"/>
      <c r="Y14846" s="20"/>
    </row>
    <row r="14847" spans="24:25">
      <c r="X14847" s="19"/>
      <c r="Y14847" s="20"/>
    </row>
    <row r="14848" spans="24:25">
      <c r="X14848" s="19"/>
      <c r="Y14848" s="20"/>
    </row>
    <row r="14849" spans="24:25">
      <c r="X14849" s="19"/>
      <c r="Y14849" s="20"/>
    </row>
    <row r="14850" spans="24:25">
      <c r="X14850" s="19"/>
      <c r="Y14850" s="20"/>
    </row>
    <row r="14851" spans="24:25">
      <c r="X14851" s="19"/>
      <c r="Y14851" s="20"/>
    </row>
    <row r="14852" spans="24:25">
      <c r="X14852" s="19"/>
      <c r="Y14852" s="20"/>
    </row>
    <row r="14853" spans="24:25">
      <c r="X14853" s="19"/>
      <c r="Y14853" s="20"/>
    </row>
    <row r="14854" spans="24:25">
      <c r="X14854" s="19"/>
      <c r="Y14854" s="20"/>
    </row>
    <row r="14855" spans="24:25">
      <c r="X14855" s="19"/>
      <c r="Y14855" s="20"/>
    </row>
    <row r="14856" spans="24:25">
      <c r="X14856" s="19"/>
      <c r="Y14856" s="20"/>
    </row>
    <row r="14857" spans="24:25">
      <c r="X14857" s="19"/>
      <c r="Y14857" s="20"/>
    </row>
    <row r="14858" spans="24:25">
      <c r="X14858" s="19"/>
      <c r="Y14858" s="20"/>
    </row>
    <row r="14859" spans="24:25">
      <c r="X14859" s="19"/>
      <c r="Y14859" s="20"/>
    </row>
    <row r="14860" spans="24:25">
      <c r="X14860" s="19"/>
      <c r="Y14860" s="20"/>
    </row>
    <row r="14861" spans="24:25">
      <c r="X14861" s="19"/>
      <c r="Y14861" s="20"/>
    </row>
    <row r="14862" spans="24:25">
      <c r="X14862" s="19"/>
      <c r="Y14862" s="20"/>
    </row>
    <row r="14863" spans="24:25">
      <c r="X14863" s="19"/>
      <c r="Y14863" s="20"/>
    </row>
    <row r="14864" spans="24:25">
      <c r="X14864" s="19"/>
      <c r="Y14864" s="20"/>
    </row>
    <row r="14865" spans="24:25">
      <c r="X14865" s="19"/>
      <c r="Y14865" s="20"/>
    </row>
    <row r="14866" spans="24:25">
      <c r="X14866" s="19"/>
      <c r="Y14866" s="20"/>
    </row>
    <row r="14867" spans="24:25">
      <c r="X14867" s="19"/>
      <c r="Y14867" s="20"/>
    </row>
    <row r="14868" spans="24:25">
      <c r="X14868" s="19"/>
      <c r="Y14868" s="20"/>
    </row>
    <row r="14869" spans="24:25">
      <c r="X14869" s="19"/>
      <c r="Y14869" s="20"/>
    </row>
    <row r="14870" spans="24:25">
      <c r="X14870" s="19"/>
      <c r="Y14870" s="20"/>
    </row>
    <row r="14871" spans="24:25">
      <c r="X14871" s="19"/>
      <c r="Y14871" s="20"/>
    </row>
    <row r="14872" spans="24:25">
      <c r="X14872" s="19"/>
      <c r="Y14872" s="20"/>
    </row>
    <row r="14873" spans="24:25">
      <c r="X14873" s="19"/>
      <c r="Y14873" s="20"/>
    </row>
    <row r="14874" spans="24:25">
      <c r="X14874" s="19"/>
      <c r="Y14874" s="20"/>
    </row>
    <row r="14875" spans="24:25">
      <c r="X14875" s="19"/>
      <c r="Y14875" s="20"/>
    </row>
    <row r="14876" spans="24:25">
      <c r="X14876" s="19"/>
      <c r="Y14876" s="20"/>
    </row>
    <row r="14877" spans="24:25">
      <c r="X14877" s="19"/>
      <c r="Y14877" s="20"/>
    </row>
    <row r="14878" spans="24:25">
      <c r="X14878" s="19"/>
      <c r="Y14878" s="20"/>
    </row>
    <row r="14879" spans="24:25">
      <c r="X14879" s="19"/>
      <c r="Y14879" s="20"/>
    </row>
    <row r="14880" spans="24:25">
      <c r="X14880" s="19"/>
      <c r="Y14880" s="20"/>
    </row>
    <row r="14881" spans="24:25">
      <c r="X14881" s="19"/>
      <c r="Y14881" s="20"/>
    </row>
    <row r="14882" spans="24:25">
      <c r="X14882" s="19"/>
      <c r="Y14882" s="20"/>
    </row>
    <row r="14883" spans="24:25">
      <c r="X14883" s="19"/>
      <c r="Y14883" s="20"/>
    </row>
    <row r="14884" spans="24:25">
      <c r="X14884" s="19"/>
      <c r="Y14884" s="20"/>
    </row>
    <row r="14885" spans="24:25">
      <c r="X14885" s="19"/>
      <c r="Y14885" s="20"/>
    </row>
    <row r="14886" spans="24:25">
      <c r="X14886" s="19"/>
      <c r="Y14886" s="20"/>
    </row>
    <row r="14887" spans="24:25">
      <c r="X14887" s="19"/>
      <c r="Y14887" s="20"/>
    </row>
    <row r="14888" spans="24:25">
      <c r="X14888" s="19"/>
      <c r="Y14888" s="20"/>
    </row>
    <row r="14889" spans="24:25">
      <c r="X14889" s="19"/>
      <c r="Y14889" s="20"/>
    </row>
    <row r="14890" spans="24:25">
      <c r="X14890" s="19"/>
      <c r="Y14890" s="20"/>
    </row>
    <row r="14891" spans="24:25">
      <c r="X14891" s="19"/>
      <c r="Y14891" s="20"/>
    </row>
    <row r="14892" spans="24:25">
      <c r="X14892" s="19"/>
      <c r="Y14892" s="20"/>
    </row>
    <row r="14893" spans="24:25">
      <c r="X14893" s="19"/>
      <c r="Y14893" s="20"/>
    </row>
    <row r="14894" spans="24:25">
      <c r="X14894" s="19"/>
      <c r="Y14894" s="20"/>
    </row>
    <row r="14895" spans="24:25">
      <c r="X14895" s="19"/>
      <c r="Y14895" s="20"/>
    </row>
    <row r="14896" spans="24:25">
      <c r="X14896" s="19"/>
      <c r="Y14896" s="20"/>
    </row>
    <row r="14897" spans="24:25">
      <c r="X14897" s="19"/>
      <c r="Y14897" s="20"/>
    </row>
    <row r="14898" spans="24:25">
      <c r="X14898" s="19"/>
      <c r="Y14898" s="20"/>
    </row>
    <row r="14899" spans="24:25">
      <c r="X14899" s="19"/>
      <c r="Y14899" s="20"/>
    </row>
    <row r="14900" spans="24:25">
      <c r="X14900" s="19"/>
      <c r="Y14900" s="20"/>
    </row>
    <row r="14901" spans="24:25">
      <c r="X14901" s="19"/>
      <c r="Y14901" s="20"/>
    </row>
    <row r="14902" spans="24:25">
      <c r="X14902" s="19"/>
      <c r="Y14902" s="20"/>
    </row>
    <row r="14903" spans="24:25">
      <c r="X14903" s="19"/>
      <c r="Y14903" s="20"/>
    </row>
    <row r="14904" spans="24:25">
      <c r="X14904" s="19"/>
      <c r="Y14904" s="20"/>
    </row>
    <row r="14905" spans="24:25">
      <c r="X14905" s="19"/>
      <c r="Y14905" s="20"/>
    </row>
    <row r="14906" spans="24:25">
      <c r="X14906" s="19"/>
      <c r="Y14906" s="20"/>
    </row>
    <row r="14907" spans="24:25">
      <c r="X14907" s="19"/>
      <c r="Y14907" s="20"/>
    </row>
    <row r="14908" spans="24:25">
      <c r="X14908" s="19"/>
      <c r="Y14908" s="20"/>
    </row>
    <row r="14909" spans="24:25">
      <c r="X14909" s="19"/>
      <c r="Y14909" s="20"/>
    </row>
    <row r="14910" spans="24:25">
      <c r="X14910" s="19"/>
      <c r="Y14910" s="20"/>
    </row>
    <row r="14911" spans="24:25">
      <c r="X14911" s="19"/>
      <c r="Y14911" s="20"/>
    </row>
    <row r="14912" spans="24:25">
      <c r="X14912" s="19"/>
      <c r="Y14912" s="20"/>
    </row>
    <row r="14913" spans="24:25">
      <c r="X14913" s="19"/>
      <c r="Y14913" s="20"/>
    </row>
    <row r="14914" spans="24:25">
      <c r="X14914" s="19"/>
      <c r="Y14914" s="20"/>
    </row>
    <row r="14915" spans="24:25">
      <c r="X14915" s="19"/>
      <c r="Y14915" s="20"/>
    </row>
    <row r="14916" spans="24:25">
      <c r="X14916" s="19"/>
      <c r="Y14916" s="20"/>
    </row>
    <row r="14917" spans="24:25">
      <c r="X14917" s="19"/>
      <c r="Y14917" s="20"/>
    </row>
    <row r="14918" spans="24:25">
      <c r="X14918" s="19"/>
      <c r="Y14918" s="20"/>
    </row>
    <row r="14919" spans="24:25">
      <c r="X14919" s="19"/>
      <c r="Y14919" s="20"/>
    </row>
    <row r="14920" spans="24:25">
      <c r="X14920" s="19"/>
      <c r="Y14920" s="20"/>
    </row>
    <row r="14921" spans="24:25">
      <c r="X14921" s="19"/>
      <c r="Y14921" s="20"/>
    </row>
    <row r="14922" spans="24:25">
      <c r="X14922" s="19"/>
      <c r="Y14922" s="20"/>
    </row>
    <row r="14923" spans="24:25">
      <c r="X14923" s="19"/>
      <c r="Y14923" s="20"/>
    </row>
    <row r="14924" spans="24:25">
      <c r="X14924" s="19"/>
      <c r="Y14924" s="20"/>
    </row>
    <row r="14925" spans="24:25">
      <c r="X14925" s="19"/>
      <c r="Y14925" s="20"/>
    </row>
    <row r="14926" spans="24:25">
      <c r="X14926" s="19"/>
      <c r="Y14926" s="20"/>
    </row>
    <row r="14927" spans="24:25">
      <c r="X14927" s="19"/>
      <c r="Y14927" s="20"/>
    </row>
    <row r="14928" spans="24:25">
      <c r="X14928" s="19"/>
      <c r="Y14928" s="20"/>
    </row>
    <row r="14929" spans="24:25">
      <c r="X14929" s="19"/>
      <c r="Y14929" s="20"/>
    </row>
    <row r="14930" spans="24:25">
      <c r="X14930" s="19"/>
      <c r="Y14930" s="20"/>
    </row>
    <row r="14931" spans="24:25">
      <c r="X14931" s="19"/>
      <c r="Y14931" s="20"/>
    </row>
    <row r="14932" spans="24:25">
      <c r="X14932" s="19"/>
      <c r="Y14932" s="20"/>
    </row>
    <row r="14933" spans="24:25">
      <c r="X14933" s="19"/>
      <c r="Y14933" s="20"/>
    </row>
    <row r="14934" spans="24:25">
      <c r="X14934" s="19"/>
      <c r="Y14934" s="20"/>
    </row>
    <row r="14935" spans="24:25">
      <c r="X14935" s="19"/>
      <c r="Y14935" s="20"/>
    </row>
    <row r="14936" spans="24:25">
      <c r="X14936" s="19"/>
      <c r="Y14936" s="20"/>
    </row>
    <row r="14937" spans="24:25">
      <c r="X14937" s="19"/>
      <c r="Y14937" s="20"/>
    </row>
    <row r="14938" spans="24:25">
      <c r="X14938" s="19"/>
      <c r="Y14938" s="20"/>
    </row>
    <row r="14939" spans="24:25">
      <c r="X14939" s="19"/>
      <c r="Y14939" s="20"/>
    </row>
    <row r="14940" spans="24:25">
      <c r="X14940" s="19"/>
      <c r="Y14940" s="20"/>
    </row>
    <row r="14941" spans="24:25">
      <c r="X14941" s="19"/>
      <c r="Y14941" s="20"/>
    </row>
    <row r="14942" spans="24:25">
      <c r="X14942" s="19"/>
      <c r="Y14942" s="20"/>
    </row>
    <row r="14943" spans="24:25">
      <c r="X14943" s="19"/>
      <c r="Y14943" s="20"/>
    </row>
    <row r="14944" spans="24:25">
      <c r="X14944" s="19"/>
      <c r="Y14944" s="20"/>
    </row>
    <row r="14945" spans="24:25">
      <c r="X14945" s="19"/>
      <c r="Y14945" s="20"/>
    </row>
    <row r="14946" spans="24:25">
      <c r="X14946" s="19"/>
      <c r="Y14946" s="20"/>
    </row>
    <row r="14947" spans="24:25">
      <c r="X14947" s="19"/>
      <c r="Y14947" s="20"/>
    </row>
    <row r="14948" spans="24:25">
      <c r="X14948" s="19"/>
      <c r="Y14948" s="20"/>
    </row>
    <row r="14949" spans="24:25">
      <c r="X14949" s="19"/>
      <c r="Y14949" s="20"/>
    </row>
    <row r="14950" spans="24:25">
      <c r="X14950" s="19"/>
      <c r="Y14950" s="20"/>
    </row>
    <row r="14951" spans="24:25">
      <c r="X14951" s="19"/>
      <c r="Y14951" s="20"/>
    </row>
    <row r="14952" spans="24:25">
      <c r="X14952" s="19"/>
      <c r="Y14952" s="20"/>
    </row>
    <row r="14953" spans="24:25">
      <c r="X14953" s="19"/>
      <c r="Y14953" s="20"/>
    </row>
    <row r="14954" spans="24:25">
      <c r="X14954" s="19"/>
      <c r="Y14954" s="20"/>
    </row>
    <row r="14955" spans="24:25">
      <c r="X14955" s="19"/>
      <c r="Y14955" s="20"/>
    </row>
    <row r="14956" spans="24:25">
      <c r="X14956" s="19"/>
      <c r="Y14956" s="20"/>
    </row>
    <row r="14957" spans="24:25">
      <c r="X14957" s="19"/>
      <c r="Y14957" s="20"/>
    </row>
    <row r="14958" spans="24:25">
      <c r="X14958" s="19"/>
      <c r="Y14958" s="20"/>
    </row>
    <row r="14959" spans="24:25">
      <c r="X14959" s="19"/>
      <c r="Y14959" s="20"/>
    </row>
    <row r="14960" spans="24:25">
      <c r="X14960" s="19"/>
      <c r="Y14960" s="20"/>
    </row>
    <row r="14961" spans="24:25">
      <c r="X14961" s="19"/>
      <c r="Y14961" s="20"/>
    </row>
    <row r="14962" spans="24:25">
      <c r="X14962" s="19"/>
      <c r="Y14962" s="20"/>
    </row>
    <row r="14963" spans="24:25">
      <c r="X14963" s="19"/>
      <c r="Y14963" s="20"/>
    </row>
    <row r="14964" spans="24:25">
      <c r="X14964" s="19"/>
      <c r="Y14964" s="20"/>
    </row>
    <row r="14965" spans="24:25">
      <c r="X14965" s="19"/>
      <c r="Y14965" s="20"/>
    </row>
    <row r="14966" spans="24:25">
      <c r="X14966" s="19"/>
      <c r="Y14966" s="20"/>
    </row>
    <row r="14967" spans="24:25">
      <c r="X14967" s="19"/>
      <c r="Y14967" s="20"/>
    </row>
    <row r="14968" spans="24:25">
      <c r="X14968" s="19"/>
      <c r="Y14968" s="20"/>
    </row>
    <row r="14969" spans="24:25">
      <c r="X14969" s="19"/>
      <c r="Y14969" s="20"/>
    </row>
    <row r="14970" spans="24:25">
      <c r="X14970" s="19"/>
      <c r="Y14970" s="20"/>
    </row>
    <row r="14971" spans="24:25">
      <c r="X14971" s="19"/>
      <c r="Y14971" s="20"/>
    </row>
    <row r="14972" spans="24:25">
      <c r="X14972" s="19"/>
      <c r="Y14972" s="20"/>
    </row>
    <row r="14973" spans="24:25">
      <c r="X14973" s="19"/>
      <c r="Y14973" s="20"/>
    </row>
    <row r="14974" spans="24:25">
      <c r="X14974" s="19"/>
      <c r="Y14974" s="20"/>
    </row>
    <row r="14975" spans="24:25">
      <c r="X14975" s="19"/>
      <c r="Y14975" s="20"/>
    </row>
    <row r="14976" spans="24:25">
      <c r="X14976" s="19"/>
      <c r="Y14976" s="20"/>
    </row>
    <row r="14977" spans="24:25">
      <c r="X14977" s="19"/>
      <c r="Y14977" s="20"/>
    </row>
    <row r="14978" spans="24:25">
      <c r="X14978" s="19"/>
      <c r="Y14978" s="20"/>
    </row>
    <row r="14979" spans="24:25">
      <c r="X14979" s="19"/>
      <c r="Y14979" s="20"/>
    </row>
    <row r="14980" spans="24:25">
      <c r="X14980" s="19"/>
      <c r="Y14980" s="20"/>
    </row>
    <row r="14981" spans="24:25">
      <c r="X14981" s="19"/>
      <c r="Y14981" s="20"/>
    </row>
    <row r="14982" spans="24:25">
      <c r="X14982" s="19"/>
      <c r="Y14982" s="20"/>
    </row>
    <row r="14983" spans="24:25">
      <c r="X14983" s="19"/>
      <c r="Y14983" s="20"/>
    </row>
    <row r="14984" spans="24:25">
      <c r="X14984" s="19"/>
      <c r="Y14984" s="20"/>
    </row>
    <row r="14985" spans="24:25">
      <c r="X14985" s="19"/>
      <c r="Y14985" s="20"/>
    </row>
    <row r="14986" spans="24:25">
      <c r="X14986" s="19"/>
      <c r="Y14986" s="20"/>
    </row>
    <row r="14987" spans="24:25">
      <c r="X14987" s="19"/>
      <c r="Y14987" s="20"/>
    </row>
    <row r="14988" spans="24:25">
      <c r="X14988" s="19"/>
      <c r="Y14988" s="20"/>
    </row>
    <row r="14989" spans="24:25">
      <c r="X14989" s="19"/>
      <c r="Y14989" s="20"/>
    </row>
    <row r="14990" spans="24:25">
      <c r="X14990" s="19"/>
      <c r="Y14990" s="20"/>
    </row>
    <row r="14991" spans="24:25">
      <c r="X14991" s="19"/>
      <c r="Y14991" s="20"/>
    </row>
    <row r="14992" spans="24:25">
      <c r="X14992" s="19"/>
      <c r="Y14992" s="20"/>
    </row>
    <row r="14993" spans="24:25">
      <c r="X14993" s="19"/>
      <c r="Y14993" s="20"/>
    </row>
    <row r="14994" spans="24:25">
      <c r="X14994" s="19"/>
      <c r="Y14994" s="20"/>
    </row>
    <row r="14995" spans="24:25">
      <c r="X14995" s="19"/>
      <c r="Y14995" s="20"/>
    </row>
    <row r="14996" spans="24:25">
      <c r="X14996" s="19"/>
      <c r="Y14996" s="20"/>
    </row>
    <row r="14997" spans="24:25">
      <c r="X14997" s="19"/>
      <c r="Y14997" s="20"/>
    </row>
    <row r="14998" spans="24:25">
      <c r="X14998" s="19"/>
      <c r="Y14998" s="20"/>
    </row>
    <row r="14999" spans="24:25">
      <c r="X14999" s="19"/>
      <c r="Y14999" s="20"/>
    </row>
    <row r="15000" spans="24:25">
      <c r="X15000" s="19"/>
      <c r="Y15000" s="20"/>
    </row>
    <row r="15001" spans="24:25">
      <c r="X15001" s="19"/>
      <c r="Y15001" s="20"/>
    </row>
    <row r="15002" spans="24:25">
      <c r="X15002" s="19"/>
      <c r="Y15002" s="20"/>
    </row>
    <row r="15003" spans="24:25">
      <c r="X15003" s="19"/>
      <c r="Y15003" s="20"/>
    </row>
    <row r="15004" spans="24:25">
      <c r="X15004" s="19"/>
      <c r="Y15004" s="20"/>
    </row>
    <row r="15005" spans="24:25">
      <c r="X15005" s="19"/>
      <c r="Y15005" s="20"/>
    </row>
    <row r="15006" spans="24:25">
      <c r="X15006" s="19"/>
      <c r="Y15006" s="20"/>
    </row>
    <row r="15007" spans="24:25">
      <c r="X15007" s="19"/>
      <c r="Y15007" s="20"/>
    </row>
    <row r="15008" spans="24:25">
      <c r="X15008" s="19"/>
      <c r="Y15008" s="20"/>
    </row>
    <row r="15009" spans="24:25">
      <c r="X15009" s="19"/>
      <c r="Y15009" s="20"/>
    </row>
    <row r="15010" spans="24:25">
      <c r="X15010" s="19"/>
      <c r="Y15010" s="20"/>
    </row>
    <row r="15011" spans="24:25">
      <c r="X15011" s="19"/>
      <c r="Y15011" s="20"/>
    </row>
    <row r="15012" spans="24:25">
      <c r="X15012" s="19"/>
      <c r="Y15012" s="20"/>
    </row>
    <row r="15013" spans="24:25">
      <c r="X15013" s="19"/>
      <c r="Y15013" s="20"/>
    </row>
    <row r="15014" spans="24:25">
      <c r="X15014" s="19"/>
      <c r="Y15014" s="20"/>
    </row>
    <row r="15015" spans="24:25">
      <c r="X15015" s="19"/>
      <c r="Y15015" s="20"/>
    </row>
    <row r="15016" spans="24:25">
      <c r="X15016" s="19"/>
      <c r="Y15016" s="20"/>
    </row>
    <row r="15017" spans="24:25">
      <c r="X15017" s="19"/>
      <c r="Y15017" s="20"/>
    </row>
    <row r="15018" spans="24:25">
      <c r="X15018" s="19"/>
      <c r="Y15018" s="20"/>
    </row>
    <row r="15019" spans="24:25">
      <c r="X15019" s="19"/>
      <c r="Y15019" s="20"/>
    </row>
    <row r="15020" spans="24:25">
      <c r="X15020" s="19"/>
      <c r="Y15020" s="20"/>
    </row>
    <row r="15021" spans="24:25">
      <c r="X15021" s="19"/>
      <c r="Y15021" s="20"/>
    </row>
    <row r="15022" spans="24:25">
      <c r="X15022" s="19"/>
      <c r="Y15022" s="20"/>
    </row>
    <row r="15023" spans="24:25">
      <c r="X15023" s="19"/>
      <c r="Y15023" s="20"/>
    </row>
    <row r="15024" spans="24:25">
      <c r="X15024" s="19"/>
      <c r="Y15024" s="20"/>
    </row>
    <row r="15025" spans="24:25">
      <c r="X15025" s="19"/>
      <c r="Y15025" s="20"/>
    </row>
    <row r="15026" spans="24:25">
      <c r="X15026" s="19"/>
      <c r="Y15026" s="20"/>
    </row>
    <row r="15027" spans="24:25">
      <c r="X15027" s="19"/>
      <c r="Y15027" s="20"/>
    </row>
    <row r="15028" spans="24:25">
      <c r="X15028" s="19"/>
      <c r="Y15028" s="20"/>
    </row>
    <row r="15029" spans="24:25">
      <c r="X15029" s="19"/>
      <c r="Y15029" s="20"/>
    </row>
    <row r="15030" spans="24:25">
      <c r="X15030" s="19"/>
      <c r="Y15030" s="20"/>
    </row>
    <row r="15031" spans="24:25">
      <c r="X15031" s="19"/>
      <c r="Y15031" s="20"/>
    </row>
    <row r="15032" spans="24:25">
      <c r="X15032" s="19"/>
      <c r="Y15032" s="20"/>
    </row>
    <row r="15033" spans="24:25">
      <c r="X15033" s="19"/>
      <c r="Y15033" s="20"/>
    </row>
    <row r="15034" spans="24:25">
      <c r="X15034" s="19"/>
      <c r="Y15034" s="20"/>
    </row>
    <row r="15035" spans="24:25">
      <c r="X15035" s="19"/>
      <c r="Y15035" s="20"/>
    </row>
    <row r="15036" spans="24:25">
      <c r="X15036" s="19"/>
      <c r="Y15036" s="20"/>
    </row>
    <row r="15037" spans="24:25">
      <c r="X15037" s="19"/>
      <c r="Y15037" s="20"/>
    </row>
    <row r="15038" spans="24:25">
      <c r="X15038" s="19"/>
      <c r="Y15038" s="20"/>
    </row>
    <row r="15039" spans="24:25">
      <c r="X15039" s="19"/>
      <c r="Y15039" s="20"/>
    </row>
    <row r="15040" spans="24:25">
      <c r="X15040" s="19"/>
      <c r="Y15040" s="20"/>
    </row>
    <row r="15041" spans="24:25">
      <c r="X15041" s="19"/>
      <c r="Y15041" s="20"/>
    </row>
    <row r="15042" spans="24:25">
      <c r="X15042" s="19"/>
      <c r="Y15042" s="20"/>
    </row>
    <row r="15043" spans="24:25">
      <c r="X15043" s="19"/>
      <c r="Y15043" s="20"/>
    </row>
    <row r="15044" spans="24:25">
      <c r="X15044" s="19"/>
      <c r="Y15044" s="20"/>
    </row>
    <row r="15045" spans="24:25">
      <c r="X15045" s="19"/>
      <c r="Y15045" s="20"/>
    </row>
    <row r="15046" spans="24:25">
      <c r="X15046" s="19"/>
      <c r="Y15046" s="20"/>
    </row>
    <row r="15047" spans="24:25">
      <c r="X15047" s="19"/>
      <c r="Y15047" s="20"/>
    </row>
    <row r="15048" spans="24:25">
      <c r="X15048" s="19"/>
      <c r="Y15048" s="20"/>
    </row>
    <row r="15049" spans="24:25">
      <c r="X15049" s="19"/>
      <c r="Y15049" s="20"/>
    </row>
    <row r="15050" spans="24:25">
      <c r="X15050" s="19"/>
      <c r="Y15050" s="20"/>
    </row>
    <row r="15051" spans="24:25">
      <c r="X15051" s="19"/>
      <c r="Y15051" s="20"/>
    </row>
    <row r="15052" spans="24:25">
      <c r="X15052" s="19"/>
      <c r="Y15052" s="20"/>
    </row>
    <row r="15053" spans="24:25">
      <c r="X15053" s="19"/>
      <c r="Y15053" s="20"/>
    </row>
    <row r="15054" spans="24:25">
      <c r="X15054" s="19"/>
      <c r="Y15054" s="20"/>
    </row>
    <row r="15055" spans="24:25">
      <c r="X15055" s="19"/>
      <c r="Y15055" s="20"/>
    </row>
    <row r="15056" spans="24:25">
      <c r="X15056" s="19"/>
      <c r="Y15056" s="20"/>
    </row>
    <row r="15057" spans="24:25">
      <c r="X15057" s="19"/>
      <c r="Y15057" s="20"/>
    </row>
    <row r="15058" spans="24:25">
      <c r="X15058" s="19"/>
      <c r="Y15058" s="20"/>
    </row>
    <row r="15059" spans="24:25">
      <c r="X15059" s="19"/>
      <c r="Y15059" s="20"/>
    </row>
    <row r="15060" spans="24:25">
      <c r="X15060" s="19"/>
      <c r="Y15060" s="20"/>
    </row>
    <row r="15061" spans="24:25">
      <c r="X15061" s="19"/>
      <c r="Y15061" s="20"/>
    </row>
    <row r="15062" spans="24:25">
      <c r="X15062" s="19"/>
      <c r="Y15062" s="20"/>
    </row>
    <row r="15063" spans="24:25">
      <c r="X15063" s="19"/>
      <c r="Y15063" s="20"/>
    </row>
    <row r="15064" spans="24:25">
      <c r="X15064" s="19"/>
      <c r="Y15064" s="20"/>
    </row>
    <row r="15065" spans="24:25">
      <c r="X15065" s="19"/>
      <c r="Y15065" s="20"/>
    </row>
    <row r="15066" spans="24:25">
      <c r="X15066" s="19"/>
      <c r="Y15066" s="20"/>
    </row>
    <row r="15067" spans="24:25">
      <c r="X15067" s="19"/>
      <c r="Y15067" s="20"/>
    </row>
    <row r="15068" spans="24:25">
      <c r="X15068" s="19"/>
      <c r="Y15068" s="20"/>
    </row>
    <row r="15069" spans="24:25">
      <c r="X15069" s="19"/>
      <c r="Y15069" s="20"/>
    </row>
    <row r="15070" spans="24:25">
      <c r="X15070" s="19"/>
      <c r="Y15070" s="20"/>
    </row>
    <row r="15071" spans="24:25">
      <c r="X15071" s="19"/>
      <c r="Y15071" s="20"/>
    </row>
    <row r="15072" spans="24:25">
      <c r="X15072" s="19"/>
      <c r="Y15072" s="20"/>
    </row>
    <row r="15073" spans="24:25">
      <c r="X15073" s="19"/>
      <c r="Y15073" s="20"/>
    </row>
    <row r="15074" spans="24:25">
      <c r="X15074" s="19"/>
      <c r="Y15074" s="20"/>
    </row>
    <row r="15075" spans="24:25">
      <c r="X15075" s="19"/>
      <c r="Y15075" s="20"/>
    </row>
    <row r="15076" spans="24:25">
      <c r="X15076" s="19"/>
      <c r="Y15076" s="20"/>
    </row>
    <row r="15077" spans="24:25">
      <c r="X15077" s="19"/>
      <c r="Y15077" s="20"/>
    </row>
    <row r="15078" spans="24:25">
      <c r="X15078" s="19"/>
      <c r="Y15078" s="20"/>
    </row>
    <row r="15079" spans="24:25">
      <c r="X15079" s="19"/>
      <c r="Y15079" s="20"/>
    </row>
    <row r="15080" spans="24:25">
      <c r="X15080" s="19"/>
      <c r="Y15080" s="20"/>
    </row>
    <row r="15081" spans="24:25">
      <c r="X15081" s="19"/>
      <c r="Y15081" s="20"/>
    </row>
    <row r="15082" spans="24:25">
      <c r="X15082" s="19"/>
      <c r="Y15082" s="20"/>
    </row>
    <row r="15083" spans="24:25">
      <c r="X15083" s="19"/>
      <c r="Y15083" s="20"/>
    </row>
    <row r="15084" spans="24:25">
      <c r="X15084" s="19"/>
      <c r="Y15084" s="20"/>
    </row>
    <row r="15085" spans="24:25">
      <c r="X15085" s="19"/>
      <c r="Y15085" s="20"/>
    </row>
    <row r="15086" spans="24:25">
      <c r="X15086" s="19"/>
      <c r="Y15086" s="20"/>
    </row>
    <row r="15087" spans="24:25">
      <c r="X15087" s="19"/>
      <c r="Y15087" s="20"/>
    </row>
    <row r="15088" spans="24:25">
      <c r="X15088" s="19"/>
      <c r="Y15088" s="20"/>
    </row>
    <row r="15089" spans="24:25">
      <c r="X15089" s="19"/>
      <c r="Y15089" s="20"/>
    </row>
    <row r="15090" spans="24:25">
      <c r="X15090" s="19"/>
      <c r="Y15090" s="20"/>
    </row>
    <row r="15091" spans="24:25">
      <c r="X15091" s="19"/>
      <c r="Y15091" s="20"/>
    </row>
    <row r="15092" spans="24:25">
      <c r="X15092" s="19"/>
      <c r="Y15092" s="20"/>
    </row>
    <row r="15093" spans="24:25">
      <c r="X15093" s="19"/>
      <c r="Y15093" s="20"/>
    </row>
    <row r="15094" spans="24:25">
      <c r="X15094" s="19"/>
      <c r="Y15094" s="20"/>
    </row>
    <row r="15095" spans="24:25">
      <c r="X15095" s="19"/>
      <c r="Y15095" s="20"/>
    </row>
    <row r="15096" spans="24:25">
      <c r="X15096" s="19"/>
      <c r="Y15096" s="20"/>
    </row>
    <row r="15097" spans="24:25">
      <c r="X15097" s="19"/>
      <c r="Y15097" s="20"/>
    </row>
    <row r="15098" spans="24:25">
      <c r="X15098" s="19"/>
      <c r="Y15098" s="20"/>
    </row>
    <row r="15099" spans="24:25">
      <c r="X15099" s="19"/>
      <c r="Y15099" s="20"/>
    </row>
    <row r="15100" spans="24:25">
      <c r="X15100" s="19"/>
      <c r="Y15100" s="20"/>
    </row>
    <row r="15101" spans="24:25">
      <c r="X15101" s="19"/>
      <c r="Y15101" s="20"/>
    </row>
    <row r="15102" spans="24:25">
      <c r="X15102" s="19"/>
      <c r="Y15102" s="20"/>
    </row>
    <row r="15103" spans="24:25">
      <c r="X15103" s="19"/>
      <c r="Y15103" s="20"/>
    </row>
    <row r="15104" spans="24:25">
      <c r="X15104" s="19"/>
      <c r="Y15104" s="20"/>
    </row>
    <row r="15105" spans="24:25">
      <c r="X15105" s="19"/>
      <c r="Y15105" s="20"/>
    </row>
    <row r="15106" spans="24:25">
      <c r="X15106" s="19"/>
      <c r="Y15106" s="20"/>
    </row>
    <row r="15107" spans="24:25">
      <c r="X15107" s="19"/>
      <c r="Y15107" s="20"/>
    </row>
    <row r="15108" spans="24:25">
      <c r="X15108" s="19"/>
      <c r="Y15108" s="20"/>
    </row>
    <row r="15109" spans="24:25">
      <c r="X15109" s="19"/>
      <c r="Y15109" s="20"/>
    </row>
    <row r="15110" spans="24:25">
      <c r="X15110" s="19"/>
      <c r="Y15110" s="20"/>
    </row>
    <row r="15111" spans="24:25">
      <c r="X15111" s="19"/>
      <c r="Y15111" s="20"/>
    </row>
    <row r="15112" spans="24:25">
      <c r="X15112" s="19"/>
      <c r="Y15112" s="20"/>
    </row>
    <row r="15113" spans="24:25">
      <c r="X15113" s="19"/>
      <c r="Y15113" s="20"/>
    </row>
    <row r="15114" spans="24:25">
      <c r="X15114" s="19"/>
      <c r="Y15114" s="20"/>
    </row>
    <row r="15115" spans="24:25">
      <c r="X15115" s="19"/>
      <c r="Y15115" s="20"/>
    </row>
    <row r="15116" spans="24:25">
      <c r="X15116" s="19"/>
      <c r="Y15116" s="20"/>
    </row>
    <row r="15117" spans="24:25">
      <c r="X15117" s="19"/>
      <c r="Y15117" s="20"/>
    </row>
    <row r="15118" spans="24:25">
      <c r="X15118" s="19"/>
      <c r="Y15118" s="20"/>
    </row>
    <row r="15119" spans="24:25">
      <c r="X15119" s="19"/>
      <c r="Y15119" s="20"/>
    </row>
    <row r="15120" spans="24:25">
      <c r="X15120" s="19"/>
      <c r="Y15120" s="20"/>
    </row>
    <row r="15121" spans="24:25">
      <c r="X15121" s="19"/>
      <c r="Y15121" s="20"/>
    </row>
    <row r="15122" spans="24:25">
      <c r="X15122" s="19"/>
      <c r="Y15122" s="20"/>
    </row>
    <row r="15123" spans="24:25">
      <c r="X15123" s="19"/>
      <c r="Y15123" s="20"/>
    </row>
    <row r="15124" spans="24:25">
      <c r="X15124" s="19"/>
      <c r="Y15124" s="20"/>
    </row>
    <row r="15125" spans="24:25">
      <c r="X15125" s="19"/>
      <c r="Y15125" s="20"/>
    </row>
    <row r="15126" spans="24:25">
      <c r="X15126" s="19"/>
      <c r="Y15126" s="20"/>
    </row>
    <row r="15127" spans="24:25">
      <c r="X15127" s="19"/>
      <c r="Y15127" s="20"/>
    </row>
    <row r="15128" spans="24:25">
      <c r="X15128" s="19"/>
      <c r="Y15128" s="20"/>
    </row>
    <row r="15129" spans="24:25">
      <c r="X15129" s="19"/>
      <c r="Y15129" s="20"/>
    </row>
    <row r="15130" spans="24:25">
      <c r="X15130" s="19"/>
      <c r="Y15130" s="20"/>
    </row>
    <row r="15131" spans="24:25">
      <c r="X15131" s="19"/>
      <c r="Y15131" s="20"/>
    </row>
    <row r="15132" spans="24:25">
      <c r="X15132" s="19"/>
      <c r="Y15132" s="20"/>
    </row>
    <row r="15133" spans="24:25">
      <c r="X15133" s="19"/>
      <c r="Y15133" s="20"/>
    </row>
    <row r="15134" spans="24:25">
      <c r="X15134" s="19"/>
      <c r="Y15134" s="20"/>
    </row>
    <row r="15135" spans="24:25">
      <c r="X15135" s="19"/>
      <c r="Y15135" s="20"/>
    </row>
    <row r="15136" spans="24:25">
      <c r="X15136" s="19"/>
      <c r="Y15136" s="20"/>
    </row>
    <row r="15137" spans="24:25">
      <c r="X15137" s="19"/>
      <c r="Y15137" s="20"/>
    </row>
    <row r="15138" spans="24:25">
      <c r="X15138" s="19"/>
      <c r="Y15138" s="20"/>
    </row>
    <row r="15139" spans="24:25">
      <c r="X15139" s="19"/>
      <c r="Y15139" s="20"/>
    </row>
    <row r="15140" spans="24:25">
      <c r="X15140" s="19"/>
      <c r="Y15140" s="20"/>
    </row>
    <row r="15141" spans="24:25">
      <c r="X15141" s="19"/>
      <c r="Y15141" s="20"/>
    </row>
    <row r="15142" spans="24:25">
      <c r="X15142" s="19"/>
      <c r="Y15142" s="20"/>
    </row>
    <row r="15143" spans="24:25">
      <c r="X15143" s="19"/>
      <c r="Y15143" s="20"/>
    </row>
    <row r="15144" spans="24:25">
      <c r="X15144" s="19"/>
      <c r="Y15144" s="20"/>
    </row>
    <row r="15145" spans="24:25">
      <c r="X15145" s="19"/>
      <c r="Y15145" s="20"/>
    </row>
    <row r="15146" spans="24:25">
      <c r="X15146" s="19"/>
      <c r="Y15146" s="20"/>
    </row>
    <row r="15147" spans="24:25">
      <c r="X15147" s="19"/>
      <c r="Y15147" s="20"/>
    </row>
    <row r="15148" spans="24:25">
      <c r="X15148" s="19"/>
      <c r="Y15148" s="20"/>
    </row>
    <row r="15149" spans="24:25">
      <c r="X15149" s="19"/>
      <c r="Y15149" s="20"/>
    </row>
    <row r="15150" spans="24:25">
      <c r="X15150" s="19"/>
      <c r="Y15150" s="20"/>
    </row>
    <row r="15151" spans="24:25">
      <c r="X15151" s="19"/>
      <c r="Y15151" s="20"/>
    </row>
    <row r="15152" spans="24:25">
      <c r="X15152" s="19"/>
      <c r="Y15152" s="20"/>
    </row>
    <row r="15153" spans="24:25">
      <c r="X15153" s="19"/>
      <c r="Y15153" s="20"/>
    </row>
    <row r="15154" spans="24:25">
      <c r="X15154" s="19"/>
      <c r="Y15154" s="20"/>
    </row>
    <row r="15155" spans="24:25">
      <c r="X15155" s="19"/>
      <c r="Y15155" s="20"/>
    </row>
    <row r="15156" spans="24:25">
      <c r="X15156" s="19"/>
      <c r="Y15156" s="20"/>
    </row>
    <row r="15157" spans="24:25">
      <c r="X15157" s="19"/>
      <c r="Y15157" s="20"/>
    </row>
    <row r="15158" spans="24:25">
      <c r="X15158" s="19"/>
      <c r="Y15158" s="20"/>
    </row>
    <row r="15159" spans="24:25">
      <c r="X15159" s="19"/>
      <c r="Y15159" s="20"/>
    </row>
    <row r="15160" spans="24:25">
      <c r="X15160" s="19"/>
      <c r="Y15160" s="20"/>
    </row>
    <row r="15161" spans="24:25">
      <c r="X15161" s="19"/>
      <c r="Y15161" s="20"/>
    </row>
    <row r="15162" spans="24:25">
      <c r="X15162" s="19"/>
      <c r="Y15162" s="20"/>
    </row>
    <row r="15163" spans="24:25">
      <c r="X15163" s="19"/>
      <c r="Y15163" s="20"/>
    </row>
    <row r="15164" spans="24:25">
      <c r="X15164" s="19"/>
      <c r="Y15164" s="20"/>
    </row>
    <row r="15165" spans="24:25">
      <c r="X15165" s="19"/>
      <c r="Y15165" s="20"/>
    </row>
    <row r="15166" spans="24:25">
      <c r="X15166" s="19"/>
      <c r="Y15166" s="20"/>
    </row>
    <row r="15167" spans="24:25">
      <c r="X15167" s="19"/>
      <c r="Y15167" s="20"/>
    </row>
    <row r="15168" spans="24:25">
      <c r="X15168" s="19"/>
      <c r="Y15168" s="20"/>
    </row>
    <row r="15169" spans="24:25">
      <c r="X15169" s="19"/>
      <c r="Y15169" s="20"/>
    </row>
    <row r="15170" spans="24:25">
      <c r="X15170" s="19"/>
      <c r="Y15170" s="20"/>
    </row>
    <row r="15171" spans="24:25">
      <c r="X15171" s="19"/>
      <c r="Y15171" s="20"/>
    </row>
    <row r="15172" spans="24:25">
      <c r="X15172" s="19"/>
      <c r="Y15172" s="20"/>
    </row>
    <row r="15173" spans="24:25">
      <c r="X15173" s="19"/>
      <c r="Y15173" s="20"/>
    </row>
    <row r="15174" spans="24:25">
      <c r="X15174" s="19"/>
      <c r="Y15174" s="20"/>
    </row>
    <row r="15175" spans="24:25">
      <c r="X15175" s="19"/>
      <c r="Y15175" s="20"/>
    </row>
    <row r="15176" spans="24:25">
      <c r="X15176" s="19"/>
      <c r="Y15176" s="20"/>
    </row>
    <row r="15177" spans="24:25">
      <c r="X15177" s="19"/>
      <c r="Y15177" s="20"/>
    </row>
    <row r="15178" spans="24:25">
      <c r="X15178" s="19"/>
      <c r="Y15178" s="20"/>
    </row>
    <row r="15179" spans="24:25">
      <c r="X15179" s="19"/>
      <c r="Y15179" s="20"/>
    </row>
    <row r="15180" spans="24:25">
      <c r="X15180" s="19"/>
      <c r="Y15180" s="20"/>
    </row>
    <row r="15181" spans="24:25">
      <c r="X15181" s="19"/>
      <c r="Y15181" s="20"/>
    </row>
    <row r="15182" spans="24:25">
      <c r="X15182" s="19"/>
      <c r="Y15182" s="20"/>
    </row>
    <row r="15183" spans="24:25">
      <c r="X15183" s="19"/>
      <c r="Y15183" s="20"/>
    </row>
    <row r="15184" spans="24:25">
      <c r="X15184" s="19"/>
      <c r="Y15184" s="20"/>
    </row>
    <row r="15185" spans="24:25">
      <c r="X15185" s="19"/>
      <c r="Y15185" s="20"/>
    </row>
    <row r="15186" spans="24:25">
      <c r="X15186" s="19"/>
      <c r="Y15186" s="20"/>
    </row>
    <row r="15187" spans="24:25">
      <c r="X15187" s="19"/>
      <c r="Y15187" s="20"/>
    </row>
    <row r="15188" spans="24:25">
      <c r="X15188" s="19"/>
      <c r="Y15188" s="20"/>
    </row>
    <row r="15189" spans="24:25">
      <c r="X15189" s="19"/>
      <c r="Y15189" s="20"/>
    </row>
    <row r="15190" spans="24:25">
      <c r="X15190" s="19"/>
      <c r="Y15190" s="20"/>
    </row>
    <row r="15191" spans="24:25">
      <c r="X15191" s="19"/>
      <c r="Y15191" s="20"/>
    </row>
    <row r="15192" spans="24:25">
      <c r="X15192" s="19"/>
      <c r="Y15192" s="20"/>
    </row>
    <row r="15193" spans="24:25">
      <c r="X15193" s="19"/>
      <c r="Y15193" s="20"/>
    </row>
    <row r="15194" spans="24:25">
      <c r="X15194" s="19"/>
      <c r="Y15194" s="20"/>
    </row>
    <row r="15195" spans="24:25">
      <c r="X15195" s="19"/>
      <c r="Y15195" s="20"/>
    </row>
    <row r="15196" spans="24:25">
      <c r="X15196" s="19"/>
      <c r="Y15196" s="20"/>
    </row>
    <row r="15197" spans="24:25">
      <c r="X15197" s="19"/>
      <c r="Y15197" s="20"/>
    </row>
    <row r="15198" spans="24:25">
      <c r="X15198" s="19"/>
      <c r="Y15198" s="20"/>
    </row>
    <row r="15199" spans="24:25">
      <c r="X15199" s="19"/>
      <c r="Y15199" s="20"/>
    </row>
    <row r="15200" spans="24:25">
      <c r="X15200" s="19"/>
      <c r="Y15200" s="20"/>
    </row>
    <row r="15201" spans="24:25">
      <c r="X15201" s="19"/>
      <c r="Y15201" s="20"/>
    </row>
    <row r="15202" spans="24:25">
      <c r="X15202" s="19"/>
      <c r="Y15202" s="20"/>
    </row>
    <row r="15203" spans="24:25">
      <c r="X15203" s="19"/>
      <c r="Y15203" s="20"/>
    </row>
    <row r="15204" spans="24:25">
      <c r="X15204" s="19"/>
      <c r="Y15204" s="20"/>
    </row>
    <row r="15205" spans="24:25">
      <c r="X15205" s="19"/>
      <c r="Y15205" s="20"/>
    </row>
    <row r="15206" spans="24:25">
      <c r="X15206" s="19"/>
      <c r="Y15206" s="20"/>
    </row>
    <row r="15207" spans="24:25">
      <c r="X15207" s="19"/>
      <c r="Y15207" s="20"/>
    </row>
    <row r="15208" spans="24:25">
      <c r="X15208" s="19"/>
      <c r="Y15208" s="20"/>
    </row>
    <row r="15209" spans="24:25">
      <c r="X15209" s="19"/>
      <c r="Y15209" s="20"/>
    </row>
    <row r="15210" spans="24:25">
      <c r="X15210" s="19"/>
      <c r="Y15210" s="20"/>
    </row>
    <row r="15211" spans="24:25">
      <c r="X15211" s="19"/>
      <c r="Y15211" s="20"/>
    </row>
    <row r="15212" spans="24:25">
      <c r="X15212" s="19"/>
      <c r="Y15212" s="20"/>
    </row>
    <row r="15213" spans="24:25">
      <c r="X15213" s="19"/>
      <c r="Y15213" s="20"/>
    </row>
    <row r="15214" spans="24:25">
      <c r="X15214" s="19"/>
      <c r="Y15214" s="20"/>
    </row>
    <row r="15215" spans="24:25">
      <c r="X15215" s="19"/>
      <c r="Y15215" s="20"/>
    </row>
    <row r="15216" spans="24:25">
      <c r="X15216" s="19"/>
      <c r="Y15216" s="20"/>
    </row>
    <row r="15217" spans="24:25">
      <c r="X15217" s="19"/>
      <c r="Y15217" s="20"/>
    </row>
    <row r="15218" spans="24:25">
      <c r="X15218" s="19"/>
      <c r="Y15218" s="20"/>
    </row>
    <row r="15219" spans="24:25">
      <c r="X15219" s="19"/>
      <c r="Y15219" s="20"/>
    </row>
    <row r="15220" spans="24:25">
      <c r="X15220" s="19"/>
      <c r="Y15220" s="20"/>
    </row>
    <row r="15221" spans="24:25">
      <c r="X15221" s="19"/>
      <c r="Y15221" s="20"/>
    </row>
    <row r="15222" spans="24:25">
      <c r="X15222" s="19"/>
      <c r="Y15222" s="20"/>
    </row>
    <row r="15223" spans="24:25">
      <c r="X15223" s="19"/>
      <c r="Y15223" s="20"/>
    </row>
    <row r="15224" spans="24:25">
      <c r="X15224" s="19"/>
      <c r="Y15224" s="20"/>
    </row>
    <row r="15225" spans="24:25">
      <c r="X15225" s="19"/>
      <c r="Y15225" s="20"/>
    </row>
    <row r="15226" spans="24:25">
      <c r="X15226" s="19"/>
      <c r="Y15226" s="20"/>
    </row>
    <row r="15227" spans="24:25">
      <c r="X15227" s="19"/>
      <c r="Y15227" s="20"/>
    </row>
    <row r="15228" spans="24:25">
      <c r="X15228" s="19"/>
      <c r="Y15228" s="20"/>
    </row>
    <row r="15229" spans="24:25">
      <c r="X15229" s="19"/>
      <c r="Y15229" s="20"/>
    </row>
    <row r="15230" spans="24:25">
      <c r="X15230" s="19"/>
      <c r="Y15230" s="20"/>
    </row>
    <row r="15231" spans="24:25">
      <c r="X15231" s="19"/>
      <c r="Y15231" s="20"/>
    </row>
    <row r="15232" spans="24:25">
      <c r="X15232" s="19"/>
      <c r="Y15232" s="20"/>
    </row>
    <row r="15233" spans="24:25">
      <c r="X15233" s="19"/>
      <c r="Y15233" s="20"/>
    </row>
    <row r="15234" spans="24:25">
      <c r="X15234" s="19"/>
      <c r="Y15234" s="20"/>
    </row>
    <row r="15235" spans="24:25">
      <c r="X15235" s="19"/>
      <c r="Y15235" s="20"/>
    </row>
    <row r="15236" spans="24:25">
      <c r="X15236" s="19"/>
      <c r="Y15236" s="20"/>
    </row>
    <row r="15237" spans="24:25">
      <c r="X15237" s="19"/>
      <c r="Y15237" s="20"/>
    </row>
    <row r="15238" spans="24:25">
      <c r="X15238" s="19"/>
      <c r="Y15238" s="20"/>
    </row>
    <row r="15239" spans="24:25">
      <c r="X15239" s="19"/>
      <c r="Y15239" s="20"/>
    </row>
    <row r="15240" spans="24:25">
      <c r="X15240" s="19"/>
      <c r="Y15240" s="20"/>
    </row>
    <row r="15241" spans="24:25">
      <c r="X15241" s="19"/>
      <c r="Y15241" s="20"/>
    </row>
    <row r="15242" spans="24:25">
      <c r="X15242" s="19"/>
      <c r="Y15242" s="20"/>
    </row>
    <row r="15243" spans="24:25">
      <c r="X15243" s="19"/>
      <c r="Y15243" s="20"/>
    </row>
    <row r="15244" spans="24:25">
      <c r="X15244" s="19"/>
      <c r="Y15244" s="20"/>
    </row>
    <row r="15245" spans="24:25">
      <c r="X15245" s="19"/>
      <c r="Y15245" s="20"/>
    </row>
    <row r="15246" spans="24:25">
      <c r="X15246" s="19"/>
      <c r="Y15246" s="20"/>
    </row>
    <row r="15247" spans="24:25">
      <c r="X15247" s="19"/>
      <c r="Y15247" s="20"/>
    </row>
    <row r="15248" spans="24:25">
      <c r="X15248" s="19"/>
      <c r="Y15248" s="20"/>
    </row>
    <row r="15249" spans="24:25">
      <c r="X15249" s="19"/>
      <c r="Y15249" s="20"/>
    </row>
    <row r="15250" spans="24:25">
      <c r="X15250" s="19"/>
      <c r="Y15250" s="20"/>
    </row>
    <row r="15251" spans="24:25">
      <c r="X15251" s="19"/>
      <c r="Y15251" s="20"/>
    </row>
    <row r="15252" spans="24:25">
      <c r="X15252" s="19"/>
      <c r="Y15252" s="20"/>
    </row>
    <row r="15253" spans="24:25">
      <c r="X15253" s="19"/>
      <c r="Y15253" s="20"/>
    </row>
    <row r="15254" spans="24:25">
      <c r="X15254" s="19"/>
      <c r="Y15254" s="20"/>
    </row>
    <row r="15255" spans="24:25">
      <c r="X15255" s="19"/>
      <c r="Y15255" s="20"/>
    </row>
    <row r="15256" spans="24:25">
      <c r="X15256" s="19"/>
      <c r="Y15256" s="20"/>
    </row>
    <row r="15257" spans="24:25">
      <c r="X15257" s="19"/>
      <c r="Y15257" s="20"/>
    </row>
    <row r="15258" spans="24:25">
      <c r="X15258" s="19"/>
      <c r="Y15258" s="20"/>
    </row>
    <row r="15259" spans="24:25">
      <c r="X15259" s="19"/>
      <c r="Y15259" s="20"/>
    </row>
    <row r="15260" spans="24:25">
      <c r="X15260" s="19"/>
      <c r="Y15260" s="20"/>
    </row>
    <row r="15261" spans="24:25">
      <c r="X15261" s="19"/>
      <c r="Y15261" s="20"/>
    </row>
    <row r="15262" spans="24:25">
      <c r="X15262" s="19"/>
      <c r="Y15262" s="20"/>
    </row>
    <row r="15263" spans="24:25">
      <c r="X15263" s="19"/>
      <c r="Y15263" s="20"/>
    </row>
    <row r="15264" spans="24:25">
      <c r="X15264" s="19"/>
      <c r="Y15264" s="20"/>
    </row>
    <row r="15265" spans="24:25">
      <c r="X15265" s="19"/>
      <c r="Y15265" s="20"/>
    </row>
    <row r="15266" spans="24:25">
      <c r="X15266" s="19"/>
      <c r="Y15266" s="20"/>
    </row>
    <row r="15267" spans="24:25">
      <c r="X15267" s="19"/>
      <c r="Y15267" s="20"/>
    </row>
    <row r="15268" spans="24:25">
      <c r="X15268" s="19"/>
      <c r="Y15268" s="20"/>
    </row>
    <row r="15269" spans="24:25">
      <c r="X15269" s="19"/>
      <c r="Y15269" s="20"/>
    </row>
    <row r="15270" spans="24:25">
      <c r="X15270" s="19"/>
      <c r="Y15270" s="20"/>
    </row>
    <row r="15271" spans="24:25">
      <c r="X15271" s="19"/>
      <c r="Y15271" s="20"/>
    </row>
    <row r="15272" spans="24:25">
      <c r="X15272" s="19"/>
      <c r="Y15272" s="20"/>
    </row>
    <row r="15273" spans="24:25">
      <c r="X15273" s="19"/>
      <c r="Y15273" s="20"/>
    </row>
    <row r="15274" spans="24:25">
      <c r="X15274" s="19"/>
      <c r="Y15274" s="20"/>
    </row>
    <row r="15275" spans="24:25">
      <c r="X15275" s="19"/>
      <c r="Y15275" s="20"/>
    </row>
    <row r="15276" spans="24:25">
      <c r="X15276" s="19"/>
      <c r="Y15276" s="20"/>
    </row>
    <row r="15277" spans="24:25">
      <c r="X15277" s="19"/>
      <c r="Y15277" s="20"/>
    </row>
    <row r="15278" spans="24:25">
      <c r="X15278" s="19"/>
      <c r="Y15278" s="20"/>
    </row>
    <row r="15279" spans="24:25">
      <c r="X15279" s="19"/>
      <c r="Y15279" s="20"/>
    </row>
    <row r="15280" spans="24:25">
      <c r="X15280" s="19"/>
      <c r="Y15280" s="20"/>
    </row>
    <row r="15281" spans="24:25">
      <c r="X15281" s="19"/>
      <c r="Y15281" s="20"/>
    </row>
    <row r="15282" spans="24:25">
      <c r="X15282" s="19"/>
      <c r="Y15282" s="20"/>
    </row>
    <row r="15283" spans="24:25">
      <c r="X15283" s="19"/>
      <c r="Y15283" s="20"/>
    </row>
    <row r="15284" spans="24:25">
      <c r="X15284" s="19"/>
      <c r="Y15284" s="20"/>
    </row>
    <row r="15285" spans="24:25">
      <c r="X15285" s="19"/>
      <c r="Y15285" s="20"/>
    </row>
    <row r="15286" spans="24:25">
      <c r="X15286" s="19"/>
      <c r="Y15286" s="20"/>
    </row>
    <row r="15287" spans="24:25">
      <c r="X15287" s="19"/>
      <c r="Y15287" s="20"/>
    </row>
    <row r="15288" spans="24:25">
      <c r="X15288" s="19"/>
      <c r="Y15288" s="20"/>
    </row>
    <row r="15289" spans="24:25">
      <c r="X15289" s="19"/>
      <c r="Y15289" s="20"/>
    </row>
    <row r="15290" spans="24:25">
      <c r="X15290" s="19"/>
      <c r="Y15290" s="20"/>
    </row>
    <row r="15291" spans="24:25">
      <c r="X15291" s="19"/>
      <c r="Y15291" s="20"/>
    </row>
    <row r="15292" spans="24:25">
      <c r="X15292" s="19"/>
      <c r="Y15292" s="20"/>
    </row>
    <row r="15293" spans="24:25">
      <c r="X15293" s="19"/>
      <c r="Y15293" s="20"/>
    </row>
    <row r="15294" spans="24:25">
      <c r="X15294" s="19"/>
      <c r="Y15294" s="20"/>
    </row>
    <row r="15295" spans="24:25">
      <c r="X15295" s="19"/>
      <c r="Y15295" s="20"/>
    </row>
    <row r="15296" spans="24:25">
      <c r="X15296" s="19"/>
      <c r="Y15296" s="20"/>
    </row>
    <row r="15297" spans="24:25">
      <c r="X15297" s="19"/>
      <c r="Y15297" s="20"/>
    </row>
    <row r="15298" spans="24:25">
      <c r="X15298" s="19"/>
      <c r="Y15298" s="20"/>
    </row>
    <row r="15299" spans="24:25">
      <c r="X15299" s="19"/>
      <c r="Y15299" s="20"/>
    </row>
    <row r="15300" spans="24:25">
      <c r="X15300" s="19"/>
      <c r="Y15300" s="20"/>
    </row>
    <row r="15301" spans="24:25">
      <c r="X15301" s="19"/>
      <c r="Y15301" s="20"/>
    </row>
    <row r="15302" spans="24:25">
      <c r="X15302" s="19"/>
      <c r="Y15302" s="20"/>
    </row>
    <row r="15303" spans="24:25">
      <c r="X15303" s="19"/>
      <c r="Y15303" s="20"/>
    </row>
    <row r="15304" spans="24:25">
      <c r="X15304" s="19"/>
      <c r="Y15304" s="20"/>
    </row>
    <row r="15305" spans="24:25">
      <c r="X15305" s="19"/>
      <c r="Y15305" s="20"/>
    </row>
    <row r="15306" spans="24:25">
      <c r="X15306" s="19"/>
      <c r="Y15306" s="20"/>
    </row>
    <row r="15307" spans="24:25">
      <c r="X15307" s="19"/>
      <c r="Y15307" s="20"/>
    </row>
    <row r="15308" spans="24:25">
      <c r="X15308" s="19"/>
      <c r="Y15308" s="20"/>
    </row>
    <row r="15309" spans="24:25">
      <c r="X15309" s="19"/>
      <c r="Y15309" s="20"/>
    </row>
    <row r="15310" spans="24:25">
      <c r="X15310" s="19"/>
      <c r="Y15310" s="20"/>
    </row>
    <row r="15311" spans="24:25">
      <c r="X15311" s="19"/>
      <c r="Y15311" s="20"/>
    </row>
    <row r="15312" spans="24:25">
      <c r="X15312" s="19"/>
      <c r="Y15312" s="20"/>
    </row>
    <row r="15313" spans="24:25">
      <c r="X15313" s="19"/>
      <c r="Y15313" s="20"/>
    </row>
    <row r="15314" spans="24:25">
      <c r="X15314" s="19"/>
      <c r="Y15314" s="20"/>
    </row>
    <row r="15315" spans="24:25">
      <c r="X15315" s="19"/>
      <c r="Y15315" s="20"/>
    </row>
    <row r="15316" spans="24:25">
      <c r="X15316" s="19"/>
      <c r="Y15316" s="20"/>
    </row>
    <row r="15317" spans="24:25">
      <c r="X15317" s="19"/>
      <c r="Y15317" s="20"/>
    </row>
    <row r="15318" spans="24:25">
      <c r="X15318" s="19"/>
      <c r="Y15318" s="20"/>
    </row>
    <row r="15319" spans="24:25">
      <c r="X15319" s="19"/>
      <c r="Y15319" s="20"/>
    </row>
    <row r="15320" spans="24:25">
      <c r="X15320" s="19"/>
      <c r="Y15320" s="20"/>
    </row>
    <row r="15321" spans="24:25">
      <c r="X15321" s="19"/>
      <c r="Y15321" s="20"/>
    </row>
    <row r="15322" spans="24:25">
      <c r="X15322" s="19"/>
      <c r="Y15322" s="20"/>
    </row>
    <row r="15323" spans="24:25">
      <c r="X15323" s="19"/>
      <c r="Y15323" s="20"/>
    </row>
    <row r="15324" spans="24:25">
      <c r="X15324" s="19"/>
      <c r="Y15324" s="20"/>
    </row>
    <row r="15325" spans="24:25">
      <c r="X15325" s="19"/>
      <c r="Y15325" s="20"/>
    </row>
    <row r="15326" spans="24:25">
      <c r="X15326" s="19"/>
      <c r="Y15326" s="20"/>
    </row>
    <row r="15327" spans="24:25">
      <c r="X15327" s="19"/>
      <c r="Y15327" s="20"/>
    </row>
    <row r="15328" spans="24:25">
      <c r="X15328" s="19"/>
      <c r="Y15328" s="20"/>
    </row>
    <row r="15329" spans="24:25">
      <c r="X15329" s="19"/>
      <c r="Y15329" s="20"/>
    </row>
    <row r="15330" spans="24:25">
      <c r="X15330" s="19"/>
      <c r="Y15330" s="20"/>
    </row>
    <row r="15331" spans="24:25">
      <c r="X15331" s="19"/>
      <c r="Y15331" s="20"/>
    </row>
    <row r="15332" spans="24:25">
      <c r="X15332" s="19"/>
      <c r="Y15332" s="20"/>
    </row>
    <row r="15333" spans="24:25">
      <c r="X15333" s="19"/>
      <c r="Y15333" s="20"/>
    </row>
    <row r="15334" spans="24:25">
      <c r="X15334" s="19"/>
      <c r="Y15334" s="20"/>
    </row>
    <row r="15335" spans="24:25">
      <c r="X15335" s="19"/>
      <c r="Y15335" s="20"/>
    </row>
    <row r="15336" spans="24:25">
      <c r="X15336" s="19"/>
      <c r="Y15336" s="20"/>
    </row>
    <row r="15337" spans="24:25">
      <c r="X15337" s="19"/>
      <c r="Y15337" s="20"/>
    </row>
    <row r="15338" spans="24:25">
      <c r="X15338" s="19"/>
      <c r="Y15338" s="20"/>
    </row>
    <row r="15339" spans="24:25">
      <c r="X15339" s="19"/>
      <c r="Y15339" s="20"/>
    </row>
    <row r="15340" spans="24:25">
      <c r="X15340" s="19"/>
      <c r="Y15340" s="20"/>
    </row>
    <row r="15341" spans="24:25">
      <c r="X15341" s="19"/>
      <c r="Y15341" s="20"/>
    </row>
    <row r="15342" spans="24:25">
      <c r="X15342" s="19"/>
      <c r="Y15342" s="20"/>
    </row>
    <row r="15343" spans="24:25">
      <c r="X15343" s="19"/>
      <c r="Y15343" s="20"/>
    </row>
    <row r="15344" spans="24:25">
      <c r="X15344" s="19"/>
      <c r="Y15344" s="20"/>
    </row>
    <row r="15345" spans="24:25">
      <c r="X15345" s="19"/>
      <c r="Y15345" s="20"/>
    </row>
    <row r="15346" spans="24:25">
      <c r="X15346" s="19"/>
      <c r="Y15346" s="20"/>
    </row>
    <row r="15347" spans="24:25">
      <c r="X15347" s="19"/>
      <c r="Y15347" s="20"/>
    </row>
    <row r="15348" spans="24:25">
      <c r="X15348" s="19"/>
      <c r="Y15348" s="20"/>
    </row>
    <row r="15349" spans="24:25">
      <c r="X15349" s="19"/>
      <c r="Y15349" s="20"/>
    </row>
    <row r="15350" spans="24:25">
      <c r="X15350" s="19"/>
      <c r="Y15350" s="20"/>
    </row>
    <row r="15351" spans="24:25">
      <c r="X15351" s="19"/>
      <c r="Y15351" s="20"/>
    </row>
    <row r="15352" spans="24:25">
      <c r="X15352" s="19"/>
      <c r="Y15352" s="20"/>
    </row>
    <row r="15353" spans="24:25">
      <c r="X15353" s="19"/>
      <c r="Y15353" s="20"/>
    </row>
    <row r="15354" spans="24:25">
      <c r="X15354" s="19"/>
      <c r="Y15354" s="20"/>
    </row>
    <row r="15355" spans="24:25">
      <c r="X15355" s="19"/>
      <c r="Y15355" s="20"/>
    </row>
    <row r="15356" spans="24:25">
      <c r="X15356" s="19"/>
      <c r="Y15356" s="20"/>
    </row>
    <row r="15357" spans="24:25">
      <c r="X15357" s="19"/>
      <c r="Y15357" s="20"/>
    </row>
    <row r="15358" spans="24:25">
      <c r="X15358" s="19"/>
      <c r="Y15358" s="20"/>
    </row>
    <row r="15359" spans="24:25">
      <c r="X15359" s="19"/>
      <c r="Y15359" s="20"/>
    </row>
    <row r="15360" spans="24:25">
      <c r="X15360" s="19"/>
      <c r="Y15360" s="20"/>
    </row>
    <row r="15361" spans="24:25">
      <c r="X15361" s="19"/>
      <c r="Y15361" s="20"/>
    </row>
    <row r="15362" spans="24:25">
      <c r="X15362" s="19"/>
      <c r="Y15362" s="20"/>
    </row>
    <row r="15363" spans="24:25">
      <c r="X15363" s="19"/>
      <c r="Y15363" s="20"/>
    </row>
    <row r="15364" spans="24:25">
      <c r="X15364" s="19"/>
      <c r="Y15364" s="20"/>
    </row>
    <row r="15365" spans="24:25">
      <c r="X15365" s="19"/>
      <c r="Y15365" s="20"/>
    </row>
    <row r="15366" spans="24:25">
      <c r="X15366" s="19"/>
      <c r="Y15366" s="20"/>
    </row>
    <row r="15367" spans="24:25">
      <c r="X15367" s="19"/>
      <c r="Y15367" s="20"/>
    </row>
    <row r="15368" spans="24:25">
      <c r="X15368" s="19"/>
      <c r="Y15368" s="20"/>
    </row>
    <row r="15369" spans="24:25">
      <c r="X15369" s="19"/>
      <c r="Y15369" s="20"/>
    </row>
    <row r="15370" spans="24:25">
      <c r="X15370" s="19"/>
      <c r="Y15370" s="20"/>
    </row>
    <row r="15371" spans="24:25">
      <c r="X15371" s="19"/>
      <c r="Y15371" s="20"/>
    </row>
    <row r="15372" spans="24:25">
      <c r="X15372" s="19"/>
      <c r="Y15372" s="20"/>
    </row>
    <row r="15373" spans="24:25">
      <c r="X15373" s="19"/>
      <c r="Y15373" s="20"/>
    </row>
    <row r="15374" spans="24:25">
      <c r="X15374" s="19"/>
      <c r="Y15374" s="20"/>
    </row>
    <row r="15375" spans="24:25">
      <c r="X15375" s="19"/>
      <c r="Y15375" s="20"/>
    </row>
    <row r="15376" spans="24:25">
      <c r="X15376" s="19"/>
      <c r="Y15376" s="20"/>
    </row>
    <row r="15377" spans="24:25">
      <c r="X15377" s="19"/>
      <c r="Y15377" s="20"/>
    </row>
    <row r="15378" spans="24:25">
      <c r="X15378" s="19"/>
      <c r="Y15378" s="20"/>
    </row>
    <row r="15379" spans="24:25">
      <c r="X15379" s="19"/>
      <c r="Y15379" s="20"/>
    </row>
    <row r="15380" spans="24:25">
      <c r="X15380" s="19"/>
      <c r="Y15380" s="20"/>
    </row>
    <row r="15381" spans="24:25">
      <c r="X15381" s="19"/>
      <c r="Y15381" s="20"/>
    </row>
    <row r="15382" spans="24:25">
      <c r="X15382" s="19"/>
      <c r="Y15382" s="20"/>
    </row>
    <row r="15383" spans="24:25">
      <c r="X15383" s="19"/>
      <c r="Y15383" s="20"/>
    </row>
    <row r="15384" spans="24:25">
      <c r="X15384" s="19"/>
      <c r="Y15384" s="20"/>
    </row>
    <row r="15385" spans="24:25">
      <c r="X15385" s="19"/>
      <c r="Y15385" s="20"/>
    </row>
    <row r="15386" spans="24:25">
      <c r="X15386" s="19"/>
      <c r="Y15386" s="20"/>
    </row>
    <row r="15387" spans="24:25">
      <c r="X15387" s="19"/>
      <c r="Y15387" s="20"/>
    </row>
    <row r="15388" spans="24:25">
      <c r="X15388" s="19"/>
      <c r="Y15388" s="20"/>
    </row>
    <row r="15389" spans="24:25">
      <c r="X15389" s="19"/>
      <c r="Y15389" s="20"/>
    </row>
    <row r="15390" spans="24:25">
      <c r="X15390" s="19"/>
      <c r="Y15390" s="20"/>
    </row>
    <row r="15391" spans="24:25">
      <c r="X15391" s="19"/>
      <c r="Y15391" s="20"/>
    </row>
    <row r="15392" spans="24:25">
      <c r="X15392" s="19"/>
      <c r="Y15392" s="20"/>
    </row>
    <row r="15393" spans="24:25">
      <c r="X15393" s="19"/>
      <c r="Y15393" s="20"/>
    </row>
    <row r="15394" spans="24:25">
      <c r="X15394" s="19"/>
      <c r="Y15394" s="20"/>
    </row>
    <row r="15395" spans="24:25">
      <c r="X15395" s="19"/>
      <c r="Y15395" s="20"/>
    </row>
    <row r="15396" spans="24:25">
      <c r="X15396" s="19"/>
      <c r="Y15396" s="20"/>
    </row>
    <row r="15397" spans="24:25">
      <c r="X15397" s="19"/>
      <c r="Y15397" s="20"/>
    </row>
    <row r="15398" spans="24:25">
      <c r="X15398" s="19"/>
      <c r="Y15398" s="20"/>
    </row>
    <row r="15399" spans="24:25">
      <c r="X15399" s="19"/>
      <c r="Y15399" s="20"/>
    </row>
    <row r="15400" spans="24:25">
      <c r="X15400" s="19"/>
      <c r="Y15400" s="20"/>
    </row>
    <row r="15401" spans="24:25">
      <c r="X15401" s="19"/>
      <c r="Y15401" s="20"/>
    </row>
    <row r="15402" spans="24:25">
      <c r="X15402" s="19"/>
      <c r="Y15402" s="20"/>
    </row>
    <row r="15403" spans="24:25">
      <c r="X15403" s="19"/>
      <c r="Y15403" s="20"/>
    </row>
    <row r="15404" spans="24:25">
      <c r="X15404" s="19"/>
      <c r="Y15404" s="20"/>
    </row>
    <row r="15405" spans="24:25">
      <c r="X15405" s="19"/>
      <c r="Y15405" s="20"/>
    </row>
    <row r="15406" spans="24:25">
      <c r="X15406" s="19"/>
      <c r="Y15406" s="20"/>
    </row>
    <row r="15407" spans="24:25">
      <c r="X15407" s="19"/>
      <c r="Y15407" s="20"/>
    </row>
    <row r="15408" spans="24:25">
      <c r="X15408" s="19"/>
      <c r="Y15408" s="20"/>
    </row>
    <row r="15409" spans="24:25">
      <c r="X15409" s="19"/>
      <c r="Y15409" s="20"/>
    </row>
    <row r="15410" spans="24:25">
      <c r="X15410" s="19"/>
      <c r="Y15410" s="20"/>
    </row>
    <row r="15411" spans="24:25">
      <c r="X15411" s="19"/>
      <c r="Y15411" s="20"/>
    </row>
    <row r="15412" spans="24:25">
      <c r="X15412" s="19"/>
      <c r="Y15412" s="20"/>
    </row>
    <row r="15413" spans="24:25">
      <c r="X15413" s="19"/>
      <c r="Y15413" s="20"/>
    </row>
    <row r="15414" spans="24:25">
      <c r="X15414" s="19"/>
      <c r="Y15414" s="20"/>
    </row>
    <row r="15415" spans="24:25">
      <c r="X15415" s="19"/>
      <c r="Y15415" s="20"/>
    </row>
    <row r="15416" spans="24:25">
      <c r="X15416" s="19"/>
      <c r="Y15416" s="20"/>
    </row>
    <row r="15417" spans="24:25">
      <c r="X15417" s="19"/>
      <c r="Y15417" s="20"/>
    </row>
    <row r="15418" spans="24:25">
      <c r="X15418" s="19"/>
      <c r="Y15418" s="20"/>
    </row>
    <row r="15419" spans="24:25">
      <c r="X15419" s="19"/>
      <c r="Y15419" s="20"/>
    </row>
    <row r="15420" spans="24:25">
      <c r="X15420" s="19"/>
      <c r="Y15420" s="20"/>
    </row>
    <row r="15421" spans="24:25">
      <c r="X15421" s="19"/>
      <c r="Y15421" s="20"/>
    </row>
    <row r="15422" spans="24:25">
      <c r="X15422" s="19"/>
      <c r="Y15422" s="20"/>
    </row>
    <row r="15423" spans="24:25">
      <c r="X15423" s="19"/>
      <c r="Y15423" s="20"/>
    </row>
    <row r="15424" spans="24:25">
      <c r="X15424" s="19"/>
      <c r="Y15424" s="20"/>
    </row>
    <row r="15425" spans="24:25">
      <c r="X15425" s="19"/>
      <c r="Y15425" s="20"/>
    </row>
    <row r="15426" spans="24:25">
      <c r="X15426" s="19"/>
      <c r="Y15426" s="20"/>
    </row>
    <row r="15427" spans="24:25">
      <c r="X15427" s="19"/>
      <c r="Y15427" s="20"/>
    </row>
    <row r="15428" spans="24:25">
      <c r="X15428" s="19"/>
      <c r="Y15428" s="20"/>
    </row>
    <row r="15429" spans="24:25">
      <c r="X15429" s="19"/>
      <c r="Y15429" s="20"/>
    </row>
    <row r="15430" spans="24:25">
      <c r="X15430" s="19"/>
      <c r="Y15430" s="20"/>
    </row>
    <row r="15431" spans="24:25">
      <c r="X15431" s="19"/>
      <c r="Y15431" s="20"/>
    </row>
    <row r="15432" spans="24:25">
      <c r="X15432" s="19"/>
      <c r="Y15432" s="20"/>
    </row>
    <row r="15433" spans="24:25">
      <c r="X15433" s="19"/>
      <c r="Y15433" s="20"/>
    </row>
    <row r="15434" spans="24:25">
      <c r="X15434" s="19"/>
      <c r="Y15434" s="20"/>
    </row>
    <row r="15435" spans="24:25">
      <c r="X15435" s="19"/>
      <c r="Y15435" s="20"/>
    </row>
    <row r="15436" spans="24:25">
      <c r="X15436" s="19"/>
      <c r="Y15436" s="20"/>
    </row>
    <row r="15437" spans="24:25">
      <c r="X15437" s="19"/>
      <c r="Y15437" s="20"/>
    </row>
    <row r="15438" spans="24:25">
      <c r="X15438" s="19"/>
      <c r="Y15438" s="20"/>
    </row>
    <row r="15439" spans="24:25">
      <c r="X15439" s="19"/>
      <c r="Y15439" s="20"/>
    </row>
    <row r="15440" spans="24:25">
      <c r="X15440" s="19"/>
      <c r="Y15440" s="20"/>
    </row>
    <row r="15441" spans="24:25">
      <c r="X15441" s="19"/>
      <c r="Y15441" s="20"/>
    </row>
    <row r="15442" spans="24:25">
      <c r="X15442" s="19"/>
      <c r="Y15442" s="20"/>
    </row>
    <row r="15443" spans="24:25">
      <c r="X15443" s="19"/>
      <c r="Y15443" s="20"/>
    </row>
    <row r="15444" spans="24:25">
      <c r="X15444" s="19"/>
      <c r="Y15444" s="20"/>
    </row>
    <row r="15445" spans="24:25">
      <c r="X15445" s="19"/>
      <c r="Y15445" s="20"/>
    </row>
    <row r="15446" spans="24:25">
      <c r="X15446" s="19"/>
      <c r="Y15446" s="20"/>
    </row>
    <row r="15447" spans="24:25">
      <c r="X15447" s="19"/>
      <c r="Y15447" s="20"/>
    </row>
    <row r="15448" spans="24:25">
      <c r="X15448" s="19"/>
      <c r="Y15448" s="20"/>
    </row>
    <row r="15449" spans="24:25">
      <c r="X15449" s="19"/>
      <c r="Y15449" s="20"/>
    </row>
    <row r="15450" spans="24:25">
      <c r="X15450" s="19"/>
      <c r="Y15450" s="20"/>
    </row>
    <row r="15451" spans="24:25">
      <c r="X15451" s="19"/>
      <c r="Y15451" s="20"/>
    </row>
    <row r="15452" spans="24:25">
      <c r="X15452" s="19"/>
      <c r="Y15452" s="20"/>
    </row>
    <row r="15453" spans="24:25">
      <c r="X15453" s="19"/>
      <c r="Y15453" s="20"/>
    </row>
    <row r="15454" spans="24:25">
      <c r="X15454" s="19"/>
      <c r="Y15454" s="20"/>
    </row>
    <row r="15455" spans="24:25">
      <c r="X15455" s="19"/>
      <c r="Y15455" s="20"/>
    </row>
    <row r="15456" spans="24:25">
      <c r="X15456" s="19"/>
      <c r="Y15456" s="20"/>
    </row>
    <row r="15457" spans="24:25">
      <c r="X15457" s="19"/>
      <c r="Y15457" s="20"/>
    </row>
    <row r="15458" spans="24:25">
      <c r="X15458" s="19"/>
      <c r="Y15458" s="20"/>
    </row>
    <row r="15459" spans="24:25">
      <c r="X15459" s="19"/>
      <c r="Y15459" s="20"/>
    </row>
    <row r="15460" spans="24:25">
      <c r="X15460" s="19"/>
      <c r="Y15460" s="20"/>
    </row>
    <row r="15461" spans="24:25">
      <c r="X15461" s="19"/>
      <c r="Y15461" s="20"/>
    </row>
    <row r="15462" spans="24:25">
      <c r="X15462" s="19"/>
      <c r="Y15462" s="20"/>
    </row>
    <row r="15463" spans="24:25">
      <c r="X15463" s="19"/>
      <c r="Y15463" s="20"/>
    </row>
    <row r="15464" spans="24:25">
      <c r="X15464" s="19"/>
      <c r="Y15464" s="20"/>
    </row>
    <row r="15465" spans="24:25">
      <c r="X15465" s="19"/>
      <c r="Y15465" s="20"/>
    </row>
    <row r="15466" spans="24:25">
      <c r="X15466" s="19"/>
      <c r="Y15466" s="20"/>
    </row>
    <row r="15467" spans="24:25">
      <c r="X15467" s="19"/>
      <c r="Y15467" s="20"/>
    </row>
    <row r="15468" spans="24:25">
      <c r="X15468" s="19"/>
      <c r="Y15468" s="20"/>
    </row>
    <row r="15469" spans="24:25">
      <c r="X15469" s="19"/>
      <c r="Y15469" s="20"/>
    </row>
    <row r="15470" spans="24:25">
      <c r="X15470" s="19"/>
      <c r="Y15470" s="20"/>
    </row>
    <row r="15471" spans="24:25">
      <c r="X15471" s="19"/>
      <c r="Y15471" s="20"/>
    </row>
    <row r="15472" spans="24:25">
      <c r="X15472" s="19"/>
      <c r="Y15472" s="20"/>
    </row>
    <row r="15473" spans="24:25">
      <c r="X15473" s="19"/>
      <c r="Y15473" s="20"/>
    </row>
    <row r="15474" spans="24:25">
      <c r="X15474" s="19"/>
      <c r="Y15474" s="20"/>
    </row>
    <row r="15475" spans="24:25">
      <c r="X15475" s="19"/>
      <c r="Y15475" s="20"/>
    </row>
    <row r="15476" spans="24:25">
      <c r="X15476" s="19"/>
      <c r="Y15476" s="20"/>
    </row>
    <row r="15477" spans="24:25">
      <c r="X15477" s="19"/>
      <c r="Y15477" s="20"/>
    </row>
    <row r="15478" spans="24:25">
      <c r="X15478" s="19"/>
      <c r="Y15478" s="20"/>
    </row>
    <row r="15479" spans="24:25">
      <c r="X15479" s="19"/>
      <c r="Y15479" s="20"/>
    </row>
    <row r="15480" spans="24:25">
      <c r="X15480" s="19"/>
      <c r="Y15480" s="20"/>
    </row>
    <row r="15481" spans="24:25">
      <c r="X15481" s="19"/>
      <c r="Y15481" s="20"/>
    </row>
    <row r="15482" spans="24:25">
      <c r="X15482" s="19"/>
      <c r="Y15482" s="20"/>
    </row>
    <row r="15483" spans="24:25">
      <c r="X15483" s="19"/>
      <c r="Y15483" s="20"/>
    </row>
    <row r="15484" spans="24:25">
      <c r="X15484" s="19"/>
      <c r="Y15484" s="20"/>
    </row>
    <row r="15485" spans="24:25">
      <c r="X15485" s="19"/>
      <c r="Y15485" s="20"/>
    </row>
    <row r="15486" spans="24:25">
      <c r="X15486" s="19"/>
      <c r="Y15486" s="20"/>
    </row>
    <row r="15487" spans="24:25">
      <c r="X15487" s="19"/>
      <c r="Y15487" s="20"/>
    </row>
    <row r="15488" spans="24:25">
      <c r="X15488" s="19"/>
      <c r="Y15488" s="20"/>
    </row>
    <row r="15489" spans="24:25">
      <c r="X15489" s="19"/>
      <c r="Y15489" s="20"/>
    </row>
    <row r="15490" spans="24:25">
      <c r="X15490" s="19"/>
      <c r="Y15490" s="20"/>
    </row>
    <row r="15491" spans="24:25">
      <c r="X15491" s="19"/>
      <c r="Y15491" s="20"/>
    </row>
    <row r="15492" spans="24:25">
      <c r="X15492" s="19"/>
      <c r="Y15492" s="20"/>
    </row>
    <row r="15493" spans="24:25">
      <c r="X15493" s="19"/>
      <c r="Y15493" s="20"/>
    </row>
    <row r="15494" spans="24:25">
      <c r="X15494" s="19"/>
      <c r="Y15494" s="20"/>
    </row>
    <row r="15495" spans="24:25">
      <c r="X15495" s="19"/>
      <c r="Y15495" s="20"/>
    </row>
    <row r="15496" spans="24:25">
      <c r="X15496" s="19"/>
      <c r="Y15496" s="20"/>
    </row>
    <row r="15497" spans="24:25">
      <c r="X15497" s="19"/>
      <c r="Y15497" s="20"/>
    </row>
    <row r="15498" spans="24:25">
      <c r="X15498" s="19"/>
      <c r="Y15498" s="20"/>
    </row>
    <row r="15499" spans="24:25">
      <c r="X15499" s="19"/>
      <c r="Y15499" s="20"/>
    </row>
    <row r="15500" spans="24:25">
      <c r="X15500" s="19"/>
      <c r="Y15500" s="20"/>
    </row>
    <row r="15501" spans="24:25">
      <c r="X15501" s="19"/>
      <c r="Y15501" s="20"/>
    </row>
    <row r="15502" spans="24:25">
      <c r="X15502" s="19"/>
      <c r="Y15502" s="20"/>
    </row>
    <row r="15503" spans="24:25">
      <c r="X15503" s="19"/>
      <c r="Y15503" s="20"/>
    </row>
    <row r="15504" spans="24:25">
      <c r="X15504" s="19"/>
      <c r="Y15504" s="20"/>
    </row>
    <row r="15505" spans="24:25">
      <c r="X15505" s="19"/>
      <c r="Y15505" s="20"/>
    </row>
    <row r="15506" spans="24:25">
      <c r="X15506" s="19"/>
      <c r="Y15506" s="20"/>
    </row>
    <row r="15507" spans="24:25">
      <c r="X15507" s="19"/>
      <c r="Y15507" s="20"/>
    </row>
    <row r="15508" spans="24:25">
      <c r="X15508" s="19"/>
      <c r="Y15508" s="20"/>
    </row>
    <row r="15509" spans="24:25">
      <c r="X15509" s="19"/>
      <c r="Y15509" s="20"/>
    </row>
    <row r="15510" spans="24:25">
      <c r="X15510" s="19"/>
      <c r="Y15510" s="20"/>
    </row>
    <row r="15511" spans="24:25">
      <c r="X15511" s="19"/>
      <c r="Y15511" s="20"/>
    </row>
    <row r="15512" spans="24:25">
      <c r="X15512" s="19"/>
      <c r="Y15512" s="20"/>
    </row>
    <row r="15513" spans="24:25">
      <c r="X15513" s="19"/>
      <c r="Y15513" s="20"/>
    </row>
    <row r="15514" spans="24:25">
      <c r="X15514" s="19"/>
      <c r="Y15514" s="20"/>
    </row>
    <row r="15515" spans="24:25">
      <c r="X15515" s="19"/>
      <c r="Y15515" s="20"/>
    </row>
    <row r="15516" spans="24:25">
      <c r="X15516" s="19"/>
      <c r="Y15516" s="20"/>
    </row>
    <row r="15517" spans="24:25">
      <c r="X15517" s="19"/>
      <c r="Y15517" s="20"/>
    </row>
    <row r="15518" spans="24:25">
      <c r="X15518" s="19"/>
      <c r="Y15518" s="20"/>
    </row>
    <row r="15519" spans="24:25">
      <c r="X15519" s="19"/>
      <c r="Y15519" s="20"/>
    </row>
    <row r="15520" spans="24:25">
      <c r="X15520" s="19"/>
      <c r="Y15520" s="20"/>
    </row>
    <row r="15521" spans="24:25">
      <c r="X15521" s="19"/>
      <c r="Y15521" s="20"/>
    </row>
    <row r="15522" spans="24:25">
      <c r="X15522" s="19"/>
      <c r="Y15522" s="20"/>
    </row>
    <row r="15523" spans="24:25">
      <c r="X15523" s="19"/>
      <c r="Y15523" s="20"/>
    </row>
    <row r="15524" spans="24:25">
      <c r="X15524" s="19"/>
      <c r="Y15524" s="20"/>
    </row>
    <row r="15525" spans="24:25">
      <c r="X15525" s="19"/>
      <c r="Y15525" s="20"/>
    </row>
    <row r="15526" spans="24:25">
      <c r="X15526" s="19"/>
      <c r="Y15526" s="20"/>
    </row>
    <row r="15527" spans="24:25">
      <c r="X15527" s="19"/>
      <c r="Y15527" s="20"/>
    </row>
    <row r="15528" spans="24:25">
      <c r="X15528" s="19"/>
      <c r="Y15528" s="20"/>
    </row>
    <row r="15529" spans="24:25">
      <c r="X15529" s="19"/>
      <c r="Y15529" s="20"/>
    </row>
    <row r="15530" spans="24:25">
      <c r="X15530" s="19"/>
      <c r="Y15530" s="20"/>
    </row>
    <row r="15531" spans="24:25">
      <c r="X15531" s="19"/>
      <c r="Y15531" s="20"/>
    </row>
    <row r="15532" spans="24:25">
      <c r="X15532" s="19"/>
      <c r="Y15532" s="20"/>
    </row>
    <row r="15533" spans="24:25">
      <c r="X15533" s="19"/>
      <c r="Y15533" s="20"/>
    </row>
    <row r="15534" spans="24:25">
      <c r="X15534" s="19"/>
      <c r="Y15534" s="20"/>
    </row>
    <row r="15535" spans="24:25">
      <c r="X15535" s="19"/>
      <c r="Y15535" s="20"/>
    </row>
    <row r="15536" spans="24:25">
      <c r="X15536" s="19"/>
      <c r="Y15536" s="20"/>
    </row>
    <row r="15537" spans="24:25">
      <c r="X15537" s="19"/>
      <c r="Y15537" s="20"/>
    </row>
    <row r="15538" spans="24:25">
      <c r="X15538" s="19"/>
      <c r="Y15538" s="20"/>
    </row>
    <row r="15539" spans="24:25">
      <c r="X15539" s="19"/>
      <c r="Y15539" s="20"/>
    </row>
    <row r="15540" spans="24:25">
      <c r="X15540" s="19"/>
      <c r="Y15540" s="20"/>
    </row>
    <row r="15541" spans="24:25">
      <c r="X15541" s="19"/>
      <c r="Y15541" s="20"/>
    </row>
    <row r="15542" spans="24:25">
      <c r="X15542" s="19"/>
      <c r="Y15542" s="20"/>
    </row>
    <row r="15543" spans="24:25">
      <c r="X15543" s="19"/>
      <c r="Y15543" s="20"/>
    </row>
    <row r="15544" spans="24:25">
      <c r="X15544" s="19"/>
      <c r="Y15544" s="20"/>
    </row>
    <row r="15545" spans="24:25">
      <c r="X15545" s="19"/>
      <c r="Y15545" s="20"/>
    </row>
    <row r="15546" spans="24:25">
      <c r="X15546" s="19"/>
      <c r="Y15546" s="20"/>
    </row>
    <row r="15547" spans="24:25">
      <c r="X15547" s="19"/>
      <c r="Y15547" s="20"/>
    </row>
    <row r="15548" spans="24:25">
      <c r="X15548" s="19"/>
      <c r="Y15548" s="20"/>
    </row>
    <row r="15549" spans="24:25">
      <c r="X15549" s="19"/>
      <c r="Y15549" s="20"/>
    </row>
    <row r="15550" spans="24:25">
      <c r="X15550" s="19"/>
      <c r="Y15550" s="20"/>
    </row>
    <row r="15551" spans="24:25">
      <c r="X15551" s="19"/>
      <c r="Y15551" s="20"/>
    </row>
    <row r="15552" spans="24:25">
      <c r="X15552" s="19"/>
      <c r="Y15552" s="20"/>
    </row>
    <row r="15553" spans="24:25">
      <c r="X15553" s="19"/>
      <c r="Y15553" s="20"/>
    </row>
    <row r="15554" spans="24:25">
      <c r="X15554" s="19"/>
      <c r="Y15554" s="20"/>
    </row>
    <row r="15555" spans="24:25">
      <c r="X15555" s="19"/>
      <c r="Y15555" s="20"/>
    </row>
    <row r="15556" spans="24:25">
      <c r="X15556" s="19"/>
      <c r="Y15556" s="20"/>
    </row>
    <row r="15557" spans="24:25">
      <c r="X15557" s="19"/>
      <c r="Y15557" s="20"/>
    </row>
    <row r="15558" spans="24:25">
      <c r="X15558" s="19"/>
      <c r="Y15558" s="20"/>
    </row>
    <row r="15559" spans="24:25">
      <c r="X15559" s="19"/>
      <c r="Y15559" s="20"/>
    </row>
    <row r="15560" spans="24:25">
      <c r="X15560" s="19"/>
      <c r="Y15560" s="20"/>
    </row>
    <row r="15561" spans="24:25">
      <c r="X15561" s="19"/>
      <c r="Y15561" s="20"/>
    </row>
    <row r="15562" spans="24:25">
      <c r="X15562" s="19"/>
      <c r="Y15562" s="20"/>
    </row>
    <row r="15563" spans="24:25">
      <c r="X15563" s="19"/>
      <c r="Y15563" s="20"/>
    </row>
    <row r="15564" spans="24:25">
      <c r="X15564" s="19"/>
      <c r="Y15564" s="20"/>
    </row>
    <row r="15565" spans="24:25">
      <c r="X15565" s="19"/>
      <c r="Y15565" s="20"/>
    </row>
    <row r="15566" spans="24:25">
      <c r="X15566" s="19"/>
      <c r="Y15566" s="20"/>
    </row>
    <row r="15567" spans="24:25">
      <c r="X15567" s="19"/>
      <c r="Y15567" s="20"/>
    </row>
    <row r="15568" spans="24:25">
      <c r="X15568" s="19"/>
      <c r="Y15568" s="20"/>
    </row>
    <row r="15569" spans="24:25">
      <c r="X15569" s="19"/>
      <c r="Y15569" s="20"/>
    </row>
    <row r="15570" spans="24:25">
      <c r="X15570" s="19"/>
      <c r="Y15570" s="20"/>
    </row>
    <row r="15571" spans="24:25">
      <c r="X15571" s="19"/>
      <c r="Y15571" s="20"/>
    </row>
    <row r="15572" spans="24:25">
      <c r="X15572" s="19"/>
      <c r="Y15572" s="20"/>
    </row>
    <row r="15573" spans="24:25">
      <c r="X15573" s="19"/>
      <c r="Y15573" s="20"/>
    </row>
    <row r="15574" spans="24:25">
      <c r="X15574" s="19"/>
      <c r="Y15574" s="20"/>
    </row>
    <row r="15575" spans="24:25">
      <c r="X15575" s="19"/>
      <c r="Y15575" s="20"/>
    </row>
    <row r="15576" spans="24:25">
      <c r="X15576" s="19"/>
      <c r="Y15576" s="20"/>
    </row>
    <row r="15577" spans="24:25">
      <c r="X15577" s="19"/>
      <c r="Y15577" s="20"/>
    </row>
    <row r="15578" spans="24:25">
      <c r="X15578" s="19"/>
      <c r="Y15578" s="20"/>
    </row>
    <row r="15579" spans="24:25">
      <c r="X15579" s="19"/>
      <c r="Y15579" s="20"/>
    </row>
    <row r="15580" spans="24:25">
      <c r="X15580" s="19"/>
      <c r="Y15580" s="20"/>
    </row>
    <row r="15581" spans="24:25">
      <c r="X15581" s="19"/>
      <c r="Y15581" s="20"/>
    </row>
    <row r="15582" spans="24:25">
      <c r="X15582" s="19"/>
      <c r="Y15582" s="20"/>
    </row>
    <row r="15583" spans="24:25">
      <c r="X15583" s="19"/>
      <c r="Y15583" s="20"/>
    </row>
    <row r="15584" spans="24:25">
      <c r="X15584" s="19"/>
      <c r="Y15584" s="20"/>
    </row>
    <row r="15585" spans="24:25">
      <c r="X15585" s="19"/>
      <c r="Y15585" s="20"/>
    </row>
    <row r="15586" spans="24:25">
      <c r="X15586" s="19"/>
      <c r="Y15586" s="20"/>
    </row>
    <row r="15587" spans="24:25">
      <c r="X15587" s="19"/>
      <c r="Y15587" s="20"/>
    </row>
    <row r="15588" spans="24:25">
      <c r="X15588" s="19"/>
      <c r="Y15588" s="20"/>
    </row>
    <row r="15589" spans="24:25">
      <c r="X15589" s="19"/>
      <c r="Y15589" s="20"/>
    </row>
    <row r="15590" spans="24:25">
      <c r="X15590" s="19"/>
      <c r="Y15590" s="20"/>
    </row>
    <row r="15591" spans="24:25">
      <c r="X15591" s="19"/>
      <c r="Y15591" s="20"/>
    </row>
    <row r="15592" spans="24:25">
      <c r="X15592" s="19"/>
      <c r="Y15592" s="20"/>
    </row>
    <row r="15593" spans="24:25">
      <c r="X15593" s="19"/>
      <c r="Y15593" s="20"/>
    </row>
    <row r="15594" spans="24:25">
      <c r="X15594" s="19"/>
      <c r="Y15594" s="20"/>
    </row>
    <row r="15595" spans="24:25">
      <c r="X15595" s="19"/>
      <c r="Y15595" s="20"/>
    </row>
    <row r="15596" spans="24:25">
      <c r="X15596" s="19"/>
      <c r="Y15596" s="20"/>
    </row>
    <row r="15597" spans="24:25">
      <c r="X15597" s="19"/>
      <c r="Y15597" s="20"/>
    </row>
    <row r="15598" spans="24:25">
      <c r="X15598" s="19"/>
      <c r="Y15598" s="20"/>
    </row>
    <row r="15599" spans="24:25">
      <c r="X15599" s="19"/>
      <c r="Y15599" s="20"/>
    </row>
    <row r="15600" spans="24:25">
      <c r="X15600" s="19"/>
      <c r="Y15600" s="20"/>
    </row>
    <row r="15601" spans="24:25">
      <c r="X15601" s="19"/>
      <c r="Y15601" s="20"/>
    </row>
    <row r="15602" spans="24:25">
      <c r="X15602" s="19"/>
      <c r="Y15602" s="20"/>
    </row>
    <row r="15603" spans="24:25">
      <c r="X15603" s="19"/>
      <c r="Y15603" s="20"/>
    </row>
    <row r="15604" spans="24:25">
      <c r="X15604" s="19"/>
      <c r="Y15604" s="20"/>
    </row>
    <row r="15605" spans="24:25">
      <c r="X15605" s="19"/>
      <c r="Y15605" s="20"/>
    </row>
    <row r="15606" spans="24:25">
      <c r="X15606" s="19"/>
      <c r="Y15606" s="20"/>
    </row>
    <row r="15607" spans="24:25">
      <c r="X15607" s="19"/>
      <c r="Y15607" s="20"/>
    </row>
    <row r="15608" spans="24:25">
      <c r="X15608" s="19"/>
      <c r="Y15608" s="20"/>
    </row>
    <row r="15609" spans="24:25">
      <c r="X15609" s="19"/>
      <c r="Y15609" s="20"/>
    </row>
    <row r="15610" spans="24:25">
      <c r="X15610" s="19"/>
      <c r="Y15610" s="20"/>
    </row>
    <row r="15611" spans="24:25">
      <c r="X15611" s="19"/>
      <c r="Y15611" s="20"/>
    </row>
    <row r="15612" spans="24:25">
      <c r="X15612" s="19"/>
      <c r="Y15612" s="20"/>
    </row>
    <row r="15613" spans="24:25">
      <c r="X15613" s="19"/>
      <c r="Y15613" s="20"/>
    </row>
    <row r="15614" spans="24:25">
      <c r="X15614" s="19"/>
      <c r="Y15614" s="20"/>
    </row>
    <row r="15615" spans="24:25">
      <c r="X15615" s="19"/>
      <c r="Y15615" s="20"/>
    </row>
    <row r="15616" spans="24:25">
      <c r="X15616" s="19"/>
      <c r="Y15616" s="20"/>
    </row>
    <row r="15617" spans="24:25">
      <c r="X15617" s="19"/>
      <c r="Y15617" s="20"/>
    </row>
    <row r="15618" spans="24:25">
      <c r="X15618" s="19"/>
      <c r="Y15618" s="20"/>
    </row>
    <row r="15619" spans="24:25">
      <c r="X15619" s="19"/>
      <c r="Y15619" s="20"/>
    </row>
    <row r="15620" spans="24:25">
      <c r="X15620" s="19"/>
      <c r="Y15620" s="20"/>
    </row>
    <row r="15621" spans="24:25">
      <c r="X15621" s="19"/>
      <c r="Y15621" s="20"/>
    </row>
    <row r="15622" spans="24:25">
      <c r="X15622" s="19"/>
      <c r="Y15622" s="20"/>
    </row>
    <row r="15623" spans="24:25">
      <c r="X15623" s="19"/>
      <c r="Y15623" s="20"/>
    </row>
    <row r="15624" spans="24:25">
      <c r="X15624" s="19"/>
      <c r="Y15624" s="20"/>
    </row>
    <row r="15625" spans="24:25">
      <c r="X15625" s="19"/>
      <c r="Y15625" s="20"/>
    </row>
    <row r="15626" spans="24:25">
      <c r="X15626" s="19"/>
      <c r="Y15626" s="20"/>
    </row>
    <row r="15627" spans="24:25">
      <c r="X15627" s="19"/>
      <c r="Y15627" s="20"/>
    </row>
    <row r="15628" spans="24:25">
      <c r="X15628" s="19"/>
      <c r="Y15628" s="20"/>
    </row>
    <row r="15629" spans="24:25">
      <c r="X15629" s="19"/>
      <c r="Y15629" s="20"/>
    </row>
    <row r="15630" spans="24:25">
      <c r="X15630" s="19"/>
      <c r="Y15630" s="20"/>
    </row>
    <row r="15631" spans="24:25">
      <c r="X15631" s="19"/>
      <c r="Y15631" s="20"/>
    </row>
    <row r="15632" spans="24:25">
      <c r="X15632" s="19"/>
      <c r="Y15632" s="20"/>
    </row>
    <row r="15633" spans="24:25">
      <c r="X15633" s="19"/>
      <c r="Y15633" s="20"/>
    </row>
    <row r="15634" spans="24:25">
      <c r="X15634" s="19"/>
      <c r="Y15634" s="20"/>
    </row>
    <row r="15635" spans="24:25">
      <c r="X15635" s="19"/>
      <c r="Y15635" s="20"/>
    </row>
    <row r="15636" spans="24:25">
      <c r="X15636" s="19"/>
      <c r="Y15636" s="20"/>
    </row>
    <row r="15637" spans="24:25">
      <c r="X15637" s="19"/>
      <c r="Y15637" s="20"/>
    </row>
    <row r="15638" spans="24:25">
      <c r="X15638" s="19"/>
      <c r="Y15638" s="20"/>
    </row>
    <row r="15639" spans="24:25">
      <c r="X15639" s="19"/>
      <c r="Y15639" s="20"/>
    </row>
    <row r="15640" spans="24:25">
      <c r="X15640" s="19"/>
      <c r="Y15640" s="20"/>
    </row>
    <row r="15641" spans="24:25">
      <c r="X15641" s="19"/>
      <c r="Y15641" s="20"/>
    </row>
    <row r="15642" spans="24:25">
      <c r="X15642" s="19"/>
      <c r="Y15642" s="20"/>
    </row>
    <row r="15643" spans="24:25">
      <c r="X15643" s="19"/>
      <c r="Y15643" s="20"/>
    </row>
    <row r="15644" spans="24:25">
      <c r="X15644" s="19"/>
      <c r="Y15644" s="20"/>
    </row>
    <row r="15645" spans="24:25">
      <c r="X15645" s="19"/>
      <c r="Y15645" s="20"/>
    </row>
    <row r="15646" spans="24:25">
      <c r="X15646" s="19"/>
      <c r="Y15646" s="20"/>
    </row>
    <row r="15647" spans="24:25">
      <c r="X15647" s="19"/>
      <c r="Y15647" s="20"/>
    </row>
    <row r="15648" spans="24:25">
      <c r="X15648" s="19"/>
      <c r="Y15648" s="20"/>
    </row>
    <row r="15649" spans="24:25">
      <c r="X15649" s="19"/>
      <c r="Y15649" s="20"/>
    </row>
    <row r="15650" spans="24:25">
      <c r="X15650" s="19"/>
      <c r="Y15650" s="20"/>
    </row>
    <row r="15651" spans="24:25">
      <c r="X15651" s="19"/>
      <c r="Y15651" s="20"/>
    </row>
    <row r="15652" spans="24:25">
      <c r="X15652" s="19"/>
      <c r="Y15652" s="20"/>
    </row>
    <row r="15653" spans="24:25">
      <c r="X15653" s="19"/>
      <c r="Y15653" s="20"/>
    </row>
    <row r="15654" spans="24:25">
      <c r="X15654" s="19"/>
      <c r="Y15654" s="20"/>
    </row>
    <row r="15655" spans="24:25">
      <c r="X15655" s="19"/>
      <c r="Y15655" s="20"/>
    </row>
    <row r="15656" spans="24:25">
      <c r="X15656" s="19"/>
      <c r="Y15656" s="20"/>
    </row>
    <row r="15657" spans="24:25">
      <c r="X15657" s="19"/>
      <c r="Y15657" s="20"/>
    </row>
    <row r="15658" spans="24:25">
      <c r="X15658" s="19"/>
      <c r="Y15658" s="20"/>
    </row>
    <row r="15659" spans="24:25">
      <c r="X15659" s="19"/>
      <c r="Y15659" s="20"/>
    </row>
    <row r="15660" spans="24:25">
      <c r="X15660" s="19"/>
      <c r="Y15660" s="20"/>
    </row>
    <row r="15661" spans="24:25">
      <c r="X15661" s="19"/>
      <c r="Y15661" s="20"/>
    </row>
    <row r="15662" spans="24:25">
      <c r="X15662" s="19"/>
      <c r="Y15662" s="20"/>
    </row>
    <row r="15663" spans="24:25">
      <c r="X15663" s="19"/>
      <c r="Y15663" s="20"/>
    </row>
    <row r="15664" spans="24:25">
      <c r="X15664" s="19"/>
      <c r="Y15664" s="20"/>
    </row>
    <row r="15665" spans="24:25">
      <c r="X15665" s="19"/>
      <c r="Y15665" s="20"/>
    </row>
    <row r="15666" spans="24:25">
      <c r="X15666" s="19"/>
      <c r="Y15666" s="20"/>
    </row>
    <row r="15667" spans="24:25">
      <c r="X15667" s="19"/>
      <c r="Y15667" s="20"/>
    </row>
    <row r="15668" spans="24:25">
      <c r="X15668" s="19"/>
      <c r="Y15668" s="20"/>
    </row>
    <row r="15669" spans="24:25">
      <c r="X15669" s="19"/>
      <c r="Y15669" s="20"/>
    </row>
    <row r="15670" spans="24:25">
      <c r="X15670" s="19"/>
      <c r="Y15670" s="20"/>
    </row>
    <row r="15671" spans="24:25">
      <c r="X15671" s="19"/>
      <c r="Y15671" s="20"/>
    </row>
    <row r="15672" spans="24:25">
      <c r="X15672" s="19"/>
      <c r="Y15672" s="20"/>
    </row>
    <row r="15673" spans="24:25">
      <c r="X15673" s="19"/>
      <c r="Y15673" s="20"/>
    </row>
    <row r="15674" spans="24:25">
      <c r="X15674" s="19"/>
      <c r="Y15674" s="20"/>
    </row>
    <row r="15675" spans="24:25">
      <c r="X15675" s="19"/>
      <c r="Y15675" s="20"/>
    </row>
    <row r="15676" spans="24:25">
      <c r="X15676" s="19"/>
      <c r="Y15676" s="20"/>
    </row>
    <row r="15677" spans="24:25">
      <c r="X15677" s="19"/>
      <c r="Y15677" s="20"/>
    </row>
    <row r="15678" spans="24:25">
      <c r="X15678" s="19"/>
      <c r="Y15678" s="20"/>
    </row>
    <row r="15679" spans="24:25">
      <c r="X15679" s="19"/>
      <c r="Y15679" s="20"/>
    </row>
    <row r="15680" spans="24:25">
      <c r="X15680" s="19"/>
      <c r="Y15680" s="20"/>
    </row>
    <row r="15681" spans="24:25">
      <c r="X15681" s="19"/>
      <c r="Y15681" s="20"/>
    </row>
    <row r="15682" spans="24:25">
      <c r="X15682" s="19"/>
      <c r="Y15682" s="20"/>
    </row>
    <row r="15683" spans="24:25">
      <c r="X15683" s="19"/>
      <c r="Y15683" s="20"/>
    </row>
    <row r="15684" spans="24:25">
      <c r="X15684" s="19"/>
      <c r="Y15684" s="20"/>
    </row>
    <row r="15685" spans="24:25">
      <c r="X15685" s="19"/>
      <c r="Y15685" s="20"/>
    </row>
    <row r="15686" spans="24:25">
      <c r="X15686" s="19"/>
      <c r="Y15686" s="20"/>
    </row>
    <row r="15687" spans="24:25">
      <c r="X15687" s="19"/>
      <c r="Y15687" s="20"/>
    </row>
    <row r="15688" spans="24:25">
      <c r="X15688" s="19"/>
      <c r="Y15688" s="20"/>
    </row>
    <row r="15689" spans="24:25">
      <c r="X15689" s="19"/>
      <c r="Y15689" s="20"/>
    </row>
    <row r="15690" spans="24:25">
      <c r="X15690" s="19"/>
      <c r="Y15690" s="20"/>
    </row>
    <row r="15691" spans="24:25">
      <c r="X15691" s="19"/>
      <c r="Y15691" s="20"/>
    </row>
    <row r="15692" spans="24:25">
      <c r="X15692" s="19"/>
      <c r="Y15692" s="20"/>
    </row>
    <row r="15693" spans="24:25">
      <c r="X15693" s="19"/>
      <c r="Y15693" s="20"/>
    </row>
    <row r="15694" spans="24:25">
      <c r="X15694" s="19"/>
      <c r="Y15694" s="20"/>
    </row>
    <row r="15695" spans="24:25">
      <c r="X15695" s="19"/>
      <c r="Y15695" s="20"/>
    </row>
    <row r="15696" spans="24:25">
      <c r="X15696" s="19"/>
      <c r="Y15696" s="20"/>
    </row>
    <row r="15697" spans="24:25">
      <c r="X15697" s="19"/>
      <c r="Y15697" s="20"/>
    </row>
    <row r="15698" spans="24:25">
      <c r="X15698" s="19"/>
      <c r="Y15698" s="20"/>
    </row>
    <row r="15699" spans="24:25">
      <c r="X15699" s="19"/>
      <c r="Y15699" s="20"/>
    </row>
    <row r="15700" spans="24:25">
      <c r="X15700" s="19"/>
      <c r="Y15700" s="20"/>
    </row>
    <row r="15701" spans="24:25">
      <c r="X15701" s="19"/>
      <c r="Y15701" s="20"/>
    </row>
    <row r="15702" spans="24:25">
      <c r="X15702" s="19"/>
      <c r="Y15702" s="20"/>
    </row>
    <row r="15703" spans="24:25">
      <c r="X15703" s="19"/>
      <c r="Y15703" s="20"/>
    </row>
    <row r="15704" spans="24:25">
      <c r="X15704" s="19"/>
      <c r="Y15704" s="20"/>
    </row>
    <row r="15705" spans="24:25">
      <c r="X15705" s="19"/>
      <c r="Y15705" s="20"/>
    </row>
    <row r="15706" spans="24:25">
      <c r="X15706" s="19"/>
      <c r="Y15706" s="20"/>
    </row>
    <row r="15707" spans="24:25">
      <c r="X15707" s="19"/>
      <c r="Y15707" s="20"/>
    </row>
    <row r="15708" spans="24:25">
      <c r="X15708" s="19"/>
      <c r="Y15708" s="20"/>
    </row>
    <row r="15709" spans="24:25">
      <c r="X15709" s="19"/>
      <c r="Y15709" s="20"/>
    </row>
    <row r="15710" spans="24:25">
      <c r="X15710" s="19"/>
      <c r="Y15710" s="20"/>
    </row>
    <row r="15711" spans="24:25">
      <c r="X15711" s="19"/>
      <c r="Y15711" s="20"/>
    </row>
    <row r="15712" spans="24:25">
      <c r="X15712" s="19"/>
      <c r="Y15712" s="20"/>
    </row>
    <row r="15713" spans="24:25">
      <c r="X15713" s="19"/>
      <c r="Y15713" s="20"/>
    </row>
    <row r="15714" spans="24:25">
      <c r="X15714" s="19"/>
      <c r="Y15714" s="20"/>
    </row>
    <row r="15715" spans="24:25">
      <c r="X15715" s="19"/>
      <c r="Y15715" s="20"/>
    </row>
    <row r="15716" spans="24:25">
      <c r="X15716" s="19"/>
      <c r="Y15716" s="20"/>
    </row>
    <row r="15717" spans="24:25">
      <c r="X15717" s="19"/>
      <c r="Y15717" s="20"/>
    </row>
    <row r="15718" spans="24:25">
      <c r="X15718" s="19"/>
      <c r="Y15718" s="20"/>
    </row>
    <row r="15719" spans="24:25">
      <c r="X15719" s="19"/>
      <c r="Y15719" s="20"/>
    </row>
    <row r="15720" spans="24:25">
      <c r="X15720" s="19"/>
      <c r="Y15720" s="20"/>
    </row>
    <row r="15721" spans="24:25">
      <c r="X15721" s="19"/>
      <c r="Y15721" s="20"/>
    </row>
    <row r="15722" spans="24:25">
      <c r="X15722" s="19"/>
      <c r="Y15722" s="20"/>
    </row>
    <row r="15723" spans="24:25">
      <c r="X15723" s="19"/>
      <c r="Y15723" s="20"/>
    </row>
    <row r="15724" spans="24:25">
      <c r="X15724" s="19"/>
      <c r="Y15724" s="20"/>
    </row>
    <row r="15725" spans="24:25">
      <c r="X15725" s="19"/>
      <c r="Y15725" s="20"/>
    </row>
    <row r="15726" spans="24:25">
      <c r="X15726" s="19"/>
      <c r="Y15726" s="20"/>
    </row>
    <row r="15727" spans="24:25">
      <c r="X15727" s="19"/>
      <c r="Y15727" s="20"/>
    </row>
    <row r="15728" spans="24:25">
      <c r="X15728" s="19"/>
      <c r="Y15728" s="20"/>
    </row>
    <row r="15729" spans="24:25">
      <c r="X15729" s="19"/>
      <c r="Y15729" s="20"/>
    </row>
    <row r="15730" spans="24:25">
      <c r="X15730" s="19"/>
      <c r="Y15730" s="20"/>
    </row>
    <row r="15731" spans="24:25">
      <c r="X15731" s="19"/>
      <c r="Y15731" s="20"/>
    </row>
    <row r="15732" spans="24:25">
      <c r="X15732" s="19"/>
      <c r="Y15732" s="20"/>
    </row>
    <row r="15733" spans="24:25">
      <c r="X15733" s="19"/>
      <c r="Y15733" s="20"/>
    </row>
    <row r="15734" spans="24:25">
      <c r="X15734" s="19"/>
      <c r="Y15734" s="20"/>
    </row>
    <row r="15735" spans="24:25">
      <c r="X15735" s="19"/>
      <c r="Y15735" s="20"/>
    </row>
    <row r="15736" spans="24:25">
      <c r="X15736" s="19"/>
      <c r="Y15736" s="20"/>
    </row>
    <row r="15737" spans="24:25">
      <c r="X15737" s="19"/>
      <c r="Y15737" s="20"/>
    </row>
    <row r="15738" spans="24:25">
      <c r="X15738" s="19"/>
      <c r="Y15738" s="20"/>
    </row>
    <row r="15739" spans="24:25">
      <c r="X15739" s="19"/>
      <c r="Y15739" s="20"/>
    </row>
    <row r="15740" spans="24:25">
      <c r="X15740" s="19"/>
      <c r="Y15740" s="20"/>
    </row>
    <row r="15741" spans="24:25">
      <c r="X15741" s="19"/>
      <c r="Y15741" s="20"/>
    </row>
    <row r="15742" spans="24:25">
      <c r="X15742" s="19"/>
      <c r="Y15742" s="20"/>
    </row>
    <row r="15743" spans="24:25">
      <c r="X15743" s="19"/>
      <c r="Y15743" s="20"/>
    </row>
    <row r="15744" spans="24:25">
      <c r="X15744" s="19"/>
      <c r="Y15744" s="20"/>
    </row>
    <row r="15745" spans="24:25">
      <c r="X15745" s="19"/>
      <c r="Y15745" s="20"/>
    </row>
    <row r="15746" spans="24:25">
      <c r="X15746" s="19"/>
      <c r="Y15746" s="20"/>
    </row>
    <row r="15747" spans="24:25">
      <c r="X15747" s="19"/>
      <c r="Y15747" s="20"/>
    </row>
    <row r="15748" spans="24:25">
      <c r="X15748" s="19"/>
      <c r="Y15748" s="20"/>
    </row>
    <row r="15749" spans="24:25">
      <c r="X15749" s="19"/>
      <c r="Y15749" s="20"/>
    </row>
    <row r="15750" spans="24:25">
      <c r="X15750" s="19"/>
      <c r="Y15750" s="20"/>
    </row>
    <row r="15751" spans="24:25">
      <c r="X15751" s="19"/>
      <c r="Y15751" s="20"/>
    </row>
    <row r="15752" spans="24:25">
      <c r="X15752" s="19"/>
      <c r="Y15752" s="20"/>
    </row>
    <row r="15753" spans="24:25">
      <c r="X15753" s="19"/>
      <c r="Y15753" s="20"/>
    </row>
    <row r="15754" spans="24:25">
      <c r="X15754" s="19"/>
      <c r="Y15754" s="20"/>
    </row>
    <row r="15755" spans="24:25">
      <c r="X15755" s="19"/>
      <c r="Y15755" s="20"/>
    </row>
    <row r="15756" spans="24:25">
      <c r="X15756" s="19"/>
      <c r="Y15756" s="20"/>
    </row>
    <row r="15757" spans="24:25">
      <c r="X15757" s="19"/>
      <c r="Y15757" s="20"/>
    </row>
    <row r="15758" spans="24:25">
      <c r="X15758" s="19"/>
      <c r="Y15758" s="20"/>
    </row>
    <row r="15759" spans="24:25">
      <c r="X15759" s="19"/>
      <c r="Y15759" s="20"/>
    </row>
    <row r="15760" spans="24:25">
      <c r="X15760" s="19"/>
      <c r="Y15760" s="20"/>
    </row>
    <row r="15761" spans="24:25">
      <c r="X15761" s="19"/>
      <c r="Y15761" s="20"/>
    </row>
    <row r="15762" spans="24:25">
      <c r="X15762" s="19"/>
      <c r="Y15762" s="20"/>
    </row>
    <row r="15763" spans="24:25">
      <c r="X15763" s="19"/>
      <c r="Y15763" s="20"/>
    </row>
    <row r="15764" spans="24:25">
      <c r="X15764" s="19"/>
      <c r="Y15764" s="20"/>
    </row>
    <row r="15765" spans="24:25">
      <c r="X15765" s="19"/>
      <c r="Y15765" s="20"/>
    </row>
    <row r="15766" spans="24:25">
      <c r="X15766" s="19"/>
      <c r="Y15766" s="20"/>
    </row>
    <row r="15767" spans="24:25">
      <c r="X15767" s="19"/>
      <c r="Y15767" s="20"/>
    </row>
    <row r="15768" spans="24:25">
      <c r="X15768" s="19"/>
      <c r="Y15768" s="20"/>
    </row>
    <row r="15769" spans="24:25">
      <c r="X15769" s="19"/>
      <c r="Y15769" s="20"/>
    </row>
    <row r="15770" spans="24:25">
      <c r="X15770" s="19"/>
      <c r="Y15770" s="20"/>
    </row>
    <row r="15771" spans="24:25">
      <c r="X15771" s="19"/>
      <c r="Y15771" s="20"/>
    </row>
    <row r="15772" spans="24:25">
      <c r="X15772" s="19"/>
      <c r="Y15772" s="20"/>
    </row>
    <row r="15773" spans="24:25">
      <c r="X15773" s="19"/>
      <c r="Y15773" s="20"/>
    </row>
    <row r="15774" spans="24:25">
      <c r="X15774" s="19"/>
      <c r="Y15774" s="20"/>
    </row>
    <row r="15775" spans="24:25">
      <c r="X15775" s="19"/>
      <c r="Y15775" s="20"/>
    </row>
    <row r="15776" spans="24:25">
      <c r="X15776" s="19"/>
      <c r="Y15776" s="20"/>
    </row>
    <row r="15777" spans="24:25">
      <c r="X15777" s="19"/>
      <c r="Y15777" s="20"/>
    </row>
    <row r="15778" spans="24:25">
      <c r="X15778" s="19"/>
      <c r="Y15778" s="20"/>
    </row>
    <row r="15779" spans="24:25">
      <c r="X15779" s="19"/>
      <c r="Y15779" s="20"/>
    </row>
    <row r="15780" spans="24:25">
      <c r="X15780" s="19"/>
      <c r="Y15780" s="20"/>
    </row>
    <row r="15781" spans="24:25">
      <c r="X15781" s="19"/>
      <c r="Y15781" s="20"/>
    </row>
    <row r="15782" spans="24:25">
      <c r="X15782" s="19"/>
      <c r="Y15782" s="20"/>
    </row>
    <row r="15783" spans="24:25">
      <c r="X15783" s="19"/>
      <c r="Y15783" s="20"/>
    </row>
    <row r="15784" spans="24:25">
      <c r="X15784" s="19"/>
      <c r="Y15784" s="20"/>
    </row>
    <row r="15785" spans="24:25">
      <c r="X15785" s="19"/>
      <c r="Y15785" s="20"/>
    </row>
    <row r="15786" spans="24:25">
      <c r="X15786" s="19"/>
      <c r="Y15786" s="20"/>
    </row>
    <row r="15787" spans="24:25">
      <c r="X15787" s="19"/>
      <c r="Y15787" s="20"/>
    </row>
    <row r="15788" spans="24:25">
      <c r="X15788" s="19"/>
      <c r="Y15788" s="20"/>
    </row>
    <row r="15789" spans="24:25">
      <c r="X15789" s="19"/>
      <c r="Y15789" s="20"/>
    </row>
    <row r="15790" spans="24:25">
      <c r="X15790" s="19"/>
      <c r="Y15790" s="20"/>
    </row>
    <row r="15791" spans="24:25">
      <c r="X15791" s="19"/>
      <c r="Y15791" s="20"/>
    </row>
    <row r="15792" spans="24:25">
      <c r="X15792" s="19"/>
      <c r="Y15792" s="20"/>
    </row>
    <row r="15793" spans="24:25">
      <c r="X15793" s="19"/>
      <c r="Y15793" s="20"/>
    </row>
    <row r="15794" spans="24:25">
      <c r="X15794" s="19"/>
      <c r="Y15794" s="20"/>
    </row>
    <row r="15795" spans="24:25">
      <c r="X15795" s="19"/>
      <c r="Y15795" s="20"/>
    </row>
    <row r="15796" spans="24:25">
      <c r="X15796" s="19"/>
      <c r="Y15796" s="20"/>
    </row>
    <row r="15797" spans="24:25">
      <c r="X15797" s="19"/>
      <c r="Y15797" s="20"/>
    </row>
    <row r="15798" spans="24:25">
      <c r="X15798" s="19"/>
      <c r="Y15798" s="20"/>
    </row>
    <row r="15799" spans="24:25">
      <c r="X15799" s="19"/>
      <c r="Y15799" s="20"/>
    </row>
    <row r="15800" spans="24:25">
      <c r="X15800" s="19"/>
      <c r="Y15800" s="20"/>
    </row>
    <row r="15801" spans="24:25">
      <c r="X15801" s="19"/>
      <c r="Y15801" s="20"/>
    </row>
    <row r="15802" spans="24:25">
      <c r="X15802" s="19"/>
      <c r="Y15802" s="20"/>
    </row>
    <row r="15803" spans="24:25">
      <c r="X15803" s="19"/>
      <c r="Y15803" s="20"/>
    </row>
    <row r="15804" spans="24:25">
      <c r="X15804" s="19"/>
      <c r="Y15804" s="20"/>
    </row>
    <row r="15805" spans="24:25">
      <c r="X15805" s="19"/>
      <c r="Y15805" s="20"/>
    </row>
    <row r="15806" spans="24:25">
      <c r="X15806" s="19"/>
      <c r="Y15806" s="20"/>
    </row>
    <row r="15807" spans="24:25">
      <c r="X15807" s="19"/>
      <c r="Y15807" s="20"/>
    </row>
    <row r="15808" spans="24:25">
      <c r="X15808" s="19"/>
      <c r="Y15808" s="20"/>
    </row>
    <row r="15809" spans="24:25">
      <c r="X15809" s="19"/>
      <c r="Y15809" s="20"/>
    </row>
    <row r="15810" spans="24:25">
      <c r="X15810" s="19"/>
      <c r="Y15810" s="20"/>
    </row>
    <row r="15811" spans="24:25">
      <c r="X15811" s="19"/>
      <c r="Y15811" s="20"/>
    </row>
    <row r="15812" spans="24:25">
      <c r="X15812" s="19"/>
      <c r="Y15812" s="20"/>
    </row>
    <row r="15813" spans="24:25">
      <c r="X15813" s="19"/>
      <c r="Y15813" s="20"/>
    </row>
    <row r="15814" spans="24:25">
      <c r="X15814" s="19"/>
      <c r="Y15814" s="20"/>
    </row>
    <row r="15815" spans="24:25">
      <c r="X15815" s="19"/>
      <c r="Y15815" s="20"/>
    </row>
    <row r="15816" spans="24:25">
      <c r="X15816" s="19"/>
      <c r="Y15816" s="20"/>
    </row>
    <row r="15817" spans="24:25">
      <c r="X15817" s="19"/>
      <c r="Y15817" s="20"/>
    </row>
    <row r="15818" spans="24:25">
      <c r="X15818" s="19"/>
      <c r="Y15818" s="20"/>
    </row>
    <row r="15819" spans="24:25">
      <c r="X15819" s="19"/>
      <c r="Y15819" s="20"/>
    </row>
    <row r="15820" spans="24:25">
      <c r="X15820" s="19"/>
      <c r="Y15820" s="20"/>
    </row>
    <row r="15821" spans="24:25">
      <c r="X15821" s="19"/>
      <c r="Y15821" s="20"/>
    </row>
    <row r="15822" spans="24:25">
      <c r="X15822" s="19"/>
      <c r="Y15822" s="20"/>
    </row>
    <row r="15823" spans="24:25">
      <c r="X15823" s="19"/>
      <c r="Y15823" s="20"/>
    </row>
    <row r="15824" spans="24:25">
      <c r="X15824" s="19"/>
      <c r="Y15824" s="20"/>
    </row>
    <row r="15825" spans="24:25">
      <c r="X15825" s="19"/>
      <c r="Y15825" s="20"/>
    </row>
    <row r="15826" spans="24:25">
      <c r="X15826" s="19"/>
      <c r="Y15826" s="20"/>
    </row>
    <row r="15827" spans="24:25">
      <c r="X15827" s="19"/>
      <c r="Y15827" s="20"/>
    </row>
    <row r="15828" spans="24:25">
      <c r="X15828" s="19"/>
      <c r="Y15828" s="20"/>
    </row>
    <row r="15829" spans="24:25">
      <c r="X15829" s="19"/>
      <c r="Y15829" s="20"/>
    </row>
    <row r="15830" spans="24:25">
      <c r="X15830" s="19"/>
      <c r="Y15830" s="20"/>
    </row>
    <row r="15831" spans="24:25">
      <c r="X15831" s="19"/>
      <c r="Y15831" s="20"/>
    </row>
    <row r="15832" spans="24:25">
      <c r="X15832" s="19"/>
      <c r="Y15832" s="20"/>
    </row>
    <row r="15833" spans="24:25">
      <c r="X15833" s="19"/>
      <c r="Y15833" s="20"/>
    </row>
    <row r="15834" spans="24:25">
      <c r="X15834" s="19"/>
      <c r="Y15834" s="20"/>
    </row>
    <row r="15835" spans="24:25">
      <c r="X15835" s="19"/>
      <c r="Y15835" s="20"/>
    </row>
    <row r="15836" spans="24:25">
      <c r="X15836" s="19"/>
      <c r="Y15836" s="20"/>
    </row>
    <row r="15837" spans="24:25">
      <c r="X15837" s="19"/>
      <c r="Y15837" s="20"/>
    </row>
    <row r="15838" spans="24:25">
      <c r="X15838" s="19"/>
      <c r="Y15838" s="20"/>
    </row>
    <row r="15839" spans="24:25">
      <c r="X15839" s="19"/>
      <c r="Y15839" s="20"/>
    </row>
    <row r="15840" spans="24:25">
      <c r="X15840" s="19"/>
      <c r="Y15840" s="20"/>
    </row>
    <row r="15841" spans="24:25">
      <c r="X15841" s="19"/>
      <c r="Y15841" s="20"/>
    </row>
    <row r="15842" spans="24:25">
      <c r="X15842" s="19"/>
      <c r="Y15842" s="20"/>
    </row>
    <row r="15843" spans="24:25">
      <c r="X15843" s="19"/>
      <c r="Y15843" s="20"/>
    </row>
    <row r="15844" spans="24:25">
      <c r="X15844" s="19"/>
      <c r="Y15844" s="20"/>
    </row>
    <row r="15845" spans="24:25">
      <c r="X15845" s="19"/>
      <c r="Y15845" s="20"/>
    </row>
    <row r="15846" spans="24:25">
      <c r="X15846" s="19"/>
      <c r="Y15846" s="20"/>
    </row>
    <row r="15847" spans="24:25">
      <c r="X15847" s="19"/>
      <c r="Y15847" s="20"/>
    </row>
    <row r="15848" spans="24:25">
      <c r="X15848" s="19"/>
      <c r="Y15848" s="20"/>
    </row>
    <row r="15849" spans="24:25">
      <c r="X15849" s="19"/>
      <c r="Y15849" s="20"/>
    </row>
    <row r="15850" spans="24:25">
      <c r="X15850" s="19"/>
      <c r="Y15850" s="20"/>
    </row>
    <row r="15851" spans="24:25">
      <c r="X15851" s="19"/>
      <c r="Y15851" s="20"/>
    </row>
    <row r="15852" spans="24:25">
      <c r="X15852" s="19"/>
      <c r="Y15852" s="20"/>
    </row>
    <row r="15853" spans="24:25">
      <c r="X15853" s="19"/>
      <c r="Y15853" s="20"/>
    </row>
    <row r="15854" spans="24:25">
      <c r="X15854" s="19"/>
      <c r="Y15854" s="20"/>
    </row>
    <row r="15855" spans="24:25">
      <c r="X15855" s="19"/>
      <c r="Y15855" s="20"/>
    </row>
    <row r="15856" spans="24:25">
      <c r="X15856" s="19"/>
      <c r="Y15856" s="20"/>
    </row>
    <row r="15857" spans="24:25">
      <c r="X15857" s="19"/>
      <c r="Y15857" s="20"/>
    </row>
    <row r="15858" spans="24:25">
      <c r="X15858" s="19"/>
      <c r="Y15858" s="20"/>
    </row>
    <row r="15859" spans="24:25">
      <c r="X15859" s="19"/>
      <c r="Y15859" s="20"/>
    </row>
    <row r="15860" spans="24:25">
      <c r="X15860" s="19"/>
      <c r="Y15860" s="20"/>
    </row>
    <row r="15861" spans="24:25">
      <c r="X15861" s="19"/>
      <c r="Y15861" s="20"/>
    </row>
    <row r="15862" spans="24:25">
      <c r="X15862" s="19"/>
      <c r="Y15862" s="20"/>
    </row>
    <row r="15863" spans="24:25">
      <c r="X15863" s="19"/>
      <c r="Y15863" s="20"/>
    </row>
    <row r="15864" spans="24:25">
      <c r="X15864" s="19"/>
      <c r="Y15864" s="20"/>
    </row>
    <row r="15865" spans="24:25">
      <c r="X15865" s="19"/>
      <c r="Y15865" s="20"/>
    </row>
    <row r="15866" spans="24:25">
      <c r="X15866" s="19"/>
      <c r="Y15866" s="20"/>
    </row>
    <row r="15867" spans="24:25">
      <c r="X15867" s="19"/>
      <c r="Y15867" s="20"/>
    </row>
    <row r="15868" spans="24:25">
      <c r="X15868" s="19"/>
      <c r="Y15868" s="20"/>
    </row>
    <row r="15869" spans="24:25">
      <c r="X15869" s="19"/>
      <c r="Y15869" s="20"/>
    </row>
    <row r="15870" spans="24:25">
      <c r="X15870" s="19"/>
      <c r="Y15870" s="20"/>
    </row>
    <row r="15871" spans="24:25">
      <c r="X15871" s="19"/>
      <c r="Y15871" s="20"/>
    </row>
    <row r="15872" spans="24:25">
      <c r="X15872" s="19"/>
      <c r="Y15872" s="20"/>
    </row>
    <row r="15873" spans="24:25">
      <c r="X15873" s="19"/>
      <c r="Y15873" s="20"/>
    </row>
    <row r="15874" spans="24:25">
      <c r="X15874" s="19"/>
      <c r="Y15874" s="20"/>
    </row>
    <row r="15875" spans="24:25">
      <c r="X15875" s="19"/>
      <c r="Y15875" s="20"/>
    </row>
    <row r="15876" spans="24:25">
      <c r="X15876" s="19"/>
      <c r="Y15876" s="20"/>
    </row>
    <row r="15877" spans="24:25">
      <c r="X15877" s="19"/>
      <c r="Y15877" s="20"/>
    </row>
    <row r="15878" spans="24:25">
      <c r="X15878" s="19"/>
      <c r="Y15878" s="20"/>
    </row>
    <row r="15879" spans="24:25">
      <c r="X15879" s="19"/>
      <c r="Y15879" s="20"/>
    </row>
    <row r="15880" spans="24:25">
      <c r="X15880" s="19"/>
      <c r="Y15880" s="20"/>
    </row>
    <row r="15881" spans="24:25">
      <c r="X15881" s="19"/>
      <c r="Y15881" s="20"/>
    </row>
    <row r="15882" spans="24:25">
      <c r="X15882" s="19"/>
      <c r="Y15882" s="20"/>
    </row>
    <row r="15883" spans="24:25">
      <c r="X15883" s="19"/>
      <c r="Y15883" s="20"/>
    </row>
    <row r="15884" spans="24:25">
      <c r="X15884" s="19"/>
      <c r="Y15884" s="20"/>
    </row>
    <row r="15885" spans="24:25">
      <c r="X15885" s="19"/>
      <c r="Y15885" s="20"/>
    </row>
    <row r="15886" spans="24:25">
      <c r="X15886" s="19"/>
      <c r="Y15886" s="20"/>
    </row>
    <row r="15887" spans="24:25">
      <c r="X15887" s="19"/>
      <c r="Y15887" s="20"/>
    </row>
    <row r="15888" spans="24:25">
      <c r="X15888" s="19"/>
      <c r="Y15888" s="20"/>
    </row>
    <row r="15889" spans="24:25">
      <c r="X15889" s="19"/>
      <c r="Y15889" s="20"/>
    </row>
    <row r="15890" spans="24:25">
      <c r="X15890" s="19"/>
      <c r="Y15890" s="20"/>
    </row>
    <row r="15891" spans="24:25">
      <c r="X15891" s="19"/>
      <c r="Y15891" s="20"/>
    </row>
    <row r="15892" spans="24:25">
      <c r="X15892" s="19"/>
      <c r="Y15892" s="20"/>
    </row>
    <row r="15893" spans="24:25">
      <c r="X15893" s="19"/>
      <c r="Y15893" s="20"/>
    </row>
    <row r="15894" spans="24:25">
      <c r="X15894" s="19"/>
      <c r="Y15894" s="20"/>
    </row>
    <row r="15895" spans="24:25">
      <c r="X15895" s="19"/>
      <c r="Y15895" s="20"/>
    </row>
    <row r="15896" spans="24:25">
      <c r="X15896" s="19"/>
      <c r="Y15896" s="20"/>
    </row>
    <row r="15897" spans="24:25">
      <c r="X15897" s="19"/>
      <c r="Y15897" s="20"/>
    </row>
    <row r="15898" spans="24:25">
      <c r="X15898" s="19"/>
      <c r="Y15898" s="20"/>
    </row>
    <row r="15899" spans="24:25">
      <c r="X15899" s="19"/>
      <c r="Y15899" s="20"/>
    </row>
    <row r="15900" spans="24:25">
      <c r="X15900" s="19"/>
      <c r="Y15900" s="20"/>
    </row>
    <row r="15901" spans="24:25">
      <c r="X15901" s="19"/>
      <c r="Y15901" s="20"/>
    </row>
    <row r="15902" spans="24:25">
      <c r="X15902" s="19"/>
      <c r="Y15902" s="20"/>
    </row>
    <row r="15903" spans="24:25">
      <c r="X15903" s="19"/>
      <c r="Y15903" s="20"/>
    </row>
    <row r="15904" spans="24:25">
      <c r="X15904" s="19"/>
      <c r="Y15904" s="20"/>
    </row>
    <row r="15905" spans="24:25">
      <c r="X15905" s="19"/>
      <c r="Y15905" s="20"/>
    </row>
    <row r="15906" spans="24:25">
      <c r="X15906" s="19"/>
      <c r="Y15906" s="20"/>
    </row>
    <row r="15907" spans="24:25">
      <c r="X15907" s="19"/>
      <c r="Y15907" s="20"/>
    </row>
    <row r="15908" spans="24:25">
      <c r="X15908" s="19"/>
      <c r="Y15908" s="20"/>
    </row>
    <row r="15909" spans="24:25">
      <c r="X15909" s="19"/>
      <c r="Y15909" s="20"/>
    </row>
    <row r="15910" spans="24:25">
      <c r="X15910" s="19"/>
      <c r="Y15910" s="20"/>
    </row>
    <row r="15911" spans="24:25">
      <c r="X15911" s="19"/>
      <c r="Y15911" s="20"/>
    </row>
    <row r="15912" spans="24:25">
      <c r="X15912" s="19"/>
      <c r="Y15912" s="20"/>
    </row>
    <row r="15913" spans="24:25">
      <c r="X15913" s="19"/>
      <c r="Y15913" s="20"/>
    </row>
    <row r="15914" spans="24:25">
      <c r="X15914" s="19"/>
      <c r="Y15914" s="20"/>
    </row>
    <row r="15915" spans="24:25">
      <c r="X15915" s="19"/>
      <c r="Y15915" s="20"/>
    </row>
    <row r="15916" spans="24:25">
      <c r="X15916" s="19"/>
      <c r="Y15916" s="20"/>
    </row>
    <row r="15917" spans="24:25">
      <c r="X15917" s="19"/>
      <c r="Y15917" s="20"/>
    </row>
    <row r="15918" spans="24:25">
      <c r="X15918" s="19"/>
      <c r="Y15918" s="20"/>
    </row>
    <row r="15919" spans="24:25">
      <c r="X15919" s="19"/>
      <c r="Y15919" s="20"/>
    </row>
    <row r="15920" spans="24:25">
      <c r="X15920" s="19"/>
      <c r="Y15920" s="20"/>
    </row>
    <row r="15921" spans="24:25">
      <c r="X15921" s="19"/>
      <c r="Y15921" s="20"/>
    </row>
    <row r="15922" spans="24:25">
      <c r="X15922" s="19"/>
      <c r="Y15922" s="20"/>
    </row>
    <row r="15923" spans="24:25">
      <c r="X15923" s="19"/>
      <c r="Y15923" s="20"/>
    </row>
    <row r="15924" spans="24:25">
      <c r="X15924" s="19"/>
      <c r="Y15924" s="20"/>
    </row>
    <row r="15925" spans="24:25">
      <c r="X15925" s="19"/>
      <c r="Y15925" s="20"/>
    </row>
    <row r="15926" spans="24:25">
      <c r="X15926" s="19"/>
      <c r="Y15926" s="20"/>
    </row>
    <row r="15927" spans="24:25">
      <c r="X15927" s="19"/>
      <c r="Y15927" s="20"/>
    </row>
    <row r="15928" spans="24:25">
      <c r="X15928" s="19"/>
      <c r="Y15928" s="20"/>
    </row>
    <row r="15929" spans="24:25">
      <c r="X15929" s="19"/>
      <c r="Y15929" s="20"/>
    </row>
    <row r="15930" spans="24:25">
      <c r="X15930" s="19"/>
      <c r="Y15930" s="20"/>
    </row>
    <row r="15931" spans="24:25">
      <c r="X15931" s="19"/>
      <c r="Y15931" s="20"/>
    </row>
    <row r="15932" spans="24:25">
      <c r="X15932" s="19"/>
      <c r="Y15932" s="20"/>
    </row>
    <row r="15933" spans="24:25">
      <c r="X15933" s="19"/>
      <c r="Y15933" s="20"/>
    </row>
    <row r="15934" spans="24:25">
      <c r="X15934" s="19"/>
      <c r="Y15934" s="20"/>
    </row>
    <row r="15935" spans="24:25">
      <c r="X15935" s="19"/>
      <c r="Y15935" s="20"/>
    </row>
    <row r="15936" spans="24:25">
      <c r="X15936" s="19"/>
      <c r="Y15936" s="20"/>
    </row>
    <row r="15937" spans="24:25">
      <c r="X15937" s="19"/>
      <c r="Y15937" s="20"/>
    </row>
    <row r="15938" spans="24:25">
      <c r="X15938" s="19"/>
      <c r="Y15938" s="20"/>
    </row>
    <row r="15939" spans="24:25">
      <c r="X15939" s="19"/>
      <c r="Y15939" s="20"/>
    </row>
    <row r="15940" spans="24:25">
      <c r="X15940" s="19"/>
      <c r="Y15940" s="20"/>
    </row>
    <row r="15941" spans="24:25">
      <c r="X15941" s="19"/>
      <c r="Y15941" s="20"/>
    </row>
    <row r="15942" spans="24:25">
      <c r="X15942" s="19"/>
      <c r="Y15942" s="20"/>
    </row>
    <row r="15943" spans="24:25">
      <c r="X15943" s="19"/>
      <c r="Y15943" s="20"/>
    </row>
    <row r="15944" spans="24:25">
      <c r="X15944" s="19"/>
      <c r="Y15944" s="20"/>
    </row>
    <row r="15945" spans="24:25">
      <c r="X15945" s="19"/>
      <c r="Y15945" s="20"/>
    </row>
    <row r="15946" spans="24:25">
      <c r="X15946" s="19"/>
      <c r="Y15946" s="20"/>
    </row>
    <row r="15947" spans="24:25">
      <c r="X15947" s="19"/>
      <c r="Y15947" s="20"/>
    </row>
    <row r="15948" spans="24:25">
      <c r="X15948" s="19"/>
      <c r="Y15948" s="20"/>
    </row>
    <row r="15949" spans="24:25">
      <c r="X15949" s="19"/>
      <c r="Y15949" s="20"/>
    </row>
    <row r="15950" spans="24:25">
      <c r="X15950" s="19"/>
      <c r="Y15950" s="20"/>
    </row>
    <row r="15951" spans="24:25">
      <c r="X15951" s="19"/>
      <c r="Y15951" s="20"/>
    </row>
    <row r="15952" spans="24:25">
      <c r="X15952" s="19"/>
      <c r="Y15952" s="20"/>
    </row>
    <row r="15953" spans="24:25">
      <c r="X15953" s="19"/>
      <c r="Y15953" s="20"/>
    </row>
    <row r="15954" spans="24:25">
      <c r="X15954" s="19"/>
      <c r="Y15954" s="20"/>
    </row>
    <row r="15955" spans="24:25">
      <c r="X15955" s="19"/>
      <c r="Y15955" s="20"/>
    </row>
    <row r="15956" spans="24:25">
      <c r="X15956" s="19"/>
      <c r="Y15956" s="20"/>
    </row>
    <row r="15957" spans="24:25">
      <c r="X15957" s="19"/>
      <c r="Y15957" s="20"/>
    </row>
    <row r="15958" spans="24:25">
      <c r="X15958" s="19"/>
      <c r="Y15958" s="20"/>
    </row>
    <row r="15959" spans="24:25">
      <c r="X15959" s="19"/>
      <c r="Y15959" s="20"/>
    </row>
    <row r="15960" spans="24:25">
      <c r="X15960" s="19"/>
      <c r="Y15960" s="20"/>
    </row>
    <row r="15961" spans="24:25">
      <c r="X15961" s="19"/>
      <c r="Y15961" s="20"/>
    </row>
    <row r="15962" spans="24:25">
      <c r="X15962" s="19"/>
      <c r="Y15962" s="20"/>
    </row>
    <row r="15963" spans="24:25">
      <c r="X15963" s="19"/>
      <c r="Y15963" s="20"/>
    </row>
    <row r="15964" spans="24:25">
      <c r="X15964" s="19"/>
      <c r="Y15964" s="20"/>
    </row>
    <row r="15965" spans="24:25">
      <c r="X15965" s="19"/>
      <c r="Y15965" s="20"/>
    </row>
    <row r="15966" spans="24:25">
      <c r="X15966" s="19"/>
      <c r="Y15966" s="20"/>
    </row>
    <row r="15967" spans="24:25">
      <c r="X15967" s="19"/>
      <c r="Y15967" s="20"/>
    </row>
    <row r="15968" spans="24:25">
      <c r="X15968" s="19"/>
      <c r="Y15968" s="20"/>
    </row>
    <row r="15969" spans="24:25">
      <c r="X15969" s="19"/>
      <c r="Y15969" s="20"/>
    </row>
    <row r="15970" spans="24:25">
      <c r="X15970" s="19"/>
      <c r="Y15970" s="20"/>
    </row>
    <row r="15971" spans="24:25">
      <c r="X15971" s="19"/>
      <c r="Y15971" s="20"/>
    </row>
    <row r="15972" spans="24:25">
      <c r="X15972" s="19"/>
      <c r="Y15972" s="20"/>
    </row>
    <row r="15973" spans="24:25">
      <c r="X15973" s="19"/>
      <c r="Y15973" s="20"/>
    </row>
    <row r="15974" spans="24:25">
      <c r="X15974" s="19"/>
      <c r="Y15974" s="20"/>
    </row>
    <row r="15975" spans="24:25">
      <c r="X15975" s="19"/>
      <c r="Y15975" s="20"/>
    </row>
    <row r="15976" spans="24:25">
      <c r="X15976" s="19"/>
      <c r="Y15976" s="20"/>
    </row>
    <row r="15977" spans="24:25">
      <c r="X15977" s="19"/>
      <c r="Y15977" s="20"/>
    </row>
    <row r="15978" spans="24:25">
      <c r="X15978" s="19"/>
      <c r="Y15978" s="20"/>
    </row>
    <row r="15979" spans="24:25">
      <c r="X15979" s="19"/>
      <c r="Y15979" s="20"/>
    </row>
    <row r="15980" spans="24:25">
      <c r="X15980" s="19"/>
      <c r="Y15980" s="20"/>
    </row>
    <row r="15981" spans="24:25">
      <c r="X15981" s="19"/>
      <c r="Y15981" s="20"/>
    </row>
    <row r="15982" spans="24:25">
      <c r="X15982" s="19"/>
      <c r="Y15982" s="20"/>
    </row>
    <row r="15983" spans="24:25">
      <c r="X15983" s="19"/>
      <c r="Y15983" s="20"/>
    </row>
    <row r="15984" spans="24:25">
      <c r="X15984" s="19"/>
      <c r="Y15984" s="20"/>
    </row>
    <row r="15985" spans="24:25">
      <c r="X15985" s="19"/>
      <c r="Y15985" s="20"/>
    </row>
    <row r="15986" spans="24:25">
      <c r="X15986" s="19"/>
      <c r="Y15986" s="20"/>
    </row>
    <row r="15987" spans="24:25">
      <c r="X15987" s="19"/>
      <c r="Y15987" s="20"/>
    </row>
    <row r="15988" spans="24:25">
      <c r="X15988" s="19"/>
      <c r="Y15988" s="20"/>
    </row>
    <row r="15989" spans="24:25">
      <c r="X15989" s="19"/>
      <c r="Y15989" s="20"/>
    </row>
    <row r="15990" spans="24:25">
      <c r="X15990" s="19"/>
      <c r="Y15990" s="20"/>
    </row>
    <row r="15991" spans="24:25">
      <c r="X15991" s="19"/>
      <c r="Y15991" s="20"/>
    </row>
    <row r="15992" spans="24:25">
      <c r="X15992" s="19"/>
      <c r="Y15992" s="20"/>
    </row>
    <row r="15993" spans="24:25">
      <c r="X15993" s="19"/>
      <c r="Y15993" s="20"/>
    </row>
    <row r="15994" spans="24:25">
      <c r="X15994" s="19"/>
      <c r="Y15994" s="20"/>
    </row>
    <row r="15995" spans="24:25">
      <c r="X15995" s="19"/>
      <c r="Y15995" s="20"/>
    </row>
    <row r="15996" spans="24:25">
      <c r="X15996" s="19"/>
      <c r="Y15996" s="20"/>
    </row>
    <row r="15997" spans="24:25">
      <c r="X15997" s="19"/>
      <c r="Y15997" s="20"/>
    </row>
    <row r="15998" spans="24:25">
      <c r="X15998" s="19"/>
      <c r="Y15998" s="20"/>
    </row>
    <row r="15999" spans="24:25">
      <c r="X15999" s="19"/>
      <c r="Y15999" s="20"/>
    </row>
    <row r="16000" spans="24:25">
      <c r="X16000" s="19"/>
      <c r="Y16000" s="20"/>
    </row>
    <row r="16001" spans="24:25">
      <c r="X16001" s="19"/>
      <c r="Y16001" s="20"/>
    </row>
    <row r="16002" spans="24:25">
      <c r="X16002" s="19"/>
      <c r="Y16002" s="20"/>
    </row>
    <row r="16003" spans="24:25">
      <c r="X16003" s="19"/>
      <c r="Y16003" s="20"/>
    </row>
    <row r="16004" spans="24:25">
      <c r="X16004" s="19"/>
      <c r="Y16004" s="20"/>
    </row>
    <row r="16005" spans="24:25">
      <c r="X16005" s="19"/>
      <c r="Y16005" s="20"/>
    </row>
    <row r="16006" spans="24:25">
      <c r="X16006" s="19"/>
      <c r="Y16006" s="20"/>
    </row>
    <row r="16007" spans="24:25">
      <c r="X16007" s="19"/>
      <c r="Y16007" s="20"/>
    </row>
    <row r="16008" spans="24:25">
      <c r="X16008" s="19"/>
      <c r="Y16008" s="20"/>
    </row>
    <row r="16009" spans="24:25">
      <c r="X16009" s="19"/>
      <c r="Y16009" s="20"/>
    </row>
    <row r="16010" spans="24:25">
      <c r="X16010" s="19"/>
      <c r="Y16010" s="20"/>
    </row>
    <row r="16011" spans="24:25">
      <c r="X16011" s="19"/>
      <c r="Y16011" s="20"/>
    </row>
    <row r="16012" spans="24:25">
      <c r="X16012" s="19"/>
      <c r="Y16012" s="20"/>
    </row>
    <row r="16013" spans="24:25">
      <c r="X16013" s="19"/>
      <c r="Y16013" s="20"/>
    </row>
    <row r="16014" spans="24:25">
      <c r="X16014" s="19"/>
      <c r="Y16014" s="20"/>
    </row>
    <row r="16015" spans="24:25">
      <c r="X16015" s="19"/>
      <c r="Y16015" s="20"/>
    </row>
    <row r="16016" spans="24:25">
      <c r="X16016" s="19"/>
      <c r="Y16016" s="20"/>
    </row>
    <row r="16017" spans="24:25">
      <c r="X16017" s="19"/>
      <c r="Y16017" s="20"/>
    </row>
    <row r="16018" spans="24:25">
      <c r="X16018" s="19"/>
      <c r="Y16018" s="20"/>
    </row>
    <row r="16019" spans="24:25">
      <c r="X16019" s="19"/>
      <c r="Y16019" s="20"/>
    </row>
    <row r="16020" spans="24:25">
      <c r="X16020" s="19"/>
      <c r="Y16020" s="20"/>
    </row>
    <row r="16021" spans="24:25">
      <c r="X16021" s="19"/>
      <c r="Y16021" s="20"/>
    </row>
    <row r="16022" spans="24:25">
      <c r="X16022" s="19"/>
      <c r="Y16022" s="20"/>
    </row>
    <row r="16023" spans="24:25">
      <c r="X16023" s="19"/>
      <c r="Y16023" s="20"/>
    </row>
    <row r="16024" spans="24:25">
      <c r="X16024" s="19"/>
      <c r="Y16024" s="20"/>
    </row>
    <row r="16025" spans="24:25">
      <c r="X16025" s="19"/>
      <c r="Y16025" s="20"/>
    </row>
    <row r="16026" spans="24:25">
      <c r="X16026" s="19"/>
      <c r="Y16026" s="20"/>
    </row>
    <row r="16027" spans="24:25">
      <c r="X16027" s="19"/>
      <c r="Y16027" s="20"/>
    </row>
    <row r="16028" spans="24:25">
      <c r="X16028" s="19"/>
      <c r="Y16028" s="20"/>
    </row>
    <row r="16029" spans="24:25">
      <c r="X16029" s="19"/>
      <c r="Y16029" s="20"/>
    </row>
    <row r="16030" spans="24:25">
      <c r="X16030" s="19"/>
      <c r="Y16030" s="20"/>
    </row>
    <row r="16031" spans="24:25">
      <c r="X16031" s="19"/>
      <c r="Y16031" s="20"/>
    </row>
    <row r="16032" spans="24:25">
      <c r="X16032" s="19"/>
      <c r="Y16032" s="20"/>
    </row>
    <row r="16033" spans="24:25">
      <c r="X16033" s="19"/>
      <c r="Y16033" s="20"/>
    </row>
    <row r="16034" spans="24:25">
      <c r="X16034" s="19"/>
      <c r="Y16034" s="20"/>
    </row>
    <row r="16035" spans="24:25">
      <c r="X16035" s="19"/>
      <c r="Y16035" s="20"/>
    </row>
    <row r="16036" spans="24:25">
      <c r="X16036" s="19"/>
      <c r="Y16036" s="20"/>
    </row>
    <row r="16037" spans="24:25">
      <c r="X16037" s="19"/>
      <c r="Y16037" s="20"/>
    </row>
    <row r="16038" spans="24:25">
      <c r="X16038" s="19"/>
      <c r="Y16038" s="20"/>
    </row>
    <row r="16039" spans="24:25">
      <c r="X16039" s="19"/>
      <c r="Y16039" s="20"/>
    </row>
    <row r="16040" spans="24:25">
      <c r="X16040" s="19"/>
      <c r="Y16040" s="20"/>
    </row>
    <row r="16041" spans="24:25">
      <c r="X16041" s="19"/>
      <c r="Y16041" s="20"/>
    </row>
    <row r="16042" spans="24:25">
      <c r="X16042" s="19"/>
      <c r="Y16042" s="20"/>
    </row>
    <row r="16043" spans="24:25">
      <c r="X16043" s="19"/>
      <c r="Y16043" s="20"/>
    </row>
    <row r="16044" spans="24:25">
      <c r="X16044" s="19"/>
      <c r="Y16044" s="20"/>
    </row>
    <row r="16045" spans="24:25">
      <c r="X16045" s="19"/>
      <c r="Y16045" s="20"/>
    </row>
    <row r="16046" spans="24:25">
      <c r="X16046" s="19"/>
      <c r="Y16046" s="20"/>
    </row>
    <row r="16047" spans="24:25">
      <c r="X16047" s="19"/>
      <c r="Y16047" s="20"/>
    </row>
    <row r="16048" spans="24:25">
      <c r="X16048" s="19"/>
      <c r="Y16048" s="20"/>
    </row>
    <row r="16049" spans="24:25">
      <c r="X16049" s="19"/>
      <c r="Y16049" s="20"/>
    </row>
    <row r="16050" spans="24:25">
      <c r="X16050" s="19"/>
      <c r="Y16050" s="20"/>
    </row>
    <row r="16051" spans="24:25">
      <c r="X16051" s="19"/>
      <c r="Y16051" s="20"/>
    </row>
    <row r="16052" spans="24:25">
      <c r="X16052" s="19"/>
      <c r="Y16052" s="20"/>
    </row>
    <row r="16053" spans="24:25">
      <c r="X16053" s="19"/>
      <c r="Y16053" s="20"/>
    </row>
    <row r="16054" spans="24:25">
      <c r="X16054" s="19"/>
      <c r="Y16054" s="20"/>
    </row>
    <row r="16055" spans="24:25">
      <c r="X16055" s="19"/>
      <c r="Y16055" s="20"/>
    </row>
    <row r="16056" spans="24:25">
      <c r="X16056" s="19"/>
      <c r="Y16056" s="20"/>
    </row>
    <row r="16057" spans="24:25">
      <c r="X16057" s="19"/>
      <c r="Y16057" s="20"/>
    </row>
    <row r="16058" spans="24:25">
      <c r="X16058" s="19"/>
      <c r="Y16058" s="20"/>
    </row>
    <row r="16059" spans="24:25">
      <c r="X16059" s="19"/>
      <c r="Y16059" s="20"/>
    </row>
    <row r="16060" spans="24:25">
      <c r="X16060" s="19"/>
      <c r="Y16060" s="20"/>
    </row>
    <row r="16061" spans="24:25">
      <c r="X16061" s="19"/>
      <c r="Y16061" s="20"/>
    </row>
    <row r="16062" spans="24:25">
      <c r="X16062" s="19"/>
      <c r="Y16062" s="20"/>
    </row>
    <row r="16063" spans="24:25">
      <c r="X16063" s="19"/>
      <c r="Y16063" s="20"/>
    </row>
    <row r="16064" spans="24:25">
      <c r="X16064" s="19"/>
      <c r="Y16064" s="20"/>
    </row>
    <row r="16065" spans="24:25">
      <c r="X16065" s="19"/>
      <c r="Y16065" s="20"/>
    </row>
    <row r="16066" spans="24:25">
      <c r="X16066" s="19"/>
      <c r="Y16066" s="20"/>
    </row>
    <row r="16067" spans="24:25">
      <c r="X16067" s="19"/>
      <c r="Y16067" s="20"/>
    </row>
    <row r="16068" spans="24:25">
      <c r="X16068" s="19"/>
      <c r="Y16068" s="20"/>
    </row>
    <row r="16069" spans="24:25">
      <c r="X16069" s="19"/>
      <c r="Y16069" s="20"/>
    </row>
    <row r="16070" spans="24:25">
      <c r="X16070" s="19"/>
      <c r="Y16070" s="20"/>
    </row>
    <row r="16071" spans="24:25">
      <c r="X16071" s="19"/>
      <c r="Y16071" s="20"/>
    </row>
    <row r="16072" spans="24:25">
      <c r="X16072" s="19"/>
      <c r="Y16072" s="20"/>
    </row>
    <row r="16073" spans="24:25">
      <c r="X16073" s="19"/>
      <c r="Y16073" s="20"/>
    </row>
    <row r="16074" spans="24:25">
      <c r="X16074" s="19"/>
      <c r="Y16074" s="20"/>
    </row>
    <row r="16075" spans="24:25">
      <c r="X16075" s="19"/>
      <c r="Y16075" s="20"/>
    </row>
    <row r="16076" spans="24:25">
      <c r="X16076" s="19"/>
      <c r="Y16076" s="20"/>
    </row>
    <row r="16077" spans="24:25">
      <c r="X16077" s="19"/>
      <c r="Y16077" s="20"/>
    </row>
    <row r="16078" spans="24:25">
      <c r="X16078" s="19"/>
      <c r="Y16078" s="20"/>
    </row>
    <row r="16079" spans="24:25">
      <c r="X16079" s="19"/>
      <c r="Y16079" s="20"/>
    </row>
    <row r="16080" spans="24:25">
      <c r="X16080" s="19"/>
      <c r="Y16080" s="20"/>
    </row>
    <row r="16081" spans="24:25">
      <c r="X16081" s="19"/>
      <c r="Y16081" s="20"/>
    </row>
    <row r="16082" spans="24:25">
      <c r="X16082" s="19"/>
      <c r="Y16082" s="20"/>
    </row>
    <row r="16083" spans="24:25">
      <c r="X16083" s="19"/>
      <c r="Y16083" s="20"/>
    </row>
    <row r="16084" spans="24:25">
      <c r="X16084" s="19"/>
      <c r="Y16084" s="20"/>
    </row>
    <row r="16085" spans="24:25">
      <c r="X16085" s="19"/>
      <c r="Y16085" s="20"/>
    </row>
    <row r="16086" spans="24:25">
      <c r="X16086" s="19"/>
      <c r="Y16086" s="20"/>
    </row>
    <row r="16087" spans="24:25">
      <c r="X16087" s="19"/>
      <c r="Y16087" s="20"/>
    </row>
    <row r="16088" spans="24:25">
      <c r="X16088" s="19"/>
      <c r="Y16088" s="20"/>
    </row>
    <row r="16089" spans="24:25">
      <c r="X16089" s="19"/>
      <c r="Y16089" s="20"/>
    </row>
    <row r="16090" spans="24:25">
      <c r="X16090" s="19"/>
      <c r="Y16090" s="20"/>
    </row>
    <row r="16091" spans="24:25">
      <c r="X16091" s="19"/>
      <c r="Y16091" s="20"/>
    </row>
    <row r="16092" spans="24:25">
      <c r="X16092" s="19"/>
      <c r="Y16092" s="20"/>
    </row>
    <row r="16093" spans="24:25">
      <c r="X16093" s="19"/>
      <c r="Y16093" s="20"/>
    </row>
    <row r="16094" spans="24:25">
      <c r="X16094" s="19"/>
      <c r="Y16094" s="20"/>
    </row>
    <row r="16095" spans="24:25">
      <c r="X16095" s="19"/>
      <c r="Y16095" s="20"/>
    </row>
    <row r="16096" spans="24:25">
      <c r="X16096" s="19"/>
      <c r="Y16096" s="20"/>
    </row>
    <row r="16097" spans="24:25">
      <c r="X16097" s="19"/>
      <c r="Y16097" s="20"/>
    </row>
    <row r="16098" spans="24:25">
      <c r="X16098" s="19"/>
      <c r="Y16098" s="20"/>
    </row>
    <row r="16099" spans="24:25">
      <c r="X16099" s="19"/>
      <c r="Y16099" s="20"/>
    </row>
    <row r="16100" spans="24:25">
      <c r="X16100" s="19"/>
      <c r="Y16100" s="20"/>
    </row>
    <row r="16101" spans="24:25">
      <c r="X16101" s="19"/>
      <c r="Y16101" s="20"/>
    </row>
    <row r="16102" spans="24:25">
      <c r="X16102" s="19"/>
      <c r="Y16102" s="20"/>
    </row>
    <row r="16103" spans="24:25">
      <c r="X16103" s="19"/>
      <c r="Y16103" s="20"/>
    </row>
    <row r="16104" spans="24:25">
      <c r="X16104" s="19"/>
      <c r="Y16104" s="20"/>
    </row>
    <row r="16105" spans="24:25">
      <c r="X16105" s="19"/>
      <c r="Y16105" s="20"/>
    </row>
    <row r="16106" spans="24:25">
      <c r="X16106" s="19"/>
      <c r="Y16106" s="20"/>
    </row>
    <row r="16107" spans="24:25">
      <c r="X16107" s="19"/>
      <c r="Y16107" s="20"/>
    </row>
    <row r="16108" spans="24:25">
      <c r="X16108" s="19"/>
      <c r="Y16108" s="20"/>
    </row>
    <row r="16109" spans="24:25">
      <c r="X16109" s="19"/>
      <c r="Y16109" s="20"/>
    </row>
    <row r="16110" spans="24:25">
      <c r="X16110" s="19"/>
      <c r="Y16110" s="20"/>
    </row>
    <row r="16111" spans="24:25">
      <c r="X16111" s="19"/>
      <c r="Y16111" s="20"/>
    </row>
    <row r="16112" spans="24:25">
      <c r="X16112" s="19"/>
      <c r="Y16112" s="20"/>
    </row>
    <row r="16113" spans="24:25">
      <c r="X16113" s="19"/>
      <c r="Y16113" s="20"/>
    </row>
    <row r="16114" spans="24:25">
      <c r="X16114" s="19"/>
      <c r="Y16114" s="20"/>
    </row>
    <row r="16115" spans="24:25">
      <c r="X16115" s="19"/>
      <c r="Y16115" s="20"/>
    </row>
    <row r="16116" spans="24:25">
      <c r="X16116" s="19"/>
      <c r="Y16116" s="20"/>
    </row>
    <row r="16117" spans="24:25">
      <c r="X16117" s="19"/>
      <c r="Y16117" s="20"/>
    </row>
    <row r="16118" spans="24:25">
      <c r="X16118" s="19"/>
      <c r="Y16118" s="20"/>
    </row>
    <row r="16119" spans="24:25">
      <c r="X16119" s="19"/>
      <c r="Y16119" s="20"/>
    </row>
    <row r="16120" spans="24:25">
      <c r="X16120" s="19"/>
      <c r="Y16120" s="20"/>
    </row>
    <row r="16121" spans="24:25">
      <c r="X16121" s="19"/>
      <c r="Y16121" s="20"/>
    </row>
    <row r="16122" spans="24:25">
      <c r="X16122" s="19"/>
      <c r="Y16122" s="20"/>
    </row>
    <row r="16123" spans="24:25">
      <c r="X16123" s="19"/>
      <c r="Y16123" s="20"/>
    </row>
    <row r="16124" spans="24:25">
      <c r="X16124" s="19"/>
      <c r="Y16124" s="20"/>
    </row>
    <row r="16125" spans="24:25">
      <c r="X16125" s="19"/>
      <c r="Y16125" s="20"/>
    </row>
    <row r="16126" spans="24:25">
      <c r="X16126" s="19"/>
      <c r="Y16126" s="20"/>
    </row>
    <row r="16127" spans="24:25">
      <c r="X16127" s="19"/>
      <c r="Y16127" s="20"/>
    </row>
    <row r="16128" spans="24:25">
      <c r="X16128" s="19"/>
      <c r="Y16128" s="20"/>
    </row>
    <row r="16129" spans="24:25">
      <c r="X16129" s="19"/>
      <c r="Y16129" s="20"/>
    </row>
    <row r="16130" spans="24:25">
      <c r="X16130" s="19"/>
      <c r="Y16130" s="20"/>
    </row>
    <row r="16131" spans="24:25">
      <c r="X16131" s="19"/>
      <c r="Y16131" s="20"/>
    </row>
    <row r="16132" spans="24:25">
      <c r="X16132" s="19"/>
      <c r="Y16132" s="20"/>
    </row>
    <row r="16133" spans="24:25">
      <c r="X16133" s="19"/>
      <c r="Y16133" s="20"/>
    </row>
    <row r="16134" spans="24:25">
      <c r="X16134" s="19"/>
      <c r="Y16134" s="20"/>
    </row>
    <row r="16135" spans="24:25">
      <c r="X16135" s="19"/>
      <c r="Y16135" s="20"/>
    </row>
    <row r="16136" spans="24:25">
      <c r="X16136" s="19"/>
      <c r="Y16136" s="20"/>
    </row>
    <row r="16137" spans="24:25">
      <c r="X16137" s="19"/>
      <c r="Y16137" s="20"/>
    </row>
    <row r="16138" spans="24:25">
      <c r="X16138" s="19"/>
      <c r="Y16138" s="20"/>
    </row>
    <row r="16139" spans="24:25">
      <c r="X16139" s="19"/>
      <c r="Y16139" s="20"/>
    </row>
    <row r="16140" spans="24:25">
      <c r="X16140" s="19"/>
      <c r="Y16140" s="20"/>
    </row>
    <row r="16141" spans="24:25">
      <c r="X16141" s="19"/>
      <c r="Y16141" s="20"/>
    </row>
    <row r="16142" spans="24:25">
      <c r="X16142" s="19"/>
      <c r="Y16142" s="20"/>
    </row>
    <row r="16143" spans="24:25">
      <c r="X16143" s="19"/>
      <c r="Y16143" s="20"/>
    </row>
    <row r="16144" spans="24:25">
      <c r="X16144" s="19"/>
      <c r="Y16144" s="20"/>
    </row>
    <row r="16145" spans="24:25">
      <c r="X16145" s="19"/>
      <c r="Y16145" s="20"/>
    </row>
    <row r="16146" spans="24:25">
      <c r="X16146" s="19"/>
      <c r="Y16146" s="20"/>
    </row>
    <row r="16147" spans="24:25">
      <c r="X16147" s="19"/>
      <c r="Y16147" s="20"/>
    </row>
    <row r="16148" spans="24:25">
      <c r="X16148" s="19"/>
      <c r="Y16148" s="20"/>
    </row>
    <row r="16149" spans="24:25">
      <c r="X16149" s="19"/>
      <c r="Y16149" s="20"/>
    </row>
    <row r="16150" spans="24:25">
      <c r="X16150" s="19"/>
      <c r="Y16150" s="20"/>
    </row>
    <row r="16151" spans="24:25">
      <c r="X16151" s="19"/>
      <c r="Y16151" s="20"/>
    </row>
    <row r="16152" spans="24:25">
      <c r="X16152" s="19"/>
      <c r="Y16152" s="20"/>
    </row>
    <row r="16153" spans="24:25">
      <c r="X16153" s="19"/>
      <c r="Y16153" s="20"/>
    </row>
    <row r="16154" spans="24:25">
      <c r="X16154" s="19"/>
      <c r="Y16154" s="20"/>
    </row>
    <row r="16155" spans="24:25">
      <c r="X16155" s="19"/>
      <c r="Y16155" s="20"/>
    </row>
    <row r="16156" spans="24:25">
      <c r="X16156" s="19"/>
      <c r="Y16156" s="20"/>
    </row>
    <row r="16157" spans="24:25">
      <c r="X16157" s="19"/>
      <c r="Y16157" s="20"/>
    </row>
    <row r="16158" spans="24:25">
      <c r="X16158" s="19"/>
      <c r="Y16158" s="20"/>
    </row>
    <row r="16159" spans="24:25">
      <c r="X16159" s="19"/>
      <c r="Y16159" s="20"/>
    </row>
    <row r="16160" spans="24:25">
      <c r="X16160" s="19"/>
      <c r="Y16160" s="20"/>
    </row>
    <row r="16161" spans="24:25">
      <c r="X16161" s="19"/>
      <c r="Y16161" s="20"/>
    </row>
    <row r="16162" spans="24:25">
      <c r="X16162" s="19"/>
      <c r="Y16162" s="20"/>
    </row>
    <row r="16163" spans="24:25">
      <c r="X16163" s="19"/>
      <c r="Y16163" s="20"/>
    </row>
    <row r="16164" spans="24:25">
      <c r="X16164" s="19"/>
      <c r="Y16164" s="20"/>
    </row>
    <row r="16165" spans="24:25">
      <c r="X16165" s="19"/>
      <c r="Y16165" s="20"/>
    </row>
    <row r="16166" spans="24:25">
      <c r="X16166" s="19"/>
      <c r="Y16166" s="20"/>
    </row>
    <row r="16167" spans="24:25">
      <c r="X16167" s="19"/>
      <c r="Y16167" s="20"/>
    </row>
    <row r="16168" spans="24:25">
      <c r="X16168" s="19"/>
      <c r="Y16168" s="20"/>
    </row>
    <row r="16169" spans="24:25">
      <c r="X16169" s="19"/>
      <c r="Y16169" s="20"/>
    </row>
    <row r="16170" spans="24:25">
      <c r="X16170" s="19"/>
      <c r="Y16170" s="20"/>
    </row>
    <row r="16171" spans="24:25">
      <c r="X16171" s="19"/>
      <c r="Y16171" s="20"/>
    </row>
    <row r="16172" spans="24:25">
      <c r="X16172" s="19"/>
      <c r="Y16172" s="20"/>
    </row>
    <row r="16173" spans="24:25">
      <c r="X16173" s="19"/>
      <c r="Y16173" s="20"/>
    </row>
    <row r="16174" spans="24:25">
      <c r="X16174" s="19"/>
      <c r="Y16174" s="20"/>
    </row>
    <row r="16175" spans="24:25">
      <c r="X16175" s="19"/>
      <c r="Y16175" s="20"/>
    </row>
    <row r="16176" spans="24:25">
      <c r="X16176" s="19"/>
      <c r="Y16176" s="20"/>
    </row>
    <row r="16177" spans="24:25">
      <c r="X16177" s="19"/>
      <c r="Y16177" s="20"/>
    </row>
    <row r="16178" spans="24:25">
      <c r="X16178" s="19"/>
      <c r="Y16178" s="20"/>
    </row>
    <row r="16179" spans="24:25">
      <c r="X16179" s="19"/>
      <c r="Y16179" s="20"/>
    </row>
    <row r="16180" spans="24:25">
      <c r="X16180" s="19"/>
      <c r="Y16180" s="20"/>
    </row>
    <row r="16181" spans="24:25">
      <c r="X16181" s="19"/>
      <c r="Y16181" s="20"/>
    </row>
    <row r="16182" spans="24:25">
      <c r="X16182" s="19"/>
      <c r="Y16182" s="20"/>
    </row>
    <row r="16183" spans="24:25">
      <c r="X16183" s="19"/>
      <c r="Y16183" s="20"/>
    </row>
    <row r="16184" spans="24:25">
      <c r="X16184" s="19"/>
      <c r="Y16184" s="20"/>
    </row>
    <row r="16185" spans="24:25">
      <c r="X16185" s="19"/>
      <c r="Y16185" s="20"/>
    </row>
    <row r="16186" spans="24:25">
      <c r="X16186" s="19"/>
      <c r="Y16186" s="20"/>
    </row>
    <row r="16187" spans="24:25">
      <c r="X16187" s="19"/>
      <c r="Y16187" s="20"/>
    </row>
    <row r="16188" spans="24:25">
      <c r="X16188" s="19"/>
      <c r="Y16188" s="20"/>
    </row>
    <row r="16189" spans="24:25">
      <c r="X16189" s="19"/>
      <c r="Y16189" s="20"/>
    </row>
    <row r="16190" spans="24:25">
      <c r="X16190" s="19"/>
      <c r="Y16190" s="20"/>
    </row>
    <row r="16191" spans="24:25">
      <c r="X16191" s="19"/>
      <c r="Y16191" s="20"/>
    </row>
    <row r="16192" spans="24:25">
      <c r="X16192" s="19"/>
      <c r="Y16192" s="20"/>
    </row>
    <row r="16193" spans="24:25">
      <c r="X16193" s="19"/>
      <c r="Y16193" s="20"/>
    </row>
    <row r="16194" spans="24:25">
      <c r="X16194" s="19"/>
      <c r="Y16194" s="20"/>
    </row>
    <row r="16195" spans="24:25">
      <c r="X16195" s="19"/>
      <c r="Y16195" s="20"/>
    </row>
    <row r="16196" spans="24:25">
      <c r="X16196" s="19"/>
      <c r="Y16196" s="20"/>
    </row>
    <row r="16197" spans="24:25">
      <c r="X16197" s="19"/>
      <c r="Y16197" s="20"/>
    </row>
    <row r="16198" spans="24:25">
      <c r="X16198" s="19"/>
      <c r="Y16198" s="20"/>
    </row>
    <row r="16199" spans="24:25">
      <c r="X16199" s="19"/>
      <c r="Y16199" s="20"/>
    </row>
    <row r="16200" spans="24:25">
      <c r="X16200" s="19"/>
      <c r="Y16200" s="20"/>
    </row>
    <row r="16201" spans="24:25">
      <c r="X16201" s="19"/>
      <c r="Y16201" s="20"/>
    </row>
    <row r="16202" spans="24:25">
      <c r="X16202" s="19"/>
      <c r="Y16202" s="20"/>
    </row>
    <row r="16203" spans="24:25">
      <c r="X16203" s="19"/>
      <c r="Y16203" s="20"/>
    </row>
    <row r="16204" spans="24:25">
      <c r="X16204" s="19"/>
      <c r="Y16204" s="20"/>
    </row>
    <row r="16205" spans="24:25">
      <c r="X16205" s="19"/>
      <c r="Y16205" s="20"/>
    </row>
    <row r="16206" spans="24:25">
      <c r="X16206" s="19"/>
      <c r="Y16206" s="20"/>
    </row>
    <row r="16207" spans="24:25">
      <c r="X16207" s="19"/>
      <c r="Y16207" s="20"/>
    </row>
    <row r="16208" spans="24:25">
      <c r="X16208" s="19"/>
      <c r="Y16208" s="20"/>
    </row>
    <row r="16209" spans="24:25">
      <c r="X16209" s="19"/>
      <c r="Y16209" s="20"/>
    </row>
    <row r="16210" spans="24:25">
      <c r="X16210" s="19"/>
      <c r="Y16210" s="20"/>
    </row>
    <row r="16211" spans="24:25">
      <c r="X16211" s="19"/>
      <c r="Y16211" s="20"/>
    </row>
    <row r="16212" spans="24:25">
      <c r="X16212" s="19"/>
      <c r="Y16212" s="20"/>
    </row>
    <row r="16213" spans="24:25">
      <c r="X16213" s="19"/>
      <c r="Y16213" s="20"/>
    </row>
    <row r="16214" spans="24:25">
      <c r="X16214" s="19"/>
      <c r="Y16214" s="20"/>
    </row>
    <row r="16215" spans="24:25">
      <c r="X16215" s="19"/>
      <c r="Y16215" s="20"/>
    </row>
    <row r="16216" spans="24:25">
      <c r="X16216" s="19"/>
      <c r="Y16216" s="20"/>
    </row>
    <row r="16217" spans="24:25">
      <c r="X16217" s="19"/>
      <c r="Y16217" s="20"/>
    </row>
    <row r="16218" spans="24:25">
      <c r="X16218" s="19"/>
      <c r="Y16218" s="20"/>
    </row>
    <row r="16219" spans="24:25">
      <c r="X16219" s="19"/>
      <c r="Y16219" s="20"/>
    </row>
    <row r="16220" spans="24:25">
      <c r="X16220" s="19"/>
      <c r="Y16220" s="20"/>
    </row>
    <row r="16221" spans="24:25">
      <c r="X16221" s="19"/>
      <c r="Y16221" s="20"/>
    </row>
    <row r="16222" spans="24:25">
      <c r="X16222" s="19"/>
      <c r="Y16222" s="20"/>
    </row>
    <row r="16223" spans="24:25">
      <c r="X16223" s="19"/>
      <c r="Y16223" s="20"/>
    </row>
    <row r="16224" spans="24:25">
      <c r="X16224" s="19"/>
      <c r="Y16224" s="20"/>
    </row>
    <row r="16225" spans="24:25">
      <c r="X16225" s="19"/>
      <c r="Y16225" s="20"/>
    </row>
    <row r="16226" spans="24:25">
      <c r="X16226" s="19"/>
      <c r="Y16226" s="20"/>
    </row>
    <row r="16227" spans="24:25">
      <c r="X16227" s="19"/>
      <c r="Y16227" s="20"/>
    </row>
    <row r="16228" spans="24:25">
      <c r="X16228" s="19"/>
      <c r="Y16228" s="20"/>
    </row>
    <row r="16229" spans="24:25">
      <c r="X16229" s="19"/>
      <c r="Y16229" s="20"/>
    </row>
    <row r="16230" spans="24:25">
      <c r="X16230" s="19"/>
      <c r="Y16230" s="20"/>
    </row>
    <row r="16231" spans="24:25">
      <c r="X16231" s="19"/>
      <c r="Y16231" s="20"/>
    </row>
    <row r="16232" spans="24:25">
      <c r="X16232" s="19"/>
      <c r="Y16232" s="20"/>
    </row>
    <row r="16233" spans="24:25">
      <c r="X16233" s="19"/>
      <c r="Y16233" s="20"/>
    </row>
    <row r="16234" spans="24:25">
      <c r="X16234" s="19"/>
      <c r="Y16234" s="20"/>
    </row>
    <row r="16235" spans="24:25">
      <c r="X16235" s="19"/>
      <c r="Y16235" s="20"/>
    </row>
    <row r="16236" spans="24:25">
      <c r="X16236" s="19"/>
      <c r="Y16236" s="20"/>
    </row>
    <row r="16237" spans="24:25">
      <c r="X16237" s="19"/>
      <c r="Y16237" s="20"/>
    </row>
    <row r="16238" spans="24:25">
      <c r="X16238" s="19"/>
      <c r="Y16238" s="20"/>
    </row>
    <row r="16239" spans="24:25">
      <c r="X16239" s="19"/>
      <c r="Y16239" s="20"/>
    </row>
    <row r="16240" spans="24:25">
      <c r="X16240" s="19"/>
      <c r="Y16240" s="20"/>
    </row>
    <row r="16241" spans="24:25">
      <c r="X16241" s="19"/>
      <c r="Y16241" s="20"/>
    </row>
    <row r="16242" spans="24:25">
      <c r="X16242" s="19"/>
      <c r="Y16242" s="20"/>
    </row>
    <row r="16243" spans="24:25">
      <c r="X16243" s="19"/>
      <c r="Y16243" s="20"/>
    </row>
    <row r="16244" spans="24:25">
      <c r="X16244" s="19"/>
      <c r="Y16244" s="20"/>
    </row>
    <row r="16245" spans="24:25">
      <c r="X16245" s="19"/>
      <c r="Y16245" s="20"/>
    </row>
    <row r="16246" spans="24:25">
      <c r="X16246" s="19"/>
      <c r="Y16246" s="20"/>
    </row>
    <row r="16247" spans="24:25">
      <c r="X16247" s="19"/>
      <c r="Y16247" s="20"/>
    </row>
    <row r="16248" spans="24:25">
      <c r="X16248" s="19"/>
      <c r="Y16248" s="20"/>
    </row>
    <row r="16249" spans="24:25">
      <c r="X16249" s="19"/>
      <c r="Y16249" s="20"/>
    </row>
    <row r="16250" spans="24:25">
      <c r="X16250" s="19"/>
      <c r="Y16250" s="20"/>
    </row>
    <row r="16251" spans="24:25">
      <c r="X16251" s="19"/>
      <c r="Y16251" s="20"/>
    </row>
    <row r="16252" spans="24:25">
      <c r="X16252" s="19"/>
      <c r="Y16252" s="20"/>
    </row>
    <row r="16253" spans="24:25">
      <c r="X16253" s="19"/>
      <c r="Y16253" s="20"/>
    </row>
    <row r="16254" spans="24:25">
      <c r="X16254" s="19"/>
      <c r="Y16254" s="20"/>
    </row>
    <row r="16255" spans="24:25">
      <c r="X16255" s="19"/>
      <c r="Y16255" s="20"/>
    </row>
    <row r="16256" spans="24:25">
      <c r="X16256" s="19"/>
      <c r="Y16256" s="20"/>
    </row>
    <row r="16257" spans="24:25">
      <c r="X16257" s="19"/>
      <c r="Y16257" s="20"/>
    </row>
    <row r="16258" spans="24:25">
      <c r="X16258" s="19"/>
      <c r="Y16258" s="20"/>
    </row>
    <row r="16259" spans="24:25">
      <c r="X16259" s="19"/>
      <c r="Y16259" s="20"/>
    </row>
    <row r="16260" spans="24:25">
      <c r="X16260" s="19"/>
      <c r="Y16260" s="20"/>
    </row>
    <row r="16261" spans="24:25">
      <c r="X16261" s="19"/>
      <c r="Y16261" s="20"/>
    </row>
    <row r="16262" spans="24:25">
      <c r="X16262" s="19"/>
      <c r="Y16262" s="20"/>
    </row>
    <row r="16263" spans="24:25">
      <c r="X16263" s="19"/>
      <c r="Y16263" s="20"/>
    </row>
    <row r="16264" spans="24:25">
      <c r="X16264" s="19"/>
      <c r="Y16264" s="20"/>
    </row>
    <row r="16265" spans="24:25">
      <c r="X16265" s="19"/>
      <c r="Y16265" s="20"/>
    </row>
    <row r="16266" spans="24:25">
      <c r="X16266" s="19"/>
      <c r="Y16266" s="20"/>
    </row>
    <row r="16267" spans="24:25">
      <c r="X16267" s="19"/>
      <c r="Y16267" s="20"/>
    </row>
    <row r="16268" spans="24:25">
      <c r="X16268" s="19"/>
      <c r="Y16268" s="20"/>
    </row>
    <row r="16269" spans="24:25">
      <c r="X16269" s="19"/>
      <c r="Y16269" s="20"/>
    </row>
    <row r="16270" spans="24:25">
      <c r="X16270" s="19"/>
      <c r="Y16270" s="20"/>
    </row>
    <row r="16271" spans="24:25">
      <c r="X16271" s="19"/>
      <c r="Y16271" s="20"/>
    </row>
    <row r="16272" spans="24:25">
      <c r="X16272" s="19"/>
      <c r="Y16272" s="20"/>
    </row>
    <row r="16273" spans="24:25">
      <c r="X16273" s="19"/>
      <c r="Y16273" s="20"/>
    </row>
    <row r="16274" spans="24:25">
      <c r="X16274" s="19"/>
      <c r="Y16274" s="20"/>
    </row>
    <row r="16275" spans="24:25">
      <c r="X16275" s="19"/>
      <c r="Y16275" s="20"/>
    </row>
    <row r="16276" spans="24:25">
      <c r="X16276" s="19"/>
      <c r="Y16276" s="20"/>
    </row>
    <row r="16277" spans="24:25">
      <c r="X16277" s="19"/>
      <c r="Y16277" s="20"/>
    </row>
    <row r="16278" spans="24:25">
      <c r="X16278" s="19"/>
      <c r="Y16278" s="20"/>
    </row>
    <row r="16279" spans="24:25">
      <c r="X16279" s="19"/>
      <c r="Y16279" s="20"/>
    </row>
    <row r="16280" spans="24:25">
      <c r="X16280" s="19"/>
      <c r="Y16280" s="20"/>
    </row>
    <row r="16281" spans="24:25">
      <c r="X16281" s="19"/>
      <c r="Y16281" s="20"/>
    </row>
    <row r="16282" spans="24:25">
      <c r="X16282" s="19"/>
      <c r="Y16282" s="20"/>
    </row>
    <row r="16283" spans="24:25">
      <c r="X16283" s="19"/>
      <c r="Y16283" s="20"/>
    </row>
    <row r="16284" spans="24:25">
      <c r="X16284" s="19"/>
      <c r="Y16284" s="20"/>
    </row>
    <row r="16285" spans="24:25">
      <c r="X16285" s="19"/>
      <c r="Y16285" s="20"/>
    </row>
    <row r="16286" spans="24:25">
      <c r="X16286" s="19"/>
      <c r="Y16286" s="20"/>
    </row>
    <row r="16287" spans="24:25">
      <c r="X16287" s="19"/>
      <c r="Y16287" s="20"/>
    </row>
    <row r="16288" spans="24:25">
      <c r="X16288" s="19"/>
      <c r="Y16288" s="20"/>
    </row>
    <row r="16289" spans="24:25">
      <c r="X16289" s="19"/>
      <c r="Y16289" s="20"/>
    </row>
    <row r="16290" spans="24:25">
      <c r="X16290" s="19"/>
      <c r="Y16290" s="20"/>
    </row>
    <row r="16291" spans="24:25">
      <c r="X16291" s="19"/>
      <c r="Y16291" s="20"/>
    </row>
    <row r="16292" spans="24:25">
      <c r="X16292" s="19"/>
      <c r="Y16292" s="20"/>
    </row>
    <row r="16293" spans="24:25">
      <c r="X16293" s="19"/>
      <c r="Y16293" s="20"/>
    </row>
    <row r="16294" spans="24:25">
      <c r="X16294" s="19"/>
      <c r="Y16294" s="20"/>
    </row>
    <row r="16295" spans="24:25">
      <c r="X16295" s="19"/>
      <c r="Y16295" s="20"/>
    </row>
    <row r="16296" spans="24:25">
      <c r="X16296" s="19"/>
      <c r="Y16296" s="20"/>
    </row>
    <row r="16297" spans="24:25">
      <c r="X16297" s="19"/>
      <c r="Y16297" s="20"/>
    </row>
    <row r="16298" spans="24:25">
      <c r="X16298" s="19"/>
      <c r="Y16298" s="20"/>
    </row>
    <row r="16299" spans="24:25">
      <c r="X16299" s="19"/>
      <c r="Y16299" s="20"/>
    </row>
    <row r="16300" spans="24:25">
      <c r="X16300" s="19"/>
      <c r="Y16300" s="20"/>
    </row>
    <row r="16301" spans="24:25">
      <c r="X16301" s="19"/>
      <c r="Y16301" s="20"/>
    </row>
    <row r="16302" spans="24:25">
      <c r="X16302" s="19"/>
      <c r="Y16302" s="20"/>
    </row>
    <row r="16303" spans="24:25">
      <c r="X16303" s="19"/>
      <c r="Y16303" s="20"/>
    </row>
    <row r="16304" spans="24:25">
      <c r="X16304" s="19"/>
      <c r="Y16304" s="20"/>
    </row>
    <row r="16305" spans="24:25">
      <c r="X16305" s="19"/>
      <c r="Y16305" s="20"/>
    </row>
    <row r="16306" spans="24:25">
      <c r="X16306" s="19"/>
      <c r="Y16306" s="20"/>
    </row>
    <row r="16307" spans="24:25">
      <c r="X16307" s="19"/>
      <c r="Y16307" s="20"/>
    </row>
    <row r="16308" spans="24:25">
      <c r="X16308" s="19"/>
      <c r="Y16308" s="20"/>
    </row>
    <row r="16309" spans="24:25">
      <c r="X16309" s="19"/>
      <c r="Y16309" s="20"/>
    </row>
    <row r="16310" spans="24:25">
      <c r="X16310" s="19"/>
      <c r="Y16310" s="20"/>
    </row>
    <row r="16311" spans="24:25">
      <c r="X16311" s="19"/>
      <c r="Y16311" s="20"/>
    </row>
    <row r="16312" spans="24:25">
      <c r="X16312" s="19"/>
      <c r="Y16312" s="20"/>
    </row>
    <row r="16313" spans="24:25">
      <c r="X16313" s="19"/>
      <c r="Y16313" s="20"/>
    </row>
    <row r="16314" spans="24:25">
      <c r="X16314" s="19"/>
      <c r="Y16314" s="20"/>
    </row>
    <row r="16315" spans="24:25">
      <c r="X16315" s="19"/>
      <c r="Y16315" s="20"/>
    </row>
    <row r="16316" spans="24:25">
      <c r="X16316" s="19"/>
      <c r="Y16316" s="20"/>
    </row>
    <row r="16317" spans="24:25">
      <c r="X16317" s="19"/>
      <c r="Y16317" s="20"/>
    </row>
    <row r="16318" spans="24:25">
      <c r="X16318" s="19"/>
      <c r="Y16318" s="20"/>
    </row>
    <row r="16319" spans="24:25">
      <c r="X16319" s="19"/>
      <c r="Y16319" s="20"/>
    </row>
    <row r="16320" spans="24:25">
      <c r="X16320" s="19"/>
      <c r="Y16320" s="20"/>
    </row>
    <row r="16321" spans="24:25">
      <c r="X16321" s="19"/>
      <c r="Y16321" s="20"/>
    </row>
    <row r="16322" spans="24:25">
      <c r="X16322" s="19"/>
      <c r="Y16322" s="20"/>
    </row>
    <row r="16323" spans="24:25">
      <c r="X16323" s="19"/>
      <c r="Y16323" s="20"/>
    </row>
    <row r="16324" spans="24:25">
      <c r="X16324" s="19"/>
      <c r="Y16324" s="20"/>
    </row>
    <row r="16325" spans="24:25">
      <c r="X16325" s="19"/>
      <c r="Y16325" s="20"/>
    </row>
    <row r="16326" spans="24:25">
      <c r="X16326" s="19"/>
      <c r="Y16326" s="20"/>
    </row>
    <row r="16327" spans="24:25">
      <c r="X16327" s="19"/>
      <c r="Y16327" s="20"/>
    </row>
    <row r="16328" spans="24:25">
      <c r="X16328" s="19"/>
      <c r="Y16328" s="20"/>
    </row>
    <row r="16329" spans="24:25">
      <c r="X16329" s="19"/>
      <c r="Y16329" s="20"/>
    </row>
    <row r="16330" spans="24:25">
      <c r="X16330" s="19"/>
      <c r="Y16330" s="20"/>
    </row>
    <row r="16331" spans="24:25">
      <c r="X16331" s="19"/>
      <c r="Y16331" s="20"/>
    </row>
    <row r="16332" spans="24:25">
      <c r="X16332" s="19"/>
      <c r="Y16332" s="20"/>
    </row>
    <row r="16333" spans="24:25">
      <c r="X16333" s="19"/>
      <c r="Y16333" s="20"/>
    </row>
    <row r="16334" spans="24:25">
      <c r="X16334" s="19"/>
      <c r="Y16334" s="20"/>
    </row>
    <row r="16335" spans="24:25">
      <c r="X16335" s="19"/>
      <c r="Y16335" s="20"/>
    </row>
    <row r="16336" spans="24:25">
      <c r="X16336" s="19"/>
      <c r="Y16336" s="20"/>
    </row>
    <row r="16337" spans="24:25">
      <c r="X16337" s="19"/>
      <c r="Y16337" s="20"/>
    </row>
    <row r="16338" spans="24:25">
      <c r="X16338" s="19"/>
      <c r="Y16338" s="20"/>
    </row>
    <row r="16339" spans="24:25">
      <c r="X16339" s="19"/>
      <c r="Y16339" s="20"/>
    </row>
    <row r="16340" spans="24:25">
      <c r="X16340" s="19"/>
      <c r="Y16340" s="20"/>
    </row>
    <row r="16341" spans="24:25">
      <c r="X16341" s="19"/>
      <c r="Y16341" s="20"/>
    </row>
    <row r="16342" spans="24:25">
      <c r="X16342" s="19"/>
      <c r="Y16342" s="20"/>
    </row>
    <row r="16343" spans="24:25">
      <c r="X16343" s="19"/>
      <c r="Y16343" s="20"/>
    </row>
    <row r="16344" spans="24:25">
      <c r="X16344" s="19"/>
      <c r="Y16344" s="20"/>
    </row>
    <row r="16345" spans="24:25">
      <c r="X16345" s="19"/>
      <c r="Y16345" s="20"/>
    </row>
    <row r="16346" spans="24:25">
      <c r="X16346" s="19"/>
      <c r="Y16346" s="20"/>
    </row>
    <row r="16347" spans="24:25">
      <c r="X16347" s="19"/>
      <c r="Y16347" s="20"/>
    </row>
    <row r="16348" spans="24:25">
      <c r="X16348" s="19"/>
      <c r="Y16348" s="20"/>
    </row>
    <row r="16349" spans="24:25">
      <c r="X16349" s="19"/>
      <c r="Y16349" s="20"/>
    </row>
    <row r="16350" spans="24:25">
      <c r="X16350" s="19"/>
      <c r="Y16350" s="20"/>
    </row>
    <row r="16351" spans="24:25">
      <c r="X16351" s="19"/>
      <c r="Y16351" s="20"/>
    </row>
    <row r="16352" spans="24:25">
      <c r="X16352" s="19"/>
      <c r="Y16352" s="20"/>
    </row>
    <row r="16353" spans="24:25">
      <c r="X16353" s="19"/>
      <c r="Y16353" s="20"/>
    </row>
    <row r="16354" spans="24:25">
      <c r="X16354" s="19"/>
      <c r="Y16354" s="20"/>
    </row>
    <row r="16355" spans="24:25">
      <c r="X16355" s="19"/>
      <c r="Y16355" s="20"/>
    </row>
    <row r="16356" spans="24:25">
      <c r="X16356" s="19"/>
      <c r="Y16356" s="20"/>
    </row>
    <row r="16357" spans="24:25">
      <c r="X16357" s="19"/>
      <c r="Y16357" s="20"/>
    </row>
    <row r="16358" spans="24:25">
      <c r="X16358" s="19"/>
      <c r="Y16358" s="20"/>
    </row>
    <row r="16359" spans="24:25">
      <c r="X16359" s="19"/>
      <c r="Y16359" s="20"/>
    </row>
    <row r="16360" spans="24:25">
      <c r="X16360" s="19"/>
      <c r="Y16360" s="20"/>
    </row>
    <row r="16361" spans="24:25">
      <c r="X16361" s="19"/>
      <c r="Y16361" s="20"/>
    </row>
    <row r="16362" spans="24:25">
      <c r="X16362" s="19"/>
      <c r="Y16362" s="20"/>
    </row>
    <row r="16363" spans="24:25">
      <c r="X16363" s="19"/>
      <c r="Y16363" s="20"/>
    </row>
    <row r="16364" spans="24:25">
      <c r="X16364" s="19"/>
      <c r="Y16364" s="20"/>
    </row>
    <row r="16365" spans="24:25">
      <c r="X16365" s="19"/>
      <c r="Y16365" s="20"/>
    </row>
    <row r="16366" spans="24:25">
      <c r="X16366" s="19"/>
      <c r="Y16366" s="20"/>
    </row>
    <row r="16367" spans="24:25">
      <c r="X16367" s="19"/>
      <c r="Y16367" s="20"/>
    </row>
    <row r="16368" spans="24:25">
      <c r="X16368" s="19"/>
      <c r="Y16368" s="20"/>
    </row>
    <row r="16369" spans="24:25">
      <c r="X16369" s="19"/>
      <c r="Y16369" s="20"/>
    </row>
    <row r="16370" spans="24:25">
      <c r="X16370" s="19"/>
      <c r="Y16370" s="20"/>
    </row>
    <row r="16371" spans="24:25">
      <c r="X16371" s="19"/>
      <c r="Y16371" s="20"/>
    </row>
    <row r="16372" spans="24:25">
      <c r="X16372" s="19"/>
      <c r="Y16372" s="20"/>
    </row>
    <row r="16373" spans="24:25">
      <c r="X16373" s="19"/>
      <c r="Y16373" s="20"/>
    </row>
    <row r="16374" spans="24:25">
      <c r="X16374" s="19"/>
      <c r="Y16374" s="20"/>
    </row>
    <row r="16375" spans="24:25">
      <c r="X16375" s="19"/>
      <c r="Y16375" s="20"/>
    </row>
    <row r="16376" spans="24:25">
      <c r="X16376" s="19"/>
      <c r="Y16376" s="20"/>
    </row>
    <row r="16377" spans="24:25">
      <c r="X16377" s="19"/>
      <c r="Y16377" s="20"/>
    </row>
    <row r="16378" spans="24:25">
      <c r="X16378" s="19"/>
      <c r="Y16378" s="20"/>
    </row>
    <row r="16379" spans="24:25">
      <c r="X16379" s="19"/>
      <c r="Y16379" s="20"/>
    </row>
    <row r="16380" spans="24:25">
      <c r="X16380" s="19"/>
      <c r="Y16380" s="20"/>
    </row>
    <row r="16381" spans="24:25">
      <c r="X16381" s="19"/>
      <c r="Y16381" s="20"/>
    </row>
    <row r="16382" spans="24:25">
      <c r="X16382" s="19"/>
      <c r="Y16382" s="20"/>
    </row>
    <row r="16383" spans="24:25">
      <c r="X16383" s="19"/>
      <c r="Y16383" s="20"/>
    </row>
    <row r="16384" spans="24:25">
      <c r="X16384" s="19"/>
      <c r="Y16384" s="20"/>
    </row>
    <row r="16385" spans="24:25">
      <c r="X16385" s="19"/>
      <c r="Y16385" s="20"/>
    </row>
    <row r="16386" spans="24:25">
      <c r="X16386" s="19"/>
      <c r="Y16386" s="20"/>
    </row>
    <row r="16387" spans="24:25">
      <c r="X16387" s="19"/>
      <c r="Y16387" s="20"/>
    </row>
    <row r="16388" spans="24:25">
      <c r="X16388" s="19"/>
      <c r="Y16388" s="20"/>
    </row>
    <row r="16389" spans="24:25">
      <c r="X16389" s="19"/>
      <c r="Y16389" s="20"/>
    </row>
    <row r="16390" spans="24:25">
      <c r="X16390" s="19"/>
      <c r="Y16390" s="20"/>
    </row>
    <row r="16391" spans="24:25">
      <c r="X16391" s="19"/>
      <c r="Y16391" s="20"/>
    </row>
    <row r="16392" spans="24:25">
      <c r="X16392" s="19"/>
      <c r="Y16392" s="20"/>
    </row>
    <row r="16393" spans="24:25">
      <c r="X16393" s="19"/>
      <c r="Y16393" s="20"/>
    </row>
    <row r="16394" spans="24:25">
      <c r="X16394" s="19"/>
      <c r="Y16394" s="20"/>
    </row>
    <row r="16395" spans="24:25">
      <c r="X16395" s="19"/>
      <c r="Y16395" s="20"/>
    </row>
    <row r="16396" spans="24:25">
      <c r="X16396" s="19"/>
      <c r="Y16396" s="20"/>
    </row>
    <row r="16397" spans="24:25">
      <c r="X16397" s="19"/>
      <c r="Y16397" s="20"/>
    </row>
    <row r="16398" spans="24:25">
      <c r="X16398" s="19"/>
      <c r="Y16398" s="20"/>
    </row>
    <row r="16399" spans="24:25">
      <c r="X16399" s="19"/>
      <c r="Y16399" s="20"/>
    </row>
    <row r="16400" spans="24:25">
      <c r="X16400" s="19"/>
      <c r="Y16400" s="20"/>
    </row>
    <row r="16401" spans="24:25">
      <c r="X16401" s="19"/>
      <c r="Y16401" s="20"/>
    </row>
    <row r="16402" spans="24:25">
      <c r="X16402" s="19"/>
      <c r="Y16402" s="20"/>
    </row>
    <row r="16403" spans="24:25">
      <c r="X16403" s="19"/>
      <c r="Y16403" s="20"/>
    </row>
    <row r="16404" spans="24:25">
      <c r="X16404" s="19"/>
      <c r="Y16404" s="20"/>
    </row>
    <row r="16405" spans="24:25">
      <c r="X16405" s="19"/>
      <c r="Y16405" s="20"/>
    </row>
    <row r="16406" spans="24:25">
      <c r="X16406" s="19"/>
      <c r="Y16406" s="20"/>
    </row>
    <row r="16407" spans="24:25">
      <c r="X16407" s="19"/>
      <c r="Y16407" s="20"/>
    </row>
    <row r="16408" spans="24:25">
      <c r="X16408" s="19"/>
      <c r="Y16408" s="20"/>
    </row>
    <row r="16409" spans="24:25">
      <c r="X16409" s="19"/>
      <c r="Y16409" s="20"/>
    </row>
    <row r="16410" spans="24:25">
      <c r="X16410" s="19"/>
      <c r="Y16410" s="20"/>
    </row>
    <row r="16411" spans="24:25">
      <c r="X16411" s="19"/>
      <c r="Y16411" s="20"/>
    </row>
    <row r="16412" spans="24:25">
      <c r="X16412" s="19"/>
      <c r="Y16412" s="20"/>
    </row>
    <row r="16413" spans="24:25">
      <c r="X16413" s="19"/>
      <c r="Y16413" s="20"/>
    </row>
    <row r="16414" spans="24:25">
      <c r="X16414" s="19"/>
      <c r="Y16414" s="20"/>
    </row>
    <row r="16415" spans="24:25">
      <c r="X16415" s="19"/>
      <c r="Y16415" s="20"/>
    </row>
    <row r="16416" spans="24:25">
      <c r="X16416" s="19"/>
      <c r="Y16416" s="20"/>
    </row>
    <row r="16417" spans="24:25">
      <c r="X16417" s="19"/>
      <c r="Y16417" s="20"/>
    </row>
    <row r="16418" spans="24:25">
      <c r="X16418" s="19"/>
      <c r="Y16418" s="20"/>
    </row>
    <row r="16419" spans="24:25">
      <c r="X16419" s="19"/>
      <c r="Y16419" s="20"/>
    </row>
    <row r="16420" spans="24:25">
      <c r="X16420" s="19"/>
      <c r="Y16420" s="20"/>
    </row>
    <row r="16421" spans="24:25">
      <c r="X16421" s="19"/>
      <c r="Y16421" s="20"/>
    </row>
    <row r="16422" spans="24:25">
      <c r="X16422" s="19"/>
      <c r="Y16422" s="20"/>
    </row>
    <row r="16423" spans="24:25">
      <c r="X16423" s="19"/>
      <c r="Y16423" s="20"/>
    </row>
    <row r="16424" spans="24:25">
      <c r="X16424" s="19"/>
      <c r="Y16424" s="20"/>
    </row>
    <row r="16425" spans="24:25">
      <c r="X16425" s="19"/>
      <c r="Y16425" s="20"/>
    </row>
    <row r="16426" spans="24:25">
      <c r="X16426" s="19"/>
      <c r="Y16426" s="20"/>
    </row>
    <row r="16427" spans="24:25">
      <c r="X16427" s="19"/>
      <c r="Y16427" s="20"/>
    </row>
    <row r="16428" spans="24:25">
      <c r="X16428" s="19"/>
      <c r="Y16428" s="20"/>
    </row>
    <row r="16429" spans="24:25">
      <c r="X16429" s="19"/>
      <c r="Y16429" s="20"/>
    </row>
    <row r="16430" spans="24:25">
      <c r="X16430" s="19"/>
      <c r="Y16430" s="20"/>
    </row>
    <row r="16431" spans="24:25">
      <c r="X16431" s="19"/>
      <c r="Y16431" s="20"/>
    </row>
    <row r="16432" spans="24:25">
      <c r="X16432" s="19"/>
      <c r="Y16432" s="20"/>
    </row>
    <row r="16433" spans="24:25">
      <c r="X16433" s="19"/>
      <c r="Y16433" s="20"/>
    </row>
    <row r="16434" spans="24:25">
      <c r="X16434" s="19"/>
      <c r="Y16434" s="20"/>
    </row>
    <row r="16435" spans="24:25">
      <c r="X16435" s="19"/>
      <c r="Y16435" s="20"/>
    </row>
    <row r="16436" spans="24:25">
      <c r="X16436" s="19"/>
      <c r="Y16436" s="20"/>
    </row>
    <row r="16437" spans="24:25">
      <c r="X16437" s="19"/>
      <c r="Y16437" s="20"/>
    </row>
    <row r="16438" spans="24:25">
      <c r="X16438" s="19"/>
      <c r="Y16438" s="20"/>
    </row>
    <row r="16439" spans="24:25">
      <c r="X16439" s="19"/>
      <c r="Y16439" s="20"/>
    </row>
    <row r="16440" spans="24:25">
      <c r="X16440" s="19"/>
      <c r="Y16440" s="20"/>
    </row>
    <row r="16441" spans="24:25">
      <c r="X16441" s="19"/>
      <c r="Y16441" s="20"/>
    </row>
    <row r="16442" spans="24:25">
      <c r="X16442" s="19"/>
      <c r="Y16442" s="20"/>
    </row>
    <row r="16443" spans="24:25">
      <c r="X16443" s="19"/>
      <c r="Y16443" s="20"/>
    </row>
    <row r="16444" spans="24:25">
      <c r="X16444" s="19"/>
      <c r="Y16444" s="20"/>
    </row>
    <row r="16445" spans="24:25">
      <c r="X16445" s="19"/>
      <c r="Y16445" s="20"/>
    </row>
    <row r="16446" spans="24:25">
      <c r="X16446" s="19"/>
      <c r="Y16446" s="20"/>
    </row>
    <row r="16447" spans="24:25">
      <c r="X16447" s="19"/>
      <c r="Y16447" s="20"/>
    </row>
    <row r="16448" spans="24:25">
      <c r="X16448" s="19"/>
      <c r="Y16448" s="20"/>
    </row>
    <row r="16449" spans="24:25">
      <c r="X16449" s="19"/>
      <c r="Y16449" s="20"/>
    </row>
    <row r="16450" spans="24:25">
      <c r="X16450" s="19"/>
      <c r="Y16450" s="20"/>
    </row>
    <row r="16451" spans="24:25">
      <c r="X16451" s="19"/>
      <c r="Y16451" s="20"/>
    </row>
    <row r="16452" spans="24:25">
      <c r="X16452" s="19"/>
      <c r="Y16452" s="20"/>
    </row>
    <row r="16453" spans="24:25">
      <c r="X16453" s="19"/>
      <c r="Y16453" s="20"/>
    </row>
    <row r="16454" spans="24:25">
      <c r="X16454" s="19"/>
      <c r="Y16454" s="20"/>
    </row>
    <row r="16455" spans="24:25">
      <c r="X16455" s="19"/>
      <c r="Y16455" s="20"/>
    </row>
    <row r="16456" spans="24:25">
      <c r="X16456" s="19"/>
      <c r="Y16456" s="20"/>
    </row>
    <row r="16457" spans="24:25">
      <c r="X16457" s="19"/>
      <c r="Y16457" s="20"/>
    </row>
    <row r="16458" spans="24:25">
      <c r="X16458" s="19"/>
      <c r="Y16458" s="20"/>
    </row>
    <row r="16459" spans="24:25">
      <c r="X16459" s="19"/>
      <c r="Y16459" s="20"/>
    </row>
    <row r="16460" spans="24:25">
      <c r="X16460" s="19"/>
      <c r="Y16460" s="20"/>
    </row>
    <row r="16461" spans="24:25">
      <c r="X16461" s="19"/>
      <c r="Y16461" s="20"/>
    </row>
    <row r="16462" spans="24:25">
      <c r="X16462" s="19"/>
      <c r="Y16462" s="20"/>
    </row>
    <row r="16463" spans="24:25">
      <c r="X16463" s="19"/>
      <c r="Y16463" s="20"/>
    </row>
    <row r="16464" spans="24:25">
      <c r="X16464" s="19"/>
      <c r="Y16464" s="20"/>
    </row>
    <row r="16465" spans="24:25">
      <c r="X16465" s="19"/>
      <c r="Y16465" s="20"/>
    </row>
    <row r="16466" spans="24:25">
      <c r="X16466" s="19"/>
      <c r="Y16466" s="20"/>
    </row>
    <row r="16467" spans="24:25">
      <c r="X16467" s="19"/>
      <c r="Y16467" s="20"/>
    </row>
    <row r="16468" spans="24:25">
      <c r="X16468" s="19"/>
      <c r="Y16468" s="20"/>
    </row>
    <row r="16469" spans="24:25">
      <c r="X16469" s="19"/>
      <c r="Y16469" s="20"/>
    </row>
    <row r="16470" spans="24:25">
      <c r="X16470" s="19"/>
      <c r="Y16470" s="20"/>
    </row>
    <row r="16471" spans="24:25">
      <c r="X16471" s="19"/>
      <c r="Y16471" s="20"/>
    </row>
    <row r="16472" spans="24:25">
      <c r="X16472" s="19"/>
      <c r="Y16472" s="20"/>
    </row>
    <row r="16473" spans="24:25">
      <c r="X16473" s="19"/>
      <c r="Y16473" s="20"/>
    </row>
    <row r="16474" spans="24:25">
      <c r="X16474" s="19"/>
      <c r="Y16474" s="20"/>
    </row>
    <row r="16475" spans="24:25">
      <c r="X16475" s="19"/>
      <c r="Y16475" s="20"/>
    </row>
    <row r="16476" spans="24:25">
      <c r="X16476" s="19"/>
      <c r="Y16476" s="20"/>
    </row>
    <row r="16477" spans="24:25">
      <c r="X16477" s="19"/>
      <c r="Y16477" s="20"/>
    </row>
    <row r="16478" spans="24:25">
      <c r="X16478" s="19"/>
      <c r="Y16478" s="20"/>
    </row>
    <row r="16479" spans="24:25">
      <c r="X16479" s="19"/>
      <c r="Y16479" s="20"/>
    </row>
    <row r="16480" spans="24:25">
      <c r="X16480" s="19"/>
      <c r="Y16480" s="20"/>
    </row>
    <row r="16481" spans="24:25">
      <c r="X16481" s="19"/>
      <c r="Y16481" s="20"/>
    </row>
    <row r="16482" spans="24:25">
      <c r="X16482" s="19"/>
      <c r="Y16482" s="20"/>
    </row>
    <row r="16483" spans="24:25">
      <c r="X16483" s="19"/>
      <c r="Y16483" s="20"/>
    </row>
    <row r="16484" spans="24:25">
      <c r="X16484" s="19"/>
      <c r="Y16484" s="20"/>
    </row>
    <row r="16485" spans="24:25">
      <c r="X16485" s="19"/>
      <c r="Y16485" s="20"/>
    </row>
    <row r="16486" spans="24:25">
      <c r="X16486" s="19"/>
      <c r="Y16486" s="20"/>
    </row>
    <row r="16487" spans="24:25">
      <c r="X16487" s="19"/>
      <c r="Y16487" s="20"/>
    </row>
    <row r="16488" spans="24:25">
      <c r="X16488" s="19"/>
      <c r="Y16488" s="20"/>
    </row>
    <row r="16489" spans="24:25">
      <c r="X16489" s="19"/>
      <c r="Y16489" s="20"/>
    </row>
    <row r="16490" spans="24:25">
      <c r="X16490" s="19"/>
      <c r="Y16490" s="20"/>
    </row>
    <row r="16491" spans="24:25">
      <c r="X16491" s="19"/>
      <c r="Y16491" s="20"/>
    </row>
    <row r="16492" spans="24:25">
      <c r="X16492" s="19"/>
      <c r="Y16492" s="20"/>
    </row>
    <row r="16493" spans="24:25">
      <c r="X16493" s="19"/>
      <c r="Y16493" s="20"/>
    </row>
    <row r="16494" spans="24:25">
      <c r="X16494" s="19"/>
      <c r="Y16494" s="20"/>
    </row>
    <row r="16495" spans="24:25">
      <c r="X16495" s="19"/>
      <c r="Y16495" s="20"/>
    </row>
    <row r="16496" spans="24:25">
      <c r="X16496" s="19"/>
      <c r="Y16496" s="20"/>
    </row>
    <row r="16497" spans="24:25">
      <c r="X16497" s="19"/>
      <c r="Y16497" s="20"/>
    </row>
    <row r="16498" spans="24:25">
      <c r="X16498" s="19"/>
      <c r="Y16498" s="20"/>
    </row>
    <row r="16499" spans="24:25">
      <c r="X16499" s="19"/>
      <c r="Y16499" s="20"/>
    </row>
    <row r="16500" spans="24:25">
      <c r="X16500" s="19"/>
      <c r="Y16500" s="20"/>
    </row>
    <row r="16501" spans="24:25">
      <c r="X16501" s="19"/>
      <c r="Y16501" s="20"/>
    </row>
    <row r="16502" spans="24:25">
      <c r="X16502" s="19"/>
      <c r="Y16502" s="20"/>
    </row>
    <row r="16503" spans="24:25">
      <c r="X16503" s="19"/>
      <c r="Y16503" s="20"/>
    </row>
    <row r="16504" spans="24:25">
      <c r="X16504" s="19"/>
      <c r="Y16504" s="20"/>
    </row>
    <row r="16505" spans="24:25">
      <c r="X16505" s="19"/>
      <c r="Y16505" s="20"/>
    </row>
    <row r="16506" spans="24:25">
      <c r="X16506" s="19"/>
      <c r="Y16506" s="20"/>
    </row>
    <row r="16507" spans="24:25">
      <c r="X16507" s="19"/>
      <c r="Y16507" s="20"/>
    </row>
    <row r="16508" spans="24:25">
      <c r="X16508" s="19"/>
      <c r="Y16508" s="20"/>
    </row>
    <row r="16509" spans="24:25">
      <c r="X16509" s="19"/>
      <c r="Y16509" s="20"/>
    </row>
    <row r="16510" spans="24:25">
      <c r="X16510" s="19"/>
      <c r="Y16510" s="20"/>
    </row>
    <row r="16511" spans="24:25">
      <c r="X16511" s="19"/>
      <c r="Y16511" s="20"/>
    </row>
    <row r="16512" spans="24:25">
      <c r="X16512" s="19"/>
      <c r="Y16512" s="20"/>
    </row>
    <row r="16513" spans="24:25">
      <c r="X16513" s="19"/>
      <c r="Y16513" s="20"/>
    </row>
    <row r="16514" spans="24:25">
      <c r="X16514" s="19"/>
      <c r="Y16514" s="20"/>
    </row>
    <row r="16515" spans="24:25">
      <c r="X16515" s="19"/>
      <c r="Y16515" s="20"/>
    </row>
    <row r="16516" spans="24:25">
      <c r="X16516" s="19"/>
      <c r="Y16516" s="20"/>
    </row>
    <row r="16517" spans="24:25">
      <c r="X16517" s="19"/>
      <c r="Y16517" s="20"/>
    </row>
    <row r="16518" spans="24:25">
      <c r="X16518" s="19"/>
      <c r="Y16518" s="20"/>
    </row>
    <row r="16519" spans="24:25">
      <c r="X16519" s="19"/>
      <c r="Y16519" s="20"/>
    </row>
    <row r="16520" spans="24:25">
      <c r="X16520" s="19"/>
      <c r="Y16520" s="20"/>
    </row>
    <row r="16521" spans="24:25">
      <c r="X16521" s="19"/>
      <c r="Y16521" s="20"/>
    </row>
    <row r="16522" spans="24:25">
      <c r="X16522" s="19"/>
      <c r="Y16522" s="20"/>
    </row>
    <row r="16523" spans="24:25">
      <c r="X16523" s="19"/>
      <c r="Y16523" s="20"/>
    </row>
    <row r="16524" spans="24:25">
      <c r="X16524" s="19"/>
      <c r="Y16524" s="20"/>
    </row>
    <row r="16525" spans="24:25">
      <c r="X16525" s="19"/>
      <c r="Y16525" s="20"/>
    </row>
    <row r="16526" spans="24:25">
      <c r="X16526" s="19"/>
      <c r="Y16526" s="20"/>
    </row>
    <row r="16527" spans="24:25">
      <c r="X16527" s="19"/>
      <c r="Y16527" s="20"/>
    </row>
    <row r="16528" spans="24:25">
      <c r="X16528" s="19"/>
      <c r="Y16528" s="20"/>
    </row>
    <row r="16529" spans="24:25">
      <c r="X16529" s="19"/>
      <c r="Y16529" s="20"/>
    </row>
    <row r="16530" spans="24:25">
      <c r="X16530" s="19"/>
      <c r="Y16530" s="20"/>
    </row>
    <row r="16531" spans="24:25">
      <c r="X16531" s="19"/>
      <c r="Y16531" s="20"/>
    </row>
    <row r="16532" spans="24:25">
      <c r="X16532" s="19"/>
      <c r="Y16532" s="20"/>
    </row>
    <row r="16533" spans="24:25">
      <c r="X16533" s="19"/>
      <c r="Y16533" s="20"/>
    </row>
    <row r="16534" spans="24:25">
      <c r="X16534" s="19"/>
      <c r="Y16534" s="20"/>
    </row>
    <row r="16535" spans="24:25">
      <c r="X16535" s="19"/>
      <c r="Y16535" s="20"/>
    </row>
    <row r="16536" spans="24:25">
      <c r="X16536" s="19"/>
      <c r="Y16536" s="20"/>
    </row>
    <row r="16537" spans="24:25">
      <c r="X16537" s="19"/>
      <c r="Y16537" s="20"/>
    </row>
    <row r="16538" spans="24:25">
      <c r="X16538" s="19"/>
      <c r="Y16538" s="20"/>
    </row>
    <row r="16539" spans="24:25">
      <c r="X16539" s="19"/>
      <c r="Y16539" s="20"/>
    </row>
    <row r="16540" spans="24:25">
      <c r="X16540" s="19"/>
      <c r="Y16540" s="20"/>
    </row>
    <row r="16541" spans="24:25">
      <c r="X16541" s="19"/>
      <c r="Y16541" s="20"/>
    </row>
    <row r="16542" spans="24:25">
      <c r="X16542" s="19"/>
      <c r="Y16542" s="20"/>
    </row>
    <row r="16543" spans="24:25">
      <c r="X16543" s="19"/>
      <c r="Y16543" s="20"/>
    </row>
    <row r="16544" spans="24:25">
      <c r="X16544" s="19"/>
      <c r="Y16544" s="20"/>
    </row>
    <row r="16545" spans="24:25">
      <c r="X16545" s="19"/>
      <c r="Y16545" s="20"/>
    </row>
    <row r="16546" spans="24:25">
      <c r="X16546" s="19"/>
      <c r="Y16546" s="20"/>
    </row>
    <row r="16547" spans="24:25">
      <c r="X16547" s="19"/>
      <c r="Y16547" s="20"/>
    </row>
    <row r="16548" spans="24:25">
      <c r="X16548" s="19"/>
      <c r="Y16548" s="20"/>
    </row>
    <row r="16549" spans="24:25">
      <c r="X16549" s="19"/>
      <c r="Y16549" s="20"/>
    </row>
    <row r="16550" spans="24:25">
      <c r="X16550" s="19"/>
      <c r="Y16550" s="20"/>
    </row>
    <row r="16551" spans="24:25">
      <c r="X16551" s="19"/>
      <c r="Y16551" s="20"/>
    </row>
    <row r="16552" spans="24:25">
      <c r="X16552" s="19"/>
      <c r="Y16552" s="20"/>
    </row>
    <row r="16553" spans="24:25">
      <c r="X16553" s="19"/>
      <c r="Y16553" s="20"/>
    </row>
    <row r="16554" spans="24:25">
      <c r="X16554" s="19"/>
      <c r="Y16554" s="20"/>
    </row>
    <row r="16555" spans="24:25">
      <c r="X16555" s="19"/>
      <c r="Y16555" s="20"/>
    </row>
    <row r="16556" spans="24:25">
      <c r="X16556" s="19"/>
      <c r="Y16556" s="20"/>
    </row>
    <row r="16557" spans="24:25">
      <c r="X16557" s="19"/>
      <c r="Y16557" s="20"/>
    </row>
    <row r="16558" spans="24:25">
      <c r="X16558" s="19"/>
      <c r="Y16558" s="20"/>
    </row>
    <row r="16559" spans="24:25">
      <c r="X16559" s="19"/>
      <c r="Y16559" s="20"/>
    </row>
    <row r="16560" spans="24:25">
      <c r="X16560" s="19"/>
      <c r="Y16560" s="20"/>
    </row>
    <row r="16561" spans="24:25">
      <c r="X16561" s="19"/>
      <c r="Y16561" s="20"/>
    </row>
    <row r="16562" spans="24:25">
      <c r="X16562" s="19"/>
      <c r="Y16562" s="20"/>
    </row>
    <row r="16563" spans="24:25">
      <c r="X16563" s="19"/>
      <c r="Y16563" s="20"/>
    </row>
    <row r="16564" spans="24:25">
      <c r="X16564" s="19"/>
      <c r="Y16564" s="20"/>
    </row>
    <row r="16565" spans="24:25">
      <c r="X16565" s="19"/>
      <c r="Y16565" s="20"/>
    </row>
    <row r="16566" spans="24:25">
      <c r="X16566" s="19"/>
      <c r="Y16566" s="20"/>
    </row>
    <row r="16567" spans="24:25">
      <c r="X16567" s="19"/>
      <c r="Y16567" s="20"/>
    </row>
    <row r="16568" spans="24:25">
      <c r="X16568" s="19"/>
      <c r="Y16568" s="20"/>
    </row>
    <row r="16569" spans="24:25">
      <c r="X16569" s="19"/>
      <c r="Y16569" s="20"/>
    </row>
    <row r="16570" spans="24:25">
      <c r="X16570" s="19"/>
      <c r="Y16570" s="20"/>
    </row>
    <row r="16571" spans="24:25">
      <c r="X16571" s="19"/>
      <c r="Y16571" s="20"/>
    </row>
    <row r="16572" spans="24:25">
      <c r="X16572" s="19"/>
      <c r="Y16572" s="20"/>
    </row>
    <row r="16573" spans="24:25">
      <c r="X16573" s="19"/>
      <c r="Y16573" s="20"/>
    </row>
    <row r="16574" spans="24:25">
      <c r="X16574" s="19"/>
      <c r="Y16574" s="20"/>
    </row>
    <row r="16575" spans="24:25">
      <c r="X16575" s="19"/>
      <c r="Y16575" s="20"/>
    </row>
    <row r="16576" spans="24:25">
      <c r="X16576" s="19"/>
      <c r="Y16576" s="20"/>
    </row>
    <row r="16577" spans="24:25">
      <c r="X16577" s="19"/>
      <c r="Y16577" s="20"/>
    </row>
    <row r="16578" spans="24:25">
      <c r="X16578" s="19"/>
      <c r="Y16578" s="20"/>
    </row>
    <row r="16579" spans="24:25">
      <c r="X16579" s="19"/>
      <c r="Y16579" s="20"/>
    </row>
    <row r="16580" spans="24:25">
      <c r="X16580" s="19"/>
      <c r="Y16580" s="20"/>
    </row>
    <row r="16581" spans="24:25">
      <c r="X16581" s="19"/>
      <c r="Y16581" s="20"/>
    </row>
    <row r="16582" spans="24:25">
      <c r="X16582" s="19"/>
      <c r="Y16582" s="20"/>
    </row>
    <row r="16583" spans="24:25">
      <c r="X16583" s="19"/>
      <c r="Y16583" s="20"/>
    </row>
    <row r="16584" spans="24:25">
      <c r="X16584" s="19"/>
      <c r="Y16584" s="20"/>
    </row>
    <row r="16585" spans="24:25">
      <c r="X16585" s="19"/>
      <c r="Y16585" s="20"/>
    </row>
    <row r="16586" spans="24:25">
      <c r="X16586" s="19"/>
      <c r="Y16586" s="20"/>
    </row>
    <row r="16587" spans="24:25">
      <c r="X16587" s="19"/>
      <c r="Y16587" s="20"/>
    </row>
    <row r="16588" spans="24:25">
      <c r="X16588" s="19"/>
      <c r="Y16588" s="20"/>
    </row>
    <row r="16589" spans="24:25">
      <c r="X16589" s="19"/>
      <c r="Y16589" s="20"/>
    </row>
    <row r="16590" spans="24:25">
      <c r="X16590" s="19"/>
      <c r="Y16590" s="20"/>
    </row>
    <row r="16591" spans="24:25">
      <c r="X16591" s="19"/>
      <c r="Y16591" s="20"/>
    </row>
    <row r="16592" spans="24:25">
      <c r="X16592" s="19"/>
      <c r="Y16592" s="20"/>
    </row>
    <row r="16593" spans="24:25">
      <c r="X16593" s="19"/>
      <c r="Y16593" s="20"/>
    </row>
    <row r="16594" spans="24:25">
      <c r="X16594" s="19"/>
      <c r="Y16594" s="20"/>
    </row>
    <row r="16595" spans="24:25">
      <c r="X16595" s="19"/>
      <c r="Y16595" s="20"/>
    </row>
    <row r="16596" spans="24:25">
      <c r="X16596" s="19"/>
      <c r="Y16596" s="20"/>
    </row>
    <row r="16597" spans="24:25">
      <c r="X16597" s="19"/>
      <c r="Y16597" s="20"/>
    </row>
    <row r="16598" spans="24:25">
      <c r="X16598" s="19"/>
      <c r="Y16598" s="20"/>
    </row>
    <row r="16599" spans="24:25">
      <c r="X16599" s="19"/>
      <c r="Y16599" s="20"/>
    </row>
    <row r="16600" spans="24:25">
      <c r="X16600" s="19"/>
      <c r="Y16600" s="20"/>
    </row>
    <row r="16601" spans="24:25">
      <c r="X16601" s="19"/>
      <c r="Y16601" s="20"/>
    </row>
    <row r="16602" spans="24:25">
      <c r="X16602" s="19"/>
      <c r="Y16602" s="20"/>
    </row>
    <row r="16603" spans="24:25">
      <c r="X16603" s="19"/>
      <c r="Y16603" s="20"/>
    </row>
    <row r="16604" spans="24:25">
      <c r="X16604" s="19"/>
      <c r="Y16604" s="20"/>
    </row>
    <row r="16605" spans="24:25">
      <c r="X16605" s="19"/>
      <c r="Y16605" s="20"/>
    </row>
    <row r="16606" spans="24:25">
      <c r="X16606" s="19"/>
      <c r="Y16606" s="20"/>
    </row>
    <row r="16607" spans="24:25">
      <c r="X16607" s="19"/>
      <c r="Y16607" s="20"/>
    </row>
    <row r="16608" spans="24:25">
      <c r="X16608" s="19"/>
      <c r="Y16608" s="20"/>
    </row>
    <row r="16609" spans="24:25">
      <c r="X16609" s="19"/>
      <c r="Y16609" s="20"/>
    </row>
    <row r="16610" spans="24:25">
      <c r="X16610" s="19"/>
      <c r="Y16610" s="20"/>
    </row>
    <row r="16611" spans="24:25">
      <c r="X16611" s="19"/>
      <c r="Y16611" s="20"/>
    </row>
    <row r="16612" spans="24:25">
      <c r="X16612" s="19"/>
      <c r="Y16612" s="20"/>
    </row>
    <row r="16613" spans="24:25">
      <c r="X16613" s="19"/>
      <c r="Y16613" s="20"/>
    </row>
    <row r="16614" spans="24:25">
      <c r="X16614" s="19"/>
      <c r="Y16614" s="20"/>
    </row>
    <row r="16615" spans="24:25">
      <c r="X16615" s="19"/>
      <c r="Y16615" s="20"/>
    </row>
    <row r="16616" spans="24:25">
      <c r="X16616" s="19"/>
      <c r="Y16616" s="20"/>
    </row>
    <row r="16617" spans="24:25">
      <c r="X16617" s="19"/>
      <c r="Y16617" s="20"/>
    </row>
    <row r="16618" spans="24:25">
      <c r="X16618" s="19"/>
      <c r="Y16618" s="20"/>
    </row>
    <row r="16619" spans="24:25">
      <c r="X16619" s="19"/>
      <c r="Y16619" s="20"/>
    </row>
    <row r="16620" spans="24:25">
      <c r="X16620" s="19"/>
      <c r="Y16620" s="20"/>
    </row>
    <row r="16621" spans="24:25">
      <c r="X16621" s="19"/>
      <c r="Y16621" s="20"/>
    </row>
    <row r="16622" spans="24:25">
      <c r="X16622" s="19"/>
      <c r="Y16622" s="20"/>
    </row>
    <row r="16623" spans="24:25">
      <c r="X16623" s="19"/>
      <c r="Y16623" s="20"/>
    </row>
    <row r="16624" spans="24:25">
      <c r="X16624" s="19"/>
      <c r="Y16624" s="20"/>
    </row>
    <row r="16625" spans="24:25">
      <c r="X16625" s="19"/>
      <c r="Y16625" s="20"/>
    </row>
    <row r="16626" spans="24:25">
      <c r="X16626" s="19"/>
      <c r="Y16626" s="20"/>
    </row>
    <row r="16627" spans="24:25">
      <c r="X16627" s="19"/>
      <c r="Y16627" s="20"/>
    </row>
    <row r="16628" spans="24:25">
      <c r="X16628" s="19"/>
      <c r="Y16628" s="20"/>
    </row>
    <row r="16629" spans="24:25">
      <c r="X16629" s="19"/>
      <c r="Y16629" s="20"/>
    </row>
    <row r="16630" spans="24:25">
      <c r="X16630" s="19"/>
      <c r="Y16630" s="20"/>
    </row>
    <row r="16631" spans="24:25">
      <c r="X16631" s="19"/>
      <c r="Y16631" s="20"/>
    </row>
    <row r="16632" spans="24:25">
      <c r="X16632" s="19"/>
      <c r="Y16632" s="20"/>
    </row>
    <row r="16633" spans="24:25">
      <c r="X16633" s="19"/>
      <c r="Y16633" s="20"/>
    </row>
    <row r="16634" spans="24:25">
      <c r="X16634" s="19"/>
      <c r="Y16634" s="20"/>
    </row>
    <row r="16635" spans="24:25">
      <c r="X16635" s="19"/>
      <c r="Y16635" s="20"/>
    </row>
    <row r="16636" spans="24:25">
      <c r="X16636" s="19"/>
      <c r="Y16636" s="20"/>
    </row>
    <row r="16637" spans="24:25">
      <c r="X16637" s="19"/>
      <c r="Y16637" s="20"/>
    </row>
    <row r="16638" spans="24:25">
      <c r="X16638" s="19"/>
      <c r="Y16638" s="20"/>
    </row>
    <row r="16639" spans="24:25">
      <c r="X16639" s="19"/>
      <c r="Y16639" s="20"/>
    </row>
    <row r="16640" spans="24:25">
      <c r="X16640" s="19"/>
      <c r="Y16640" s="20"/>
    </row>
    <row r="16641" spans="24:25">
      <c r="X16641" s="19"/>
      <c r="Y16641" s="20"/>
    </row>
    <row r="16642" spans="24:25">
      <c r="X16642" s="19"/>
      <c r="Y16642" s="20"/>
    </row>
    <row r="16643" spans="24:25">
      <c r="X16643" s="19"/>
      <c r="Y16643" s="20"/>
    </row>
    <row r="16644" spans="24:25">
      <c r="X16644" s="19"/>
      <c r="Y16644" s="20"/>
    </row>
    <row r="16645" spans="24:25">
      <c r="X16645" s="19"/>
      <c r="Y16645" s="20"/>
    </row>
    <row r="16646" spans="24:25">
      <c r="X16646" s="19"/>
      <c r="Y16646" s="20"/>
    </row>
    <row r="16647" spans="24:25">
      <c r="X16647" s="19"/>
      <c r="Y16647" s="20"/>
    </row>
    <row r="16648" spans="24:25">
      <c r="X16648" s="19"/>
      <c r="Y16648" s="20"/>
    </row>
    <row r="16649" spans="24:25">
      <c r="X16649" s="19"/>
      <c r="Y16649" s="20"/>
    </row>
    <row r="16650" spans="24:25">
      <c r="X16650" s="19"/>
      <c r="Y16650" s="20"/>
    </row>
    <row r="16651" spans="24:25">
      <c r="X16651" s="19"/>
      <c r="Y16651" s="20"/>
    </row>
    <row r="16652" spans="24:25">
      <c r="X16652" s="19"/>
      <c r="Y16652" s="20"/>
    </row>
    <row r="16653" spans="24:25">
      <c r="X16653" s="19"/>
      <c r="Y16653" s="20"/>
    </row>
    <row r="16654" spans="24:25">
      <c r="X16654" s="19"/>
      <c r="Y16654" s="20"/>
    </row>
    <row r="16655" spans="24:25">
      <c r="X16655" s="19"/>
      <c r="Y16655" s="20"/>
    </row>
    <row r="16656" spans="24:25">
      <c r="X16656" s="19"/>
      <c r="Y16656" s="20"/>
    </row>
    <row r="16657" spans="24:25">
      <c r="X16657" s="19"/>
      <c r="Y16657" s="20"/>
    </row>
    <row r="16658" spans="24:25">
      <c r="X16658" s="19"/>
      <c r="Y16658" s="20"/>
    </row>
    <row r="16659" spans="24:25">
      <c r="X16659" s="19"/>
      <c r="Y16659" s="20"/>
    </row>
    <row r="16660" spans="24:25">
      <c r="X16660" s="19"/>
      <c r="Y16660" s="20"/>
    </row>
    <row r="16661" spans="24:25">
      <c r="X16661" s="19"/>
      <c r="Y16661" s="20"/>
    </row>
    <row r="16662" spans="24:25">
      <c r="X16662" s="19"/>
      <c r="Y16662" s="20"/>
    </row>
    <row r="16663" spans="24:25">
      <c r="X16663" s="19"/>
      <c r="Y16663" s="20"/>
    </row>
    <row r="16664" spans="24:25">
      <c r="X16664" s="19"/>
      <c r="Y16664" s="20"/>
    </row>
    <row r="16665" spans="24:25">
      <c r="X16665" s="19"/>
      <c r="Y16665" s="20"/>
    </row>
    <row r="16666" spans="24:25">
      <c r="X16666" s="19"/>
      <c r="Y16666" s="20"/>
    </row>
    <row r="16667" spans="24:25">
      <c r="X16667" s="19"/>
      <c r="Y16667" s="20"/>
    </row>
    <row r="16668" spans="24:25">
      <c r="X16668" s="19"/>
      <c r="Y16668" s="20"/>
    </row>
    <row r="16669" spans="24:25">
      <c r="X16669" s="19"/>
      <c r="Y16669" s="20"/>
    </row>
    <row r="16670" spans="24:25">
      <c r="X16670" s="19"/>
      <c r="Y16670" s="20"/>
    </row>
    <row r="16671" spans="24:25">
      <c r="X16671" s="19"/>
      <c r="Y16671" s="20"/>
    </row>
    <row r="16672" spans="24:25">
      <c r="X16672" s="19"/>
      <c r="Y16672" s="20"/>
    </row>
    <row r="16673" spans="24:25">
      <c r="X16673" s="19"/>
      <c r="Y16673" s="20"/>
    </row>
    <row r="16674" spans="24:25">
      <c r="X16674" s="19"/>
      <c r="Y16674" s="20"/>
    </row>
    <row r="16675" spans="24:25">
      <c r="X16675" s="19"/>
      <c r="Y16675" s="20"/>
    </row>
    <row r="16676" spans="24:25">
      <c r="X16676" s="19"/>
      <c r="Y16676" s="20"/>
    </row>
    <row r="16677" spans="24:25">
      <c r="X16677" s="19"/>
      <c r="Y16677" s="20"/>
    </row>
    <row r="16678" spans="24:25">
      <c r="X16678" s="19"/>
      <c r="Y16678" s="20"/>
    </row>
    <row r="16679" spans="24:25">
      <c r="X16679" s="19"/>
      <c r="Y16679" s="20"/>
    </row>
    <row r="16680" spans="24:25">
      <c r="X16680" s="19"/>
      <c r="Y16680" s="20"/>
    </row>
    <row r="16681" spans="24:25">
      <c r="X16681" s="19"/>
      <c r="Y16681" s="20"/>
    </row>
    <row r="16682" spans="24:25">
      <c r="X16682" s="19"/>
      <c r="Y16682" s="20"/>
    </row>
    <row r="16683" spans="24:25">
      <c r="X16683" s="19"/>
      <c r="Y16683" s="20"/>
    </row>
    <row r="16684" spans="24:25">
      <c r="X16684" s="19"/>
      <c r="Y16684" s="20"/>
    </row>
    <row r="16685" spans="24:25">
      <c r="X16685" s="19"/>
      <c r="Y16685" s="20"/>
    </row>
    <row r="16686" spans="24:25">
      <c r="X16686" s="19"/>
      <c r="Y16686" s="20"/>
    </row>
    <row r="16687" spans="24:25">
      <c r="X16687" s="19"/>
      <c r="Y16687" s="20"/>
    </row>
    <row r="16688" spans="24:25">
      <c r="X16688" s="19"/>
      <c r="Y16688" s="20"/>
    </row>
    <row r="16689" spans="24:25">
      <c r="X16689" s="19"/>
      <c r="Y16689" s="20"/>
    </row>
    <row r="16690" spans="24:25">
      <c r="X16690" s="19"/>
      <c r="Y16690" s="20"/>
    </row>
    <row r="16691" spans="24:25">
      <c r="X16691" s="19"/>
      <c r="Y16691" s="20"/>
    </row>
    <row r="16692" spans="24:25">
      <c r="X16692" s="19"/>
      <c r="Y16692" s="20"/>
    </row>
    <row r="16693" spans="24:25">
      <c r="X16693" s="19"/>
      <c r="Y16693" s="20"/>
    </row>
    <row r="16694" spans="24:25">
      <c r="X16694" s="19"/>
      <c r="Y16694" s="20"/>
    </row>
    <row r="16695" spans="24:25">
      <c r="X16695" s="19"/>
      <c r="Y16695" s="20"/>
    </row>
    <row r="16696" spans="24:25">
      <c r="X16696" s="19"/>
      <c r="Y16696" s="20"/>
    </row>
    <row r="16697" spans="24:25">
      <c r="X16697" s="19"/>
      <c r="Y16697" s="20"/>
    </row>
    <row r="16698" spans="24:25">
      <c r="X16698" s="19"/>
      <c r="Y16698" s="20"/>
    </row>
    <row r="16699" spans="24:25">
      <c r="X16699" s="19"/>
      <c r="Y16699" s="20"/>
    </row>
    <row r="16700" spans="24:25">
      <c r="X16700" s="19"/>
      <c r="Y16700" s="20"/>
    </row>
    <row r="16701" spans="24:25">
      <c r="X16701" s="19"/>
      <c r="Y16701" s="20"/>
    </row>
    <row r="16702" spans="24:25">
      <c r="X16702" s="19"/>
      <c r="Y16702" s="20"/>
    </row>
    <row r="16703" spans="24:25">
      <c r="X16703" s="19"/>
      <c r="Y16703" s="20"/>
    </row>
    <row r="16704" spans="24:25">
      <c r="X16704" s="19"/>
      <c r="Y16704" s="20"/>
    </row>
    <row r="16705" spans="24:25">
      <c r="X16705" s="19"/>
      <c r="Y16705" s="20"/>
    </row>
    <row r="16706" spans="24:25">
      <c r="X16706" s="19"/>
      <c r="Y16706" s="20"/>
    </row>
    <row r="16707" spans="24:25">
      <c r="X16707" s="19"/>
      <c r="Y16707" s="20"/>
    </row>
    <row r="16708" spans="24:25">
      <c r="X16708" s="19"/>
      <c r="Y16708" s="20"/>
    </row>
    <row r="16709" spans="24:25">
      <c r="X16709" s="19"/>
      <c r="Y16709" s="20"/>
    </row>
    <row r="16710" spans="24:25">
      <c r="X16710" s="19"/>
      <c r="Y16710" s="20"/>
    </row>
    <row r="16711" spans="24:25">
      <c r="X16711" s="19"/>
      <c r="Y16711" s="20"/>
    </row>
    <row r="16712" spans="24:25">
      <c r="X16712" s="19"/>
      <c r="Y16712" s="20"/>
    </row>
    <row r="16713" spans="24:25">
      <c r="X16713" s="19"/>
      <c r="Y16713" s="20"/>
    </row>
    <row r="16714" spans="24:25">
      <c r="X16714" s="19"/>
      <c r="Y16714" s="20"/>
    </row>
    <row r="16715" spans="24:25">
      <c r="X16715" s="19"/>
      <c r="Y16715" s="20"/>
    </row>
    <row r="16716" spans="24:25">
      <c r="X16716" s="19"/>
      <c r="Y16716" s="20"/>
    </row>
    <row r="16717" spans="24:25">
      <c r="X16717" s="19"/>
      <c r="Y16717" s="20"/>
    </row>
    <row r="16718" spans="24:25">
      <c r="X16718" s="19"/>
      <c r="Y16718" s="20"/>
    </row>
    <row r="16719" spans="24:25">
      <c r="X16719" s="19"/>
      <c r="Y16719" s="20"/>
    </row>
    <row r="16720" spans="24:25">
      <c r="X16720" s="19"/>
      <c r="Y16720" s="20"/>
    </row>
    <row r="16721" spans="24:25">
      <c r="X16721" s="19"/>
      <c r="Y16721" s="20"/>
    </row>
    <row r="16722" spans="24:25">
      <c r="X16722" s="19"/>
      <c r="Y16722" s="20"/>
    </row>
    <row r="16723" spans="24:25">
      <c r="X16723" s="19"/>
      <c r="Y16723" s="20"/>
    </row>
    <row r="16724" spans="24:25">
      <c r="X16724" s="19"/>
      <c r="Y16724" s="20"/>
    </row>
    <row r="16725" spans="24:25">
      <c r="X16725" s="19"/>
      <c r="Y16725" s="20"/>
    </row>
    <row r="16726" spans="24:25">
      <c r="X16726" s="19"/>
      <c r="Y16726" s="20"/>
    </row>
    <row r="16727" spans="24:25">
      <c r="X16727" s="19"/>
      <c r="Y16727" s="20"/>
    </row>
    <row r="16728" spans="24:25">
      <c r="X16728" s="19"/>
      <c r="Y16728" s="20"/>
    </row>
    <row r="16729" spans="24:25">
      <c r="X16729" s="19"/>
      <c r="Y16729" s="20"/>
    </row>
    <row r="16730" spans="24:25">
      <c r="X16730" s="19"/>
      <c r="Y16730" s="20"/>
    </row>
    <row r="16731" spans="24:25">
      <c r="X16731" s="19"/>
      <c r="Y16731" s="20"/>
    </row>
    <row r="16732" spans="24:25">
      <c r="X16732" s="19"/>
      <c r="Y16732" s="20"/>
    </row>
    <row r="16733" spans="24:25">
      <c r="X16733" s="19"/>
      <c r="Y16733" s="20"/>
    </row>
    <row r="16734" spans="24:25">
      <c r="X16734" s="19"/>
      <c r="Y16734" s="20"/>
    </row>
    <row r="16735" spans="24:25">
      <c r="X16735" s="19"/>
      <c r="Y16735" s="20"/>
    </row>
    <row r="16736" spans="24:25">
      <c r="X16736" s="19"/>
      <c r="Y16736" s="20"/>
    </row>
    <row r="16737" spans="24:25">
      <c r="X16737" s="19"/>
      <c r="Y16737" s="20"/>
    </row>
    <row r="16738" spans="24:25">
      <c r="X16738" s="19"/>
      <c r="Y16738" s="20"/>
    </row>
    <row r="16739" spans="24:25">
      <c r="X16739" s="19"/>
      <c r="Y16739" s="20"/>
    </row>
    <row r="16740" spans="24:25">
      <c r="X16740" s="19"/>
      <c r="Y16740" s="20"/>
    </row>
    <row r="16741" spans="24:25">
      <c r="X16741" s="19"/>
      <c r="Y16741" s="20"/>
    </row>
    <row r="16742" spans="24:25">
      <c r="X16742" s="19"/>
      <c r="Y16742" s="20"/>
    </row>
    <row r="16743" spans="24:25">
      <c r="X16743" s="19"/>
      <c r="Y16743" s="20"/>
    </row>
    <row r="16744" spans="24:25">
      <c r="X16744" s="19"/>
      <c r="Y16744" s="20"/>
    </row>
    <row r="16745" spans="24:25">
      <c r="X16745" s="19"/>
      <c r="Y16745" s="20"/>
    </row>
    <row r="16746" spans="24:25">
      <c r="X16746" s="19"/>
      <c r="Y16746" s="20"/>
    </row>
    <row r="16747" spans="24:25">
      <c r="X16747" s="19"/>
      <c r="Y16747" s="20"/>
    </row>
    <row r="16748" spans="24:25">
      <c r="X16748" s="19"/>
      <c r="Y16748" s="20"/>
    </row>
    <row r="16749" spans="24:25">
      <c r="X16749" s="19"/>
      <c r="Y16749" s="20"/>
    </row>
    <row r="16750" spans="24:25">
      <c r="X16750" s="19"/>
      <c r="Y16750" s="20"/>
    </row>
    <row r="16751" spans="24:25">
      <c r="X16751" s="19"/>
      <c r="Y16751" s="20"/>
    </row>
    <row r="16752" spans="24:25">
      <c r="X16752" s="19"/>
      <c r="Y16752" s="20"/>
    </row>
    <row r="16753" spans="24:25">
      <c r="X16753" s="19"/>
      <c r="Y16753" s="20"/>
    </row>
    <row r="16754" spans="24:25">
      <c r="X16754" s="19"/>
      <c r="Y16754" s="20"/>
    </row>
    <row r="16755" spans="24:25">
      <c r="X16755" s="19"/>
      <c r="Y16755" s="20"/>
    </row>
    <row r="16756" spans="24:25">
      <c r="X16756" s="19"/>
      <c r="Y16756" s="20"/>
    </row>
    <row r="16757" spans="24:25">
      <c r="X16757" s="19"/>
      <c r="Y16757" s="20"/>
    </row>
    <row r="16758" spans="24:25">
      <c r="X16758" s="19"/>
      <c r="Y16758" s="20"/>
    </row>
    <row r="16759" spans="24:25">
      <c r="X16759" s="19"/>
      <c r="Y16759" s="20"/>
    </row>
    <row r="16760" spans="24:25">
      <c r="X16760" s="19"/>
      <c r="Y16760" s="20"/>
    </row>
    <row r="16761" spans="24:25">
      <c r="X16761" s="19"/>
      <c r="Y16761" s="20"/>
    </row>
    <row r="16762" spans="24:25">
      <c r="X16762" s="19"/>
      <c r="Y16762" s="20"/>
    </row>
    <row r="16763" spans="24:25">
      <c r="X16763" s="19"/>
      <c r="Y16763" s="20"/>
    </row>
    <row r="16764" spans="24:25">
      <c r="X16764" s="19"/>
      <c r="Y16764" s="20"/>
    </row>
    <row r="16765" spans="24:25">
      <c r="X16765" s="19"/>
      <c r="Y16765" s="20"/>
    </row>
    <row r="16766" spans="24:25">
      <c r="X16766" s="19"/>
      <c r="Y16766" s="20"/>
    </row>
    <row r="16767" spans="24:25">
      <c r="X16767" s="19"/>
      <c r="Y16767" s="20"/>
    </row>
    <row r="16768" spans="24:25">
      <c r="X16768" s="19"/>
      <c r="Y16768" s="20"/>
    </row>
    <row r="16769" spans="24:25">
      <c r="X16769" s="19"/>
      <c r="Y16769" s="20"/>
    </row>
    <row r="16770" spans="24:25">
      <c r="X16770" s="19"/>
      <c r="Y16770" s="20"/>
    </row>
    <row r="16771" spans="24:25">
      <c r="X16771" s="19"/>
      <c r="Y16771" s="20"/>
    </row>
    <row r="16772" spans="24:25">
      <c r="X16772" s="19"/>
      <c r="Y16772" s="20"/>
    </row>
    <row r="16773" spans="24:25">
      <c r="X16773" s="19"/>
      <c r="Y16773" s="20"/>
    </row>
    <row r="16774" spans="24:25">
      <c r="X16774" s="19"/>
      <c r="Y16774" s="20"/>
    </row>
    <row r="16775" spans="24:25">
      <c r="X16775" s="19"/>
      <c r="Y16775" s="20"/>
    </row>
    <row r="16776" spans="24:25">
      <c r="X16776" s="19"/>
      <c r="Y16776" s="20"/>
    </row>
    <row r="16777" spans="24:25">
      <c r="X16777" s="19"/>
      <c r="Y16777" s="20"/>
    </row>
    <row r="16778" spans="24:25">
      <c r="X16778" s="19"/>
      <c r="Y16778" s="20"/>
    </row>
    <row r="16779" spans="24:25">
      <c r="X16779" s="19"/>
      <c r="Y16779" s="20"/>
    </row>
    <row r="16780" spans="24:25">
      <c r="X16780" s="19"/>
      <c r="Y16780" s="20"/>
    </row>
    <row r="16781" spans="24:25">
      <c r="X16781" s="19"/>
      <c r="Y16781" s="20"/>
    </row>
    <row r="16782" spans="24:25">
      <c r="X16782" s="19"/>
      <c r="Y16782" s="20"/>
    </row>
    <row r="16783" spans="24:25">
      <c r="X16783" s="19"/>
      <c r="Y16783" s="20"/>
    </row>
    <row r="16784" spans="24:25">
      <c r="X16784" s="19"/>
      <c r="Y16784" s="20"/>
    </row>
    <row r="16785" spans="24:25">
      <c r="X16785" s="19"/>
      <c r="Y16785" s="20"/>
    </row>
    <row r="16786" spans="24:25">
      <c r="X16786" s="19"/>
      <c r="Y16786" s="20"/>
    </row>
    <row r="16787" spans="24:25">
      <c r="X16787" s="19"/>
      <c r="Y16787" s="20"/>
    </row>
    <row r="16788" spans="24:25">
      <c r="X16788" s="19"/>
      <c r="Y16788" s="20"/>
    </row>
    <row r="16789" spans="24:25">
      <c r="X16789" s="19"/>
      <c r="Y16789" s="20"/>
    </row>
    <row r="16790" spans="24:25">
      <c r="X16790" s="19"/>
      <c r="Y16790" s="20"/>
    </row>
    <row r="16791" spans="24:25">
      <c r="X16791" s="19"/>
      <c r="Y16791" s="20"/>
    </row>
    <row r="16792" spans="24:25">
      <c r="X16792" s="19"/>
      <c r="Y16792" s="20"/>
    </row>
    <row r="16793" spans="24:25">
      <c r="X16793" s="19"/>
      <c r="Y16793" s="20"/>
    </row>
    <row r="16794" spans="24:25">
      <c r="X16794" s="19"/>
      <c r="Y16794" s="20"/>
    </row>
    <row r="16795" spans="24:25">
      <c r="X16795" s="19"/>
      <c r="Y16795" s="20"/>
    </row>
    <row r="16796" spans="24:25">
      <c r="X16796" s="19"/>
      <c r="Y16796" s="20"/>
    </row>
    <row r="16797" spans="24:25">
      <c r="X16797" s="19"/>
      <c r="Y16797" s="20"/>
    </row>
    <row r="16798" spans="24:25">
      <c r="X16798" s="19"/>
      <c r="Y16798" s="20"/>
    </row>
    <row r="16799" spans="24:25">
      <c r="X16799" s="19"/>
      <c r="Y16799" s="20"/>
    </row>
    <row r="16800" spans="24:25">
      <c r="X16800" s="19"/>
      <c r="Y16800" s="20"/>
    </row>
    <row r="16801" spans="24:25">
      <c r="X16801" s="19"/>
      <c r="Y16801" s="20"/>
    </row>
    <row r="16802" spans="24:25">
      <c r="X16802" s="19"/>
      <c r="Y16802" s="20"/>
    </row>
    <row r="16803" spans="24:25">
      <c r="X16803" s="19"/>
      <c r="Y16803" s="20"/>
    </row>
    <row r="16804" spans="24:25">
      <c r="X16804" s="19"/>
      <c r="Y16804" s="20"/>
    </row>
    <row r="16805" spans="24:25">
      <c r="X16805" s="19"/>
      <c r="Y16805" s="20"/>
    </row>
    <row r="16806" spans="24:25">
      <c r="X16806" s="19"/>
      <c r="Y16806" s="20"/>
    </row>
    <row r="16807" spans="24:25">
      <c r="X16807" s="19"/>
      <c r="Y16807" s="20"/>
    </row>
    <row r="16808" spans="24:25">
      <c r="X16808" s="19"/>
      <c r="Y16808" s="20"/>
    </row>
    <row r="16809" spans="24:25">
      <c r="X16809" s="19"/>
      <c r="Y16809" s="20"/>
    </row>
    <row r="16810" spans="24:25">
      <c r="X16810" s="19"/>
      <c r="Y16810" s="20"/>
    </row>
    <row r="16811" spans="24:25">
      <c r="X16811" s="19"/>
      <c r="Y16811" s="20"/>
    </row>
    <row r="16812" spans="24:25">
      <c r="X16812" s="19"/>
      <c r="Y16812" s="20"/>
    </row>
    <row r="16813" spans="24:25">
      <c r="X16813" s="19"/>
      <c r="Y16813" s="20"/>
    </row>
    <row r="16814" spans="24:25">
      <c r="X16814" s="19"/>
      <c r="Y16814" s="20"/>
    </row>
    <row r="16815" spans="24:25">
      <c r="X16815" s="19"/>
      <c r="Y16815" s="20"/>
    </row>
    <row r="16816" spans="24:25">
      <c r="X16816" s="19"/>
      <c r="Y16816" s="20"/>
    </row>
    <row r="16817" spans="24:25">
      <c r="X16817" s="19"/>
      <c r="Y16817" s="20"/>
    </row>
    <row r="16818" spans="24:25">
      <c r="X16818" s="19"/>
      <c r="Y16818" s="20"/>
    </row>
    <row r="16819" spans="24:25">
      <c r="X16819" s="19"/>
      <c r="Y16819" s="20"/>
    </row>
    <row r="16820" spans="24:25">
      <c r="X16820" s="19"/>
      <c r="Y16820" s="20"/>
    </row>
    <row r="16821" spans="24:25">
      <c r="X16821" s="19"/>
      <c r="Y16821" s="20"/>
    </row>
    <row r="16822" spans="24:25">
      <c r="X16822" s="19"/>
      <c r="Y16822" s="20"/>
    </row>
    <row r="16823" spans="24:25">
      <c r="X16823" s="19"/>
      <c r="Y16823" s="20"/>
    </row>
    <row r="16824" spans="24:25">
      <c r="X16824" s="19"/>
      <c r="Y16824" s="20"/>
    </row>
    <row r="16825" spans="24:25">
      <c r="X16825" s="19"/>
      <c r="Y16825" s="20"/>
    </row>
    <row r="16826" spans="24:25">
      <c r="X16826" s="19"/>
      <c r="Y16826" s="20"/>
    </row>
    <row r="16827" spans="24:25">
      <c r="X16827" s="19"/>
      <c r="Y16827" s="20"/>
    </row>
    <row r="16828" spans="24:25">
      <c r="X16828" s="19"/>
      <c r="Y16828" s="20"/>
    </row>
    <row r="16829" spans="24:25">
      <c r="X16829" s="19"/>
      <c r="Y16829" s="20"/>
    </row>
    <row r="16830" spans="24:25">
      <c r="X16830" s="19"/>
      <c r="Y16830" s="20"/>
    </row>
    <row r="16831" spans="24:25">
      <c r="X16831" s="19"/>
      <c r="Y16831" s="20"/>
    </row>
    <row r="16832" spans="24:25">
      <c r="X16832" s="19"/>
      <c r="Y16832" s="20"/>
    </row>
    <row r="16833" spans="24:25">
      <c r="X16833" s="19"/>
      <c r="Y16833" s="20"/>
    </row>
    <row r="16834" spans="24:25">
      <c r="X16834" s="19"/>
      <c r="Y16834" s="20"/>
    </row>
    <row r="16835" spans="24:25">
      <c r="X16835" s="19"/>
      <c r="Y16835" s="20"/>
    </row>
    <row r="16836" spans="24:25">
      <c r="X16836" s="19"/>
      <c r="Y16836" s="20"/>
    </row>
    <row r="16837" spans="24:25">
      <c r="X16837" s="19"/>
      <c r="Y16837" s="20"/>
    </row>
    <row r="16838" spans="24:25">
      <c r="X16838" s="19"/>
      <c r="Y16838" s="20"/>
    </row>
    <row r="16839" spans="24:25">
      <c r="X16839" s="19"/>
      <c r="Y16839" s="20"/>
    </row>
    <row r="16840" spans="24:25">
      <c r="X16840" s="19"/>
      <c r="Y16840" s="20"/>
    </row>
    <row r="16841" spans="24:25">
      <c r="X16841" s="19"/>
      <c r="Y16841" s="20"/>
    </row>
    <row r="16842" spans="24:25">
      <c r="X16842" s="19"/>
      <c r="Y16842" s="20"/>
    </row>
    <row r="16843" spans="24:25">
      <c r="X16843" s="19"/>
      <c r="Y16843" s="20"/>
    </row>
    <row r="16844" spans="24:25">
      <c r="X16844" s="19"/>
      <c r="Y16844" s="20"/>
    </row>
    <row r="16845" spans="24:25">
      <c r="X16845" s="19"/>
      <c r="Y16845" s="20"/>
    </row>
    <row r="16846" spans="24:25">
      <c r="X16846" s="19"/>
      <c r="Y16846" s="20"/>
    </row>
    <row r="16847" spans="24:25">
      <c r="X16847" s="19"/>
      <c r="Y16847" s="20"/>
    </row>
    <row r="16848" spans="24:25">
      <c r="X16848" s="19"/>
      <c r="Y16848" s="20"/>
    </row>
    <row r="16849" spans="24:25">
      <c r="X16849" s="19"/>
      <c r="Y16849" s="20"/>
    </row>
    <row r="16850" spans="24:25">
      <c r="X16850" s="19"/>
      <c r="Y16850" s="20"/>
    </row>
    <row r="16851" spans="24:25">
      <c r="X16851" s="19"/>
      <c r="Y16851" s="20"/>
    </row>
    <row r="16852" spans="24:25">
      <c r="X16852" s="19"/>
      <c r="Y16852" s="20"/>
    </row>
    <row r="16853" spans="24:25">
      <c r="X16853" s="19"/>
      <c r="Y16853" s="20"/>
    </row>
    <row r="16854" spans="24:25">
      <c r="X16854" s="19"/>
      <c r="Y16854" s="20"/>
    </row>
    <row r="16855" spans="24:25">
      <c r="X16855" s="19"/>
      <c r="Y16855" s="20"/>
    </row>
    <row r="16856" spans="24:25">
      <c r="X16856" s="19"/>
      <c r="Y16856" s="20"/>
    </row>
    <row r="16857" spans="24:25">
      <c r="X16857" s="19"/>
      <c r="Y16857" s="20"/>
    </row>
    <row r="16858" spans="24:25">
      <c r="X16858" s="19"/>
      <c r="Y16858" s="20"/>
    </row>
    <row r="16859" spans="24:25">
      <c r="X16859" s="19"/>
      <c r="Y16859" s="20"/>
    </row>
    <row r="16860" spans="24:25">
      <c r="X16860" s="19"/>
      <c r="Y16860" s="20"/>
    </row>
    <row r="16861" spans="24:25">
      <c r="X16861" s="19"/>
      <c r="Y16861" s="20"/>
    </row>
    <row r="16862" spans="24:25">
      <c r="X16862" s="19"/>
      <c r="Y16862" s="20"/>
    </row>
    <row r="16863" spans="24:25">
      <c r="X16863" s="19"/>
      <c r="Y16863" s="20"/>
    </row>
    <row r="16864" spans="24:25">
      <c r="X16864" s="19"/>
      <c r="Y16864" s="20"/>
    </row>
    <row r="16865" spans="24:25">
      <c r="X16865" s="19"/>
      <c r="Y16865" s="20"/>
    </row>
    <row r="16866" spans="24:25">
      <c r="X16866" s="19"/>
      <c r="Y16866" s="20"/>
    </row>
    <row r="16867" spans="24:25">
      <c r="X16867" s="19"/>
      <c r="Y16867" s="20"/>
    </row>
    <row r="16868" spans="24:25">
      <c r="X16868" s="19"/>
      <c r="Y16868" s="20"/>
    </row>
    <row r="16869" spans="24:25">
      <c r="X16869" s="19"/>
      <c r="Y16869" s="20"/>
    </row>
    <row r="16870" spans="24:25">
      <c r="X16870" s="19"/>
      <c r="Y16870" s="20"/>
    </row>
    <row r="16871" spans="24:25">
      <c r="X16871" s="19"/>
      <c r="Y16871" s="20"/>
    </row>
    <row r="16872" spans="24:25">
      <c r="X16872" s="19"/>
      <c r="Y16872" s="20"/>
    </row>
    <row r="16873" spans="24:25">
      <c r="X16873" s="19"/>
      <c r="Y16873" s="20"/>
    </row>
    <row r="16874" spans="24:25">
      <c r="X16874" s="19"/>
      <c r="Y16874" s="20"/>
    </row>
    <row r="16875" spans="24:25">
      <c r="X16875" s="19"/>
      <c r="Y16875" s="20"/>
    </row>
    <row r="16876" spans="24:25">
      <c r="X16876" s="19"/>
      <c r="Y16876" s="20"/>
    </row>
    <row r="16877" spans="24:25">
      <c r="X16877" s="19"/>
      <c r="Y16877" s="20"/>
    </row>
    <row r="16878" spans="24:25">
      <c r="X16878" s="19"/>
      <c r="Y16878" s="20"/>
    </row>
    <row r="16879" spans="24:25">
      <c r="X16879" s="19"/>
      <c r="Y16879" s="20"/>
    </row>
    <row r="16880" spans="24:25">
      <c r="X16880" s="19"/>
      <c r="Y16880" s="20"/>
    </row>
    <row r="16881" spans="24:25">
      <c r="X16881" s="19"/>
      <c r="Y16881" s="20"/>
    </row>
    <row r="16882" spans="24:25">
      <c r="X16882" s="19"/>
      <c r="Y16882" s="20"/>
    </row>
    <row r="16883" spans="24:25">
      <c r="X16883" s="19"/>
      <c r="Y16883" s="20"/>
    </row>
    <row r="16884" spans="24:25">
      <c r="X16884" s="19"/>
      <c r="Y16884" s="20"/>
    </row>
    <row r="16885" spans="24:25">
      <c r="X16885" s="19"/>
      <c r="Y16885" s="20"/>
    </row>
    <row r="16886" spans="24:25">
      <c r="X16886" s="19"/>
      <c r="Y16886" s="20"/>
    </row>
    <row r="16887" spans="24:25">
      <c r="X16887" s="19"/>
      <c r="Y16887" s="20"/>
    </row>
    <row r="16888" spans="24:25">
      <c r="X16888" s="19"/>
      <c r="Y16888" s="20"/>
    </row>
    <row r="16889" spans="24:25">
      <c r="X16889" s="19"/>
      <c r="Y16889" s="20"/>
    </row>
    <row r="16890" spans="24:25">
      <c r="X16890" s="19"/>
      <c r="Y16890" s="20"/>
    </row>
    <row r="16891" spans="24:25">
      <c r="X16891" s="19"/>
      <c r="Y16891" s="20"/>
    </row>
    <row r="16892" spans="24:25">
      <c r="X16892" s="19"/>
      <c r="Y16892" s="20"/>
    </row>
    <row r="16893" spans="24:25">
      <c r="X16893" s="19"/>
      <c r="Y16893" s="20"/>
    </row>
    <row r="16894" spans="24:25">
      <c r="X16894" s="19"/>
      <c r="Y16894" s="20"/>
    </row>
    <row r="16895" spans="24:25">
      <c r="X16895" s="19"/>
      <c r="Y16895" s="20"/>
    </row>
    <row r="16896" spans="24:25">
      <c r="X16896" s="19"/>
      <c r="Y16896" s="20"/>
    </row>
    <row r="16897" spans="24:25">
      <c r="X16897" s="19"/>
      <c r="Y16897" s="20"/>
    </row>
    <row r="16898" spans="24:25">
      <c r="X16898" s="19"/>
      <c r="Y16898" s="20"/>
    </row>
    <row r="16899" spans="24:25">
      <c r="X16899" s="19"/>
      <c r="Y16899" s="20"/>
    </row>
    <row r="16900" spans="24:25">
      <c r="X16900" s="19"/>
      <c r="Y16900" s="20"/>
    </row>
    <row r="16901" spans="24:25">
      <c r="X16901" s="19"/>
      <c r="Y16901" s="20"/>
    </row>
    <row r="16902" spans="24:25">
      <c r="X16902" s="19"/>
      <c r="Y16902" s="20"/>
    </row>
    <row r="16903" spans="24:25">
      <c r="X16903" s="19"/>
      <c r="Y16903" s="20"/>
    </row>
    <row r="16904" spans="24:25">
      <c r="X16904" s="19"/>
      <c r="Y16904" s="20"/>
    </row>
    <row r="16905" spans="24:25">
      <c r="X16905" s="19"/>
      <c r="Y16905" s="20"/>
    </row>
    <row r="16906" spans="24:25">
      <c r="X16906" s="19"/>
      <c r="Y16906" s="20"/>
    </row>
    <row r="16907" spans="24:25">
      <c r="X16907" s="19"/>
      <c r="Y16907" s="20"/>
    </row>
    <row r="16908" spans="24:25">
      <c r="X16908" s="19"/>
      <c r="Y16908" s="20"/>
    </row>
    <row r="16909" spans="24:25">
      <c r="X16909" s="19"/>
      <c r="Y16909" s="20"/>
    </row>
    <row r="16910" spans="24:25">
      <c r="X16910" s="19"/>
      <c r="Y16910" s="20"/>
    </row>
    <row r="16911" spans="24:25">
      <c r="X16911" s="19"/>
      <c r="Y16911" s="20"/>
    </row>
    <row r="16912" spans="24:25">
      <c r="X16912" s="19"/>
      <c r="Y16912" s="20"/>
    </row>
    <row r="16913" spans="24:25">
      <c r="X16913" s="19"/>
      <c r="Y16913" s="20"/>
    </row>
    <row r="16914" spans="24:25">
      <c r="X16914" s="19"/>
      <c r="Y16914" s="20"/>
    </row>
    <row r="16915" spans="24:25">
      <c r="X16915" s="19"/>
      <c r="Y16915" s="20"/>
    </row>
    <row r="16916" spans="24:25">
      <c r="X16916" s="19"/>
      <c r="Y16916" s="20"/>
    </row>
    <row r="16917" spans="24:25">
      <c r="X16917" s="19"/>
      <c r="Y16917" s="20"/>
    </row>
    <row r="16918" spans="24:25">
      <c r="X16918" s="19"/>
      <c r="Y16918" s="20"/>
    </row>
    <row r="16919" spans="24:25">
      <c r="X16919" s="19"/>
      <c r="Y16919" s="20"/>
    </row>
    <row r="16920" spans="24:25">
      <c r="X16920" s="19"/>
      <c r="Y16920" s="20"/>
    </row>
    <row r="16921" spans="24:25">
      <c r="X16921" s="19"/>
      <c r="Y16921" s="20"/>
    </row>
    <row r="16922" spans="24:25">
      <c r="X16922" s="19"/>
      <c r="Y16922" s="20"/>
    </row>
    <row r="16923" spans="24:25">
      <c r="X16923" s="19"/>
      <c r="Y16923" s="20"/>
    </row>
    <row r="16924" spans="24:25">
      <c r="X16924" s="19"/>
      <c r="Y16924" s="20"/>
    </row>
    <row r="16925" spans="24:25">
      <c r="X16925" s="19"/>
      <c r="Y16925" s="20"/>
    </row>
    <row r="16926" spans="24:25">
      <c r="X16926" s="19"/>
      <c r="Y16926" s="20"/>
    </row>
    <row r="16927" spans="24:25">
      <c r="X16927" s="19"/>
      <c r="Y16927" s="20"/>
    </row>
    <row r="16928" spans="24:25">
      <c r="X16928" s="19"/>
      <c r="Y16928" s="20"/>
    </row>
    <row r="16929" spans="24:25">
      <c r="X16929" s="19"/>
      <c r="Y16929" s="20"/>
    </row>
    <row r="16930" spans="24:25">
      <c r="X16930" s="19"/>
      <c r="Y16930" s="20"/>
    </row>
    <row r="16931" spans="24:25">
      <c r="X16931" s="19"/>
      <c r="Y16931" s="20"/>
    </row>
    <row r="16932" spans="24:25">
      <c r="X16932" s="19"/>
      <c r="Y16932" s="20"/>
    </row>
    <row r="16933" spans="24:25">
      <c r="X16933" s="19"/>
      <c r="Y16933" s="20"/>
    </row>
    <row r="16934" spans="24:25">
      <c r="X16934" s="19"/>
      <c r="Y16934" s="20"/>
    </row>
    <row r="16935" spans="24:25">
      <c r="X16935" s="19"/>
      <c r="Y16935" s="20"/>
    </row>
    <row r="16936" spans="24:25">
      <c r="X16936" s="19"/>
      <c r="Y16936" s="20"/>
    </row>
    <row r="16937" spans="24:25">
      <c r="X16937" s="19"/>
      <c r="Y16937" s="20"/>
    </row>
    <row r="16938" spans="24:25">
      <c r="X16938" s="19"/>
      <c r="Y16938" s="20"/>
    </row>
    <row r="16939" spans="24:25">
      <c r="X16939" s="19"/>
      <c r="Y16939" s="20"/>
    </row>
    <row r="16940" spans="24:25">
      <c r="X16940" s="19"/>
      <c r="Y16940" s="20"/>
    </row>
    <row r="16941" spans="24:25">
      <c r="X16941" s="19"/>
      <c r="Y16941" s="20"/>
    </row>
    <row r="16942" spans="24:25">
      <c r="X16942" s="19"/>
      <c r="Y16942" s="20"/>
    </row>
    <row r="16943" spans="24:25">
      <c r="X16943" s="19"/>
      <c r="Y16943" s="20"/>
    </row>
    <row r="16944" spans="24:25">
      <c r="X16944" s="19"/>
      <c r="Y16944" s="20"/>
    </row>
    <row r="16945" spans="24:25">
      <c r="X16945" s="19"/>
      <c r="Y16945" s="20"/>
    </row>
    <row r="16946" spans="24:25">
      <c r="X16946" s="19"/>
      <c r="Y16946" s="20"/>
    </row>
    <row r="16947" spans="24:25">
      <c r="X16947" s="19"/>
      <c r="Y16947" s="20"/>
    </row>
    <row r="16948" spans="24:25">
      <c r="X16948" s="19"/>
      <c r="Y16948" s="20"/>
    </row>
    <row r="16949" spans="24:25">
      <c r="X16949" s="19"/>
      <c r="Y16949" s="20"/>
    </row>
    <row r="16950" spans="24:25">
      <c r="X16950" s="19"/>
      <c r="Y16950" s="20"/>
    </row>
    <row r="16951" spans="24:25">
      <c r="X16951" s="19"/>
      <c r="Y16951" s="20"/>
    </row>
    <row r="16952" spans="24:25">
      <c r="X16952" s="19"/>
      <c r="Y16952" s="20"/>
    </row>
    <row r="16953" spans="24:25">
      <c r="X16953" s="19"/>
      <c r="Y16953" s="20"/>
    </row>
    <row r="16954" spans="24:25">
      <c r="X16954" s="19"/>
      <c r="Y16954" s="20"/>
    </row>
    <row r="16955" spans="24:25">
      <c r="X16955" s="19"/>
      <c r="Y16955" s="20"/>
    </row>
    <row r="16956" spans="24:25">
      <c r="X16956" s="19"/>
      <c r="Y16956" s="20"/>
    </row>
    <row r="16957" spans="24:25">
      <c r="X16957" s="19"/>
      <c r="Y16957" s="20"/>
    </row>
    <row r="16958" spans="24:25">
      <c r="X16958" s="19"/>
      <c r="Y16958" s="20"/>
    </row>
    <row r="16959" spans="24:25">
      <c r="X16959" s="19"/>
      <c r="Y16959" s="20"/>
    </row>
    <row r="16960" spans="24:25">
      <c r="X16960" s="19"/>
      <c r="Y16960" s="20"/>
    </row>
    <row r="16961" spans="24:25">
      <c r="X16961" s="19"/>
      <c r="Y16961" s="20"/>
    </row>
    <row r="16962" spans="24:25">
      <c r="X16962" s="19"/>
      <c r="Y16962" s="20"/>
    </row>
    <row r="16963" spans="24:25">
      <c r="X16963" s="19"/>
      <c r="Y16963" s="20"/>
    </row>
    <row r="16964" spans="24:25">
      <c r="X16964" s="19"/>
      <c r="Y16964" s="20"/>
    </row>
    <row r="16965" spans="24:25">
      <c r="X16965" s="19"/>
      <c r="Y16965" s="20"/>
    </row>
    <row r="16966" spans="24:25">
      <c r="X16966" s="19"/>
      <c r="Y16966" s="20"/>
    </row>
    <row r="16967" spans="24:25">
      <c r="X16967" s="19"/>
      <c r="Y16967" s="20"/>
    </row>
    <row r="16968" spans="24:25">
      <c r="X16968" s="19"/>
      <c r="Y16968" s="20"/>
    </row>
    <row r="16969" spans="24:25">
      <c r="X16969" s="19"/>
      <c r="Y16969" s="20"/>
    </row>
    <row r="16970" spans="24:25">
      <c r="X16970" s="19"/>
      <c r="Y16970" s="20"/>
    </row>
    <row r="16971" spans="24:25">
      <c r="X16971" s="19"/>
      <c r="Y16971" s="20"/>
    </row>
    <row r="16972" spans="24:25">
      <c r="X16972" s="19"/>
      <c r="Y16972" s="20"/>
    </row>
    <row r="16973" spans="24:25">
      <c r="X16973" s="19"/>
      <c r="Y16973" s="20"/>
    </row>
    <row r="16974" spans="24:25">
      <c r="X16974" s="19"/>
      <c r="Y16974" s="20"/>
    </row>
    <row r="16975" spans="24:25">
      <c r="X16975" s="19"/>
      <c r="Y16975" s="20"/>
    </row>
    <row r="16976" spans="24:25">
      <c r="X16976" s="19"/>
      <c r="Y16976" s="20"/>
    </row>
    <row r="16977" spans="24:25">
      <c r="X16977" s="19"/>
      <c r="Y16977" s="20"/>
    </row>
    <row r="16978" spans="24:25">
      <c r="X16978" s="19"/>
      <c r="Y16978" s="20"/>
    </row>
    <row r="16979" spans="24:25">
      <c r="X16979" s="19"/>
      <c r="Y16979" s="20"/>
    </row>
    <row r="16980" spans="24:25">
      <c r="X16980" s="19"/>
      <c r="Y16980" s="20"/>
    </row>
    <row r="16981" spans="24:25">
      <c r="X16981" s="19"/>
      <c r="Y16981" s="20"/>
    </row>
    <row r="16982" spans="24:25">
      <c r="X16982" s="19"/>
      <c r="Y16982" s="20"/>
    </row>
    <row r="16983" spans="24:25">
      <c r="X16983" s="19"/>
      <c r="Y16983" s="20"/>
    </row>
    <row r="16984" spans="24:25">
      <c r="X16984" s="19"/>
      <c r="Y16984" s="20"/>
    </row>
    <row r="16985" spans="24:25">
      <c r="X16985" s="19"/>
      <c r="Y16985" s="20"/>
    </row>
    <row r="16986" spans="24:25">
      <c r="X16986" s="19"/>
      <c r="Y16986" s="20"/>
    </row>
    <row r="16987" spans="24:25">
      <c r="X16987" s="19"/>
      <c r="Y16987" s="20"/>
    </row>
    <row r="16988" spans="24:25">
      <c r="X16988" s="19"/>
      <c r="Y16988" s="20"/>
    </row>
    <row r="16989" spans="24:25">
      <c r="X16989" s="19"/>
      <c r="Y16989" s="20"/>
    </row>
    <row r="16990" spans="24:25">
      <c r="X16990" s="19"/>
      <c r="Y16990" s="20"/>
    </row>
    <row r="16991" spans="24:25">
      <c r="X16991" s="19"/>
      <c r="Y16991" s="20"/>
    </row>
    <row r="16992" spans="24:25">
      <c r="X16992" s="19"/>
      <c r="Y16992" s="20"/>
    </row>
    <row r="16993" spans="24:25">
      <c r="X16993" s="19"/>
      <c r="Y16993" s="20"/>
    </row>
    <row r="16994" spans="24:25">
      <c r="X16994" s="19"/>
      <c r="Y16994" s="20"/>
    </row>
    <row r="16995" spans="24:25">
      <c r="X16995" s="19"/>
      <c r="Y16995" s="20"/>
    </row>
    <row r="16996" spans="24:25">
      <c r="X16996" s="19"/>
      <c r="Y16996" s="20"/>
    </row>
    <row r="16997" spans="24:25">
      <c r="X16997" s="19"/>
      <c r="Y16997" s="20"/>
    </row>
    <row r="16998" spans="24:25">
      <c r="X16998" s="19"/>
      <c r="Y16998" s="20"/>
    </row>
    <row r="16999" spans="24:25">
      <c r="X16999" s="19"/>
      <c r="Y16999" s="20"/>
    </row>
    <row r="17000" spans="24:25">
      <c r="X17000" s="19"/>
      <c r="Y17000" s="20"/>
    </row>
    <row r="17001" spans="24:25">
      <c r="X17001" s="19"/>
      <c r="Y17001" s="20"/>
    </row>
    <row r="17002" spans="24:25">
      <c r="X17002" s="19"/>
      <c r="Y17002" s="20"/>
    </row>
    <row r="17003" spans="24:25">
      <c r="X17003" s="19"/>
      <c r="Y17003" s="20"/>
    </row>
    <row r="17004" spans="24:25">
      <c r="X17004" s="19"/>
      <c r="Y17004" s="20"/>
    </row>
    <row r="17005" spans="24:25">
      <c r="X17005" s="19"/>
      <c r="Y17005" s="20"/>
    </row>
    <row r="17006" spans="24:25">
      <c r="X17006" s="19"/>
      <c r="Y17006" s="20"/>
    </row>
    <row r="17007" spans="24:25">
      <c r="X17007" s="19"/>
      <c r="Y17007" s="20"/>
    </row>
    <row r="17008" spans="24:25">
      <c r="X17008" s="19"/>
      <c r="Y17008" s="20"/>
    </row>
    <row r="17009" spans="24:25">
      <c r="X17009" s="19"/>
      <c r="Y17009" s="20"/>
    </row>
    <row r="17010" spans="24:25">
      <c r="X17010" s="19"/>
      <c r="Y17010" s="20"/>
    </row>
    <row r="17011" spans="24:25">
      <c r="X17011" s="19"/>
      <c r="Y17011" s="20"/>
    </row>
    <row r="17012" spans="24:25">
      <c r="X17012" s="19"/>
      <c r="Y17012" s="20"/>
    </row>
    <row r="17013" spans="24:25">
      <c r="X17013" s="19"/>
      <c r="Y17013" s="20"/>
    </row>
    <row r="17014" spans="24:25">
      <c r="X17014" s="19"/>
      <c r="Y17014" s="20"/>
    </row>
    <row r="17015" spans="24:25">
      <c r="X17015" s="19"/>
      <c r="Y17015" s="20"/>
    </row>
    <row r="17016" spans="24:25">
      <c r="X17016" s="19"/>
      <c r="Y17016" s="20"/>
    </row>
    <row r="17017" spans="24:25">
      <c r="X17017" s="19"/>
      <c r="Y17017" s="20"/>
    </row>
    <row r="17018" spans="24:25">
      <c r="X17018" s="19"/>
      <c r="Y17018" s="20"/>
    </row>
    <row r="17019" spans="24:25">
      <c r="X17019" s="19"/>
      <c r="Y17019" s="20"/>
    </row>
    <row r="17020" spans="24:25">
      <c r="X17020" s="19"/>
      <c r="Y17020" s="20"/>
    </row>
    <row r="17021" spans="24:25">
      <c r="X17021" s="19"/>
      <c r="Y17021" s="20"/>
    </row>
    <row r="17022" spans="24:25">
      <c r="X17022" s="19"/>
      <c r="Y17022" s="20"/>
    </row>
    <row r="17023" spans="24:25">
      <c r="X17023" s="19"/>
      <c r="Y17023" s="20"/>
    </row>
    <row r="17024" spans="24:25">
      <c r="X17024" s="19"/>
      <c r="Y17024" s="20"/>
    </row>
    <row r="17025" spans="24:25">
      <c r="X17025" s="19"/>
      <c r="Y17025" s="20"/>
    </row>
    <row r="17026" spans="24:25">
      <c r="X17026" s="19"/>
      <c r="Y17026" s="20"/>
    </row>
    <row r="17027" spans="24:25">
      <c r="X17027" s="19"/>
      <c r="Y17027" s="20"/>
    </row>
    <row r="17028" spans="24:25">
      <c r="X17028" s="19"/>
      <c r="Y17028" s="20"/>
    </row>
    <row r="17029" spans="24:25">
      <c r="X17029" s="19"/>
      <c r="Y17029" s="20"/>
    </row>
    <row r="17030" spans="24:25">
      <c r="X17030" s="19"/>
      <c r="Y17030" s="20"/>
    </row>
    <row r="17031" spans="24:25">
      <c r="X17031" s="19"/>
      <c r="Y17031" s="20"/>
    </row>
    <row r="17032" spans="24:25">
      <c r="X17032" s="19"/>
      <c r="Y17032" s="20"/>
    </row>
    <row r="17033" spans="24:25">
      <c r="X17033" s="19"/>
      <c r="Y17033" s="20"/>
    </row>
    <row r="17034" spans="24:25">
      <c r="X17034" s="19"/>
      <c r="Y17034" s="20"/>
    </row>
    <row r="17035" spans="24:25">
      <c r="X17035" s="19"/>
      <c r="Y17035" s="20"/>
    </row>
    <row r="17036" spans="24:25">
      <c r="X17036" s="19"/>
      <c r="Y17036" s="20"/>
    </row>
    <row r="17037" spans="24:25">
      <c r="X17037" s="19"/>
      <c r="Y17037" s="20"/>
    </row>
    <row r="17038" spans="24:25">
      <c r="X17038" s="19"/>
      <c r="Y17038" s="20"/>
    </row>
    <row r="17039" spans="24:25">
      <c r="X17039" s="19"/>
      <c r="Y17039" s="20"/>
    </row>
    <row r="17040" spans="24:25">
      <c r="X17040" s="19"/>
      <c r="Y17040" s="20"/>
    </row>
    <row r="17041" spans="24:25">
      <c r="X17041" s="19"/>
      <c r="Y17041" s="20"/>
    </row>
    <row r="17042" spans="24:25">
      <c r="X17042" s="19"/>
      <c r="Y17042" s="20"/>
    </row>
    <row r="17043" spans="24:25">
      <c r="X17043" s="19"/>
      <c r="Y17043" s="20"/>
    </row>
    <row r="17044" spans="24:25">
      <c r="X17044" s="19"/>
      <c r="Y17044" s="20"/>
    </row>
    <row r="17045" spans="24:25">
      <c r="X17045" s="19"/>
      <c r="Y17045" s="20"/>
    </row>
    <row r="17046" spans="24:25">
      <c r="X17046" s="19"/>
      <c r="Y17046" s="20"/>
    </row>
    <row r="17047" spans="24:25">
      <c r="X17047" s="19"/>
      <c r="Y17047" s="20"/>
    </row>
    <row r="17048" spans="24:25">
      <c r="X17048" s="19"/>
      <c r="Y17048" s="20"/>
    </row>
    <row r="17049" spans="24:25">
      <c r="X17049" s="19"/>
      <c r="Y17049" s="20"/>
    </row>
    <row r="17050" spans="24:25">
      <c r="X17050" s="19"/>
      <c r="Y17050" s="20"/>
    </row>
    <row r="17051" spans="24:25">
      <c r="X17051" s="19"/>
      <c r="Y17051" s="20"/>
    </row>
    <row r="17052" spans="24:25">
      <c r="X17052" s="19"/>
      <c r="Y17052" s="20"/>
    </row>
    <row r="17053" spans="24:25">
      <c r="X17053" s="19"/>
      <c r="Y17053" s="20"/>
    </row>
    <row r="17054" spans="24:25">
      <c r="X17054" s="19"/>
      <c r="Y17054" s="20"/>
    </row>
    <row r="17055" spans="24:25">
      <c r="X17055" s="19"/>
      <c r="Y17055" s="20"/>
    </row>
    <row r="17056" spans="24:25">
      <c r="X17056" s="19"/>
      <c r="Y17056" s="20"/>
    </row>
    <row r="17057" spans="24:25">
      <c r="X17057" s="19"/>
      <c r="Y17057" s="20"/>
    </row>
    <row r="17058" spans="24:25">
      <c r="X17058" s="19"/>
      <c r="Y17058" s="20"/>
    </row>
    <row r="17059" spans="24:25">
      <c r="X17059" s="19"/>
      <c r="Y17059" s="20"/>
    </row>
    <row r="17060" spans="24:25">
      <c r="X17060" s="19"/>
      <c r="Y17060" s="20"/>
    </row>
    <row r="17061" spans="24:25">
      <c r="X17061" s="19"/>
      <c r="Y17061" s="20"/>
    </row>
    <row r="17062" spans="24:25">
      <c r="X17062" s="19"/>
      <c r="Y17062" s="20"/>
    </row>
    <row r="17063" spans="24:25">
      <c r="X17063" s="19"/>
      <c r="Y17063" s="20"/>
    </row>
    <row r="17064" spans="24:25">
      <c r="X17064" s="19"/>
      <c r="Y17064" s="20"/>
    </row>
    <row r="17065" spans="24:25">
      <c r="X17065" s="19"/>
      <c r="Y17065" s="20"/>
    </row>
    <row r="17066" spans="24:25">
      <c r="X17066" s="19"/>
      <c r="Y17066" s="20"/>
    </row>
    <row r="17067" spans="24:25">
      <c r="X17067" s="19"/>
      <c r="Y17067" s="20"/>
    </row>
    <row r="17068" spans="24:25">
      <c r="X17068" s="19"/>
      <c r="Y17068" s="20"/>
    </row>
    <row r="17069" spans="24:25">
      <c r="X17069" s="19"/>
      <c r="Y17069" s="20"/>
    </row>
    <row r="17070" spans="24:25">
      <c r="X17070" s="19"/>
      <c r="Y17070" s="20"/>
    </row>
    <row r="17071" spans="24:25">
      <c r="X17071" s="19"/>
      <c r="Y17071" s="20"/>
    </row>
    <row r="17072" spans="24:25">
      <c r="X17072" s="19"/>
      <c r="Y17072" s="20"/>
    </row>
    <row r="17073" spans="24:25">
      <c r="X17073" s="19"/>
      <c r="Y17073" s="20"/>
    </row>
    <row r="17074" spans="24:25">
      <c r="X17074" s="19"/>
      <c r="Y17074" s="20"/>
    </row>
    <row r="17075" spans="24:25">
      <c r="X17075" s="19"/>
      <c r="Y17075" s="20"/>
    </row>
    <row r="17076" spans="24:25">
      <c r="X17076" s="19"/>
      <c r="Y17076" s="20"/>
    </row>
    <row r="17077" spans="24:25">
      <c r="X17077" s="19"/>
      <c r="Y17077" s="20"/>
    </row>
    <row r="17078" spans="24:25">
      <c r="X17078" s="19"/>
      <c r="Y17078" s="20"/>
    </row>
    <row r="17079" spans="24:25">
      <c r="X17079" s="19"/>
      <c r="Y17079" s="20"/>
    </row>
    <row r="17080" spans="24:25">
      <c r="X17080" s="19"/>
      <c r="Y17080" s="20"/>
    </row>
    <row r="17081" spans="24:25">
      <c r="X17081" s="19"/>
      <c r="Y17081" s="20"/>
    </row>
    <row r="17082" spans="24:25">
      <c r="X17082" s="19"/>
      <c r="Y17082" s="20"/>
    </row>
    <row r="17083" spans="24:25">
      <c r="X17083" s="19"/>
      <c r="Y17083" s="20"/>
    </row>
    <row r="17084" spans="24:25">
      <c r="X17084" s="19"/>
      <c r="Y17084" s="20"/>
    </row>
    <row r="17085" spans="24:25">
      <c r="X17085" s="19"/>
      <c r="Y17085" s="20"/>
    </row>
    <row r="17086" spans="24:25">
      <c r="X17086" s="19"/>
      <c r="Y17086" s="20"/>
    </row>
    <row r="17087" spans="24:25">
      <c r="X17087" s="19"/>
      <c r="Y17087" s="20"/>
    </row>
    <row r="17088" spans="24:25">
      <c r="X17088" s="19"/>
      <c r="Y17088" s="20"/>
    </row>
    <row r="17089" spans="24:25">
      <c r="X17089" s="19"/>
      <c r="Y17089" s="20"/>
    </row>
    <row r="17090" spans="24:25">
      <c r="X17090" s="19"/>
      <c r="Y17090" s="20"/>
    </row>
    <row r="17091" spans="24:25">
      <c r="X17091" s="19"/>
      <c r="Y17091" s="20"/>
    </row>
    <row r="17092" spans="24:25">
      <c r="X17092" s="19"/>
      <c r="Y17092" s="20"/>
    </row>
    <row r="17093" spans="24:25">
      <c r="X17093" s="19"/>
      <c r="Y17093" s="20"/>
    </row>
    <row r="17094" spans="24:25">
      <c r="X17094" s="19"/>
      <c r="Y17094" s="20"/>
    </row>
    <row r="17095" spans="24:25">
      <c r="X17095" s="19"/>
      <c r="Y17095" s="20"/>
    </row>
    <row r="17096" spans="24:25">
      <c r="X17096" s="19"/>
      <c r="Y17096" s="20"/>
    </row>
    <row r="17097" spans="24:25">
      <c r="X17097" s="19"/>
      <c r="Y17097" s="20"/>
    </row>
    <row r="17098" spans="24:25">
      <c r="X17098" s="19"/>
      <c r="Y17098" s="20"/>
    </row>
    <row r="17099" spans="24:25">
      <c r="X17099" s="19"/>
      <c r="Y17099" s="20"/>
    </row>
    <row r="17100" spans="24:25">
      <c r="X17100" s="19"/>
      <c r="Y17100" s="20"/>
    </row>
    <row r="17101" spans="24:25">
      <c r="X17101" s="19"/>
      <c r="Y17101" s="20"/>
    </row>
    <row r="17102" spans="24:25">
      <c r="X17102" s="19"/>
      <c r="Y17102" s="20"/>
    </row>
    <row r="17103" spans="24:25">
      <c r="X17103" s="19"/>
      <c r="Y17103" s="20"/>
    </row>
    <row r="17104" spans="24:25">
      <c r="X17104" s="19"/>
      <c r="Y17104" s="20"/>
    </row>
    <row r="17105" spans="24:25">
      <c r="X17105" s="19"/>
      <c r="Y17105" s="20"/>
    </row>
    <row r="17106" spans="24:25">
      <c r="X17106" s="19"/>
      <c r="Y17106" s="20"/>
    </row>
    <row r="17107" spans="24:25">
      <c r="X17107" s="19"/>
      <c r="Y17107" s="20"/>
    </row>
    <row r="17108" spans="24:25">
      <c r="X17108" s="19"/>
      <c r="Y17108" s="20"/>
    </row>
    <row r="17109" spans="24:25">
      <c r="X17109" s="19"/>
      <c r="Y17109" s="20"/>
    </row>
    <row r="17110" spans="24:25">
      <c r="X17110" s="19"/>
      <c r="Y17110" s="20"/>
    </row>
    <row r="17111" spans="24:25">
      <c r="X17111" s="19"/>
      <c r="Y17111" s="20"/>
    </row>
    <row r="17112" spans="24:25">
      <c r="X17112" s="19"/>
      <c r="Y17112" s="20"/>
    </row>
    <row r="17113" spans="24:25">
      <c r="X17113" s="19"/>
      <c r="Y17113" s="20"/>
    </row>
    <row r="17114" spans="24:25">
      <c r="X17114" s="19"/>
      <c r="Y17114" s="20"/>
    </row>
    <row r="17115" spans="24:25">
      <c r="X17115" s="19"/>
      <c r="Y17115" s="20"/>
    </row>
    <row r="17116" spans="24:25">
      <c r="X17116" s="19"/>
      <c r="Y17116" s="20"/>
    </row>
    <row r="17117" spans="24:25">
      <c r="X17117" s="19"/>
      <c r="Y17117" s="20"/>
    </row>
    <row r="17118" spans="24:25">
      <c r="X17118" s="19"/>
      <c r="Y17118" s="20"/>
    </row>
    <row r="17119" spans="24:25">
      <c r="X17119" s="19"/>
      <c r="Y17119" s="20"/>
    </row>
    <row r="17120" spans="24:25">
      <c r="X17120" s="19"/>
      <c r="Y17120" s="20"/>
    </row>
    <row r="17121" spans="24:25">
      <c r="X17121" s="19"/>
      <c r="Y17121" s="20"/>
    </row>
    <row r="17122" spans="24:25">
      <c r="X17122" s="19"/>
      <c r="Y17122" s="20"/>
    </row>
    <row r="17123" spans="24:25">
      <c r="X17123" s="19"/>
      <c r="Y17123" s="20"/>
    </row>
    <row r="17124" spans="24:25">
      <c r="X17124" s="19"/>
      <c r="Y17124" s="20"/>
    </row>
    <row r="17125" spans="24:25">
      <c r="X17125" s="19"/>
      <c r="Y17125" s="20"/>
    </row>
    <row r="17126" spans="24:25">
      <c r="X17126" s="19"/>
      <c r="Y17126" s="20"/>
    </row>
    <row r="17127" spans="24:25">
      <c r="X17127" s="19"/>
      <c r="Y17127" s="20"/>
    </row>
    <row r="17128" spans="24:25">
      <c r="X17128" s="19"/>
      <c r="Y17128" s="20"/>
    </row>
    <row r="17129" spans="24:25">
      <c r="X17129" s="19"/>
      <c r="Y17129" s="20"/>
    </row>
    <row r="17130" spans="24:25">
      <c r="X17130" s="19"/>
      <c r="Y17130" s="20"/>
    </row>
    <row r="17131" spans="24:25">
      <c r="X17131" s="19"/>
      <c r="Y17131" s="20"/>
    </row>
    <row r="17132" spans="24:25">
      <c r="X17132" s="19"/>
      <c r="Y17132" s="20"/>
    </row>
    <row r="17133" spans="24:25">
      <c r="X17133" s="19"/>
      <c r="Y17133" s="20"/>
    </row>
    <row r="17134" spans="24:25">
      <c r="X17134" s="19"/>
      <c r="Y17134" s="20"/>
    </row>
    <row r="17135" spans="24:25">
      <c r="X17135" s="19"/>
      <c r="Y17135" s="20"/>
    </row>
    <row r="17136" spans="24:25">
      <c r="X17136" s="19"/>
      <c r="Y17136" s="20"/>
    </row>
    <row r="17137" spans="24:25">
      <c r="X17137" s="19"/>
      <c r="Y17137" s="20"/>
    </row>
    <row r="17138" spans="24:25">
      <c r="X17138" s="19"/>
      <c r="Y17138" s="20"/>
    </row>
    <row r="17139" spans="24:25">
      <c r="X17139" s="19"/>
      <c r="Y17139" s="20"/>
    </row>
    <row r="17140" spans="24:25">
      <c r="X17140" s="19"/>
      <c r="Y17140" s="20"/>
    </row>
    <row r="17141" spans="24:25">
      <c r="X17141" s="19"/>
      <c r="Y17141" s="20"/>
    </row>
    <row r="17142" spans="24:25">
      <c r="X17142" s="19"/>
      <c r="Y17142" s="20"/>
    </row>
    <row r="17143" spans="24:25">
      <c r="X17143" s="19"/>
      <c r="Y17143" s="20"/>
    </row>
    <row r="17144" spans="24:25">
      <c r="X17144" s="19"/>
      <c r="Y17144" s="20"/>
    </row>
    <row r="17145" spans="24:25">
      <c r="X17145" s="19"/>
      <c r="Y17145" s="20"/>
    </row>
    <row r="17146" spans="24:25">
      <c r="X17146" s="19"/>
      <c r="Y17146" s="20"/>
    </row>
    <row r="17147" spans="24:25">
      <c r="X17147" s="19"/>
      <c r="Y17147" s="20"/>
    </row>
    <row r="17148" spans="24:25">
      <c r="X17148" s="19"/>
      <c r="Y17148" s="20"/>
    </row>
    <row r="17149" spans="24:25">
      <c r="X17149" s="19"/>
      <c r="Y17149" s="20"/>
    </row>
    <row r="17150" spans="24:25">
      <c r="X17150" s="19"/>
      <c r="Y17150" s="20"/>
    </row>
    <row r="17151" spans="24:25">
      <c r="X17151" s="19"/>
      <c r="Y17151" s="20"/>
    </row>
    <row r="17152" spans="24:25">
      <c r="X17152" s="19"/>
      <c r="Y17152" s="20"/>
    </row>
    <row r="17153" spans="24:25">
      <c r="X17153" s="19"/>
      <c r="Y17153" s="20"/>
    </row>
    <row r="17154" spans="24:25">
      <c r="X17154" s="19"/>
      <c r="Y17154" s="20"/>
    </row>
    <row r="17155" spans="24:25">
      <c r="X17155" s="19"/>
      <c r="Y17155" s="20"/>
    </row>
    <row r="17156" spans="24:25">
      <c r="X17156" s="19"/>
      <c r="Y17156" s="20"/>
    </row>
    <row r="17157" spans="24:25">
      <c r="X17157" s="19"/>
      <c r="Y17157" s="20"/>
    </row>
    <row r="17158" spans="24:25">
      <c r="X17158" s="19"/>
      <c r="Y17158" s="20"/>
    </row>
    <row r="17159" spans="24:25">
      <c r="X17159" s="19"/>
      <c r="Y17159" s="20"/>
    </row>
    <row r="17160" spans="24:25">
      <c r="X17160" s="19"/>
      <c r="Y17160" s="20"/>
    </row>
    <row r="17161" spans="24:25">
      <c r="X17161" s="19"/>
      <c r="Y17161" s="20"/>
    </row>
    <row r="17162" spans="24:25">
      <c r="X17162" s="19"/>
      <c r="Y17162" s="20"/>
    </row>
    <row r="17163" spans="24:25">
      <c r="X17163" s="19"/>
      <c r="Y17163" s="20"/>
    </row>
    <row r="17164" spans="24:25">
      <c r="X17164" s="19"/>
      <c r="Y17164" s="20"/>
    </row>
    <row r="17165" spans="24:25">
      <c r="X17165" s="19"/>
      <c r="Y17165" s="20"/>
    </row>
    <row r="17166" spans="24:25">
      <c r="X17166" s="19"/>
      <c r="Y17166" s="20"/>
    </row>
    <row r="17167" spans="24:25">
      <c r="X17167" s="19"/>
      <c r="Y17167" s="20"/>
    </row>
    <row r="17168" spans="24:25">
      <c r="X17168" s="19"/>
      <c r="Y17168" s="20"/>
    </row>
    <row r="17169" spans="24:25">
      <c r="X17169" s="19"/>
      <c r="Y17169" s="20"/>
    </row>
    <row r="17170" spans="24:25">
      <c r="X17170" s="19"/>
      <c r="Y17170" s="20"/>
    </row>
    <row r="17171" spans="24:25">
      <c r="X17171" s="19"/>
      <c r="Y17171" s="20"/>
    </row>
    <row r="17172" spans="24:25">
      <c r="X17172" s="19"/>
      <c r="Y17172" s="20"/>
    </row>
    <row r="17173" spans="24:25">
      <c r="X17173" s="19"/>
      <c r="Y17173" s="20"/>
    </row>
    <row r="17174" spans="24:25">
      <c r="X17174" s="19"/>
      <c r="Y17174" s="20"/>
    </row>
    <row r="17175" spans="24:25">
      <c r="X17175" s="19"/>
      <c r="Y17175" s="20"/>
    </row>
    <row r="17176" spans="24:25">
      <c r="X17176" s="19"/>
      <c r="Y17176" s="20"/>
    </row>
    <row r="17177" spans="24:25">
      <c r="X17177" s="19"/>
      <c r="Y17177" s="20"/>
    </row>
    <row r="17178" spans="24:25">
      <c r="X17178" s="19"/>
      <c r="Y17178" s="20"/>
    </row>
    <row r="17179" spans="24:25">
      <c r="X17179" s="19"/>
      <c r="Y17179" s="20"/>
    </row>
    <row r="17180" spans="24:25">
      <c r="X17180" s="19"/>
      <c r="Y17180" s="20"/>
    </row>
    <row r="17181" spans="24:25">
      <c r="X17181" s="19"/>
      <c r="Y17181" s="20"/>
    </row>
    <row r="17182" spans="24:25">
      <c r="X17182" s="19"/>
      <c r="Y17182" s="20"/>
    </row>
    <row r="17183" spans="24:25">
      <c r="X17183" s="19"/>
      <c r="Y17183" s="20"/>
    </row>
    <row r="17184" spans="24:25">
      <c r="X17184" s="19"/>
      <c r="Y17184" s="20"/>
    </row>
    <row r="17185" spans="24:25">
      <c r="X17185" s="19"/>
      <c r="Y17185" s="20"/>
    </row>
    <row r="17186" spans="24:25">
      <c r="X17186" s="19"/>
      <c r="Y17186" s="20"/>
    </row>
    <row r="17187" spans="24:25">
      <c r="X17187" s="19"/>
      <c r="Y17187" s="20"/>
    </row>
    <row r="17188" spans="24:25">
      <c r="X17188" s="19"/>
      <c r="Y17188" s="20"/>
    </row>
    <row r="17189" spans="24:25">
      <c r="X17189" s="19"/>
      <c r="Y17189" s="20"/>
    </row>
    <row r="17190" spans="24:25">
      <c r="X17190" s="19"/>
      <c r="Y17190" s="20"/>
    </row>
    <row r="17191" spans="24:25">
      <c r="X17191" s="19"/>
      <c r="Y17191" s="20"/>
    </row>
    <row r="17192" spans="24:25">
      <c r="X17192" s="19"/>
      <c r="Y17192" s="20"/>
    </row>
    <row r="17193" spans="24:25">
      <c r="X17193" s="19"/>
      <c r="Y17193" s="20"/>
    </row>
    <row r="17194" spans="24:25">
      <c r="X17194" s="19"/>
      <c r="Y17194" s="20"/>
    </row>
    <row r="17195" spans="24:25">
      <c r="X17195" s="19"/>
      <c r="Y17195" s="20"/>
    </row>
    <row r="17196" spans="24:25">
      <c r="X17196" s="19"/>
      <c r="Y17196" s="20"/>
    </row>
    <row r="17197" spans="24:25">
      <c r="X17197" s="19"/>
      <c r="Y17197" s="20"/>
    </row>
    <row r="17198" spans="24:25">
      <c r="X17198" s="19"/>
      <c r="Y17198" s="20"/>
    </row>
    <row r="17199" spans="24:25">
      <c r="X17199" s="19"/>
      <c r="Y17199" s="20"/>
    </row>
    <row r="17200" spans="24:25">
      <c r="X17200" s="19"/>
      <c r="Y17200" s="20"/>
    </row>
    <row r="17201" spans="24:25">
      <c r="X17201" s="19"/>
      <c r="Y17201" s="20"/>
    </row>
    <row r="17202" spans="24:25">
      <c r="X17202" s="19"/>
      <c r="Y17202" s="20"/>
    </row>
    <row r="17203" spans="24:25">
      <c r="X17203" s="19"/>
      <c r="Y17203" s="20"/>
    </row>
    <row r="17204" spans="24:25">
      <c r="X17204" s="19"/>
      <c r="Y17204" s="20"/>
    </row>
    <row r="17205" spans="24:25">
      <c r="X17205" s="19"/>
      <c r="Y17205" s="20"/>
    </row>
    <row r="17206" spans="24:25">
      <c r="X17206" s="19"/>
      <c r="Y17206" s="20"/>
    </row>
    <row r="17207" spans="24:25">
      <c r="X17207" s="19"/>
      <c r="Y17207" s="20"/>
    </row>
    <row r="17208" spans="24:25">
      <c r="X17208" s="19"/>
      <c r="Y17208" s="20"/>
    </row>
    <row r="17209" spans="24:25">
      <c r="X17209" s="19"/>
      <c r="Y17209" s="20"/>
    </row>
    <row r="17210" spans="24:25">
      <c r="X17210" s="19"/>
      <c r="Y17210" s="20"/>
    </row>
    <row r="17211" spans="24:25">
      <c r="X17211" s="19"/>
      <c r="Y17211" s="20"/>
    </row>
    <row r="17212" spans="24:25">
      <c r="X17212" s="19"/>
      <c r="Y17212" s="20"/>
    </row>
    <row r="17213" spans="24:25">
      <c r="X17213" s="19"/>
      <c r="Y17213" s="20"/>
    </row>
    <row r="17214" spans="24:25">
      <c r="X17214" s="19"/>
      <c r="Y17214" s="20"/>
    </row>
    <row r="17215" spans="24:25">
      <c r="X17215" s="19"/>
      <c r="Y17215" s="20"/>
    </row>
    <row r="17216" spans="24:25">
      <c r="X17216" s="19"/>
      <c r="Y17216" s="20"/>
    </row>
    <row r="17217" spans="24:25">
      <c r="X17217" s="19"/>
      <c r="Y17217" s="20"/>
    </row>
    <row r="17218" spans="24:25">
      <c r="X17218" s="19"/>
      <c r="Y17218" s="20"/>
    </row>
    <row r="17219" spans="24:25">
      <c r="X17219" s="19"/>
      <c r="Y17219" s="20"/>
    </row>
    <row r="17220" spans="24:25">
      <c r="X17220" s="19"/>
      <c r="Y17220" s="20"/>
    </row>
    <row r="17221" spans="24:25">
      <c r="X17221" s="19"/>
      <c r="Y17221" s="20"/>
    </row>
    <row r="17222" spans="24:25">
      <c r="X17222" s="19"/>
      <c r="Y17222" s="20"/>
    </row>
    <row r="17223" spans="24:25">
      <c r="X17223" s="19"/>
      <c r="Y17223" s="20"/>
    </row>
    <row r="17224" spans="24:25">
      <c r="X17224" s="19"/>
      <c r="Y17224" s="20"/>
    </row>
    <row r="17225" spans="24:25">
      <c r="X17225" s="19"/>
      <c r="Y17225" s="20"/>
    </row>
    <row r="17226" spans="24:25">
      <c r="X17226" s="19"/>
      <c r="Y17226" s="20"/>
    </row>
    <row r="17227" spans="24:25">
      <c r="X17227" s="19"/>
      <c r="Y17227" s="20"/>
    </row>
    <row r="17228" spans="24:25">
      <c r="X17228" s="19"/>
      <c r="Y17228" s="20"/>
    </row>
    <row r="17229" spans="24:25">
      <c r="X17229" s="19"/>
      <c r="Y17229" s="20"/>
    </row>
    <row r="17230" spans="24:25">
      <c r="X17230" s="19"/>
      <c r="Y17230" s="20"/>
    </row>
    <row r="17231" spans="24:25">
      <c r="X17231" s="19"/>
      <c r="Y17231" s="20"/>
    </row>
    <row r="17232" spans="24:25">
      <c r="X17232" s="19"/>
      <c r="Y17232" s="20"/>
    </row>
    <row r="17233" spans="24:25">
      <c r="X17233" s="19"/>
      <c r="Y17233" s="20"/>
    </row>
    <row r="17234" spans="24:25">
      <c r="X17234" s="19"/>
      <c r="Y17234" s="20"/>
    </row>
    <row r="17235" spans="24:25">
      <c r="X17235" s="19"/>
      <c r="Y17235" s="20"/>
    </row>
    <row r="17236" spans="24:25">
      <c r="X17236" s="19"/>
      <c r="Y17236" s="20"/>
    </row>
    <row r="17237" spans="24:25">
      <c r="X17237" s="19"/>
      <c r="Y17237" s="20"/>
    </row>
    <row r="17238" spans="24:25">
      <c r="X17238" s="19"/>
      <c r="Y17238" s="20"/>
    </row>
    <row r="17239" spans="24:25">
      <c r="X17239" s="19"/>
      <c r="Y17239" s="20"/>
    </row>
    <row r="17240" spans="24:25">
      <c r="X17240" s="19"/>
      <c r="Y17240" s="20"/>
    </row>
    <row r="17241" spans="24:25">
      <c r="X17241" s="19"/>
      <c r="Y17241" s="20"/>
    </row>
    <row r="17242" spans="24:25">
      <c r="X17242" s="19"/>
      <c r="Y17242" s="20"/>
    </row>
    <row r="17243" spans="24:25">
      <c r="X17243" s="19"/>
      <c r="Y17243" s="20"/>
    </row>
    <row r="17244" spans="24:25">
      <c r="X17244" s="19"/>
      <c r="Y17244" s="20"/>
    </row>
    <row r="17245" spans="24:25">
      <c r="X17245" s="19"/>
      <c r="Y17245" s="20"/>
    </row>
    <row r="17246" spans="24:25">
      <c r="X17246" s="19"/>
      <c r="Y17246" s="20"/>
    </row>
    <row r="17247" spans="24:25">
      <c r="X17247" s="19"/>
      <c r="Y17247" s="20"/>
    </row>
    <row r="17248" spans="24:25">
      <c r="X17248" s="19"/>
      <c r="Y17248" s="20"/>
    </row>
    <row r="17249" spans="24:25">
      <c r="X17249" s="19"/>
      <c r="Y17249" s="20"/>
    </row>
    <row r="17250" spans="24:25">
      <c r="X17250" s="19"/>
      <c r="Y17250" s="20"/>
    </row>
    <row r="17251" spans="24:25">
      <c r="X17251" s="19"/>
      <c r="Y17251" s="20"/>
    </row>
    <row r="17252" spans="24:25">
      <c r="X17252" s="19"/>
      <c r="Y17252" s="20"/>
    </row>
    <row r="17253" spans="24:25">
      <c r="X17253" s="19"/>
      <c r="Y17253" s="20"/>
    </row>
    <row r="17254" spans="24:25">
      <c r="X17254" s="19"/>
      <c r="Y17254" s="20"/>
    </row>
    <row r="17255" spans="24:25">
      <c r="X17255" s="19"/>
      <c r="Y17255" s="20"/>
    </row>
    <row r="17256" spans="24:25">
      <c r="X17256" s="19"/>
      <c r="Y17256" s="20"/>
    </row>
    <row r="17257" spans="24:25">
      <c r="X17257" s="19"/>
      <c r="Y17257" s="20"/>
    </row>
    <row r="17258" spans="24:25">
      <c r="X17258" s="19"/>
      <c r="Y17258" s="20"/>
    </row>
    <row r="17259" spans="24:25">
      <c r="X17259" s="19"/>
      <c r="Y17259" s="20"/>
    </row>
    <row r="17260" spans="24:25">
      <c r="X17260" s="19"/>
      <c r="Y17260" s="20"/>
    </row>
    <row r="17261" spans="24:25">
      <c r="X17261" s="19"/>
      <c r="Y17261" s="20"/>
    </row>
    <row r="17262" spans="24:25">
      <c r="X17262" s="19"/>
      <c r="Y17262" s="20"/>
    </row>
    <row r="17263" spans="24:25">
      <c r="X17263" s="19"/>
      <c r="Y17263" s="20"/>
    </row>
    <row r="17264" spans="24:25">
      <c r="X17264" s="19"/>
      <c r="Y17264" s="20"/>
    </row>
    <row r="17265" spans="24:25">
      <c r="X17265" s="19"/>
      <c r="Y17265" s="20"/>
    </row>
    <row r="17266" spans="24:25">
      <c r="X17266" s="19"/>
      <c r="Y17266" s="20"/>
    </row>
    <row r="17267" spans="24:25">
      <c r="X17267" s="19"/>
      <c r="Y17267" s="20"/>
    </row>
    <row r="17268" spans="24:25">
      <c r="X17268" s="19"/>
      <c r="Y17268" s="20"/>
    </row>
    <row r="17269" spans="24:25">
      <c r="X17269" s="19"/>
      <c r="Y17269" s="20"/>
    </row>
    <row r="17270" spans="24:25">
      <c r="X17270" s="19"/>
      <c r="Y17270" s="20"/>
    </row>
    <row r="17271" spans="24:25">
      <c r="X17271" s="19"/>
      <c r="Y17271" s="20"/>
    </row>
    <row r="17272" spans="24:25">
      <c r="X17272" s="19"/>
      <c r="Y17272" s="20"/>
    </row>
    <row r="17273" spans="24:25">
      <c r="X17273" s="19"/>
      <c r="Y17273" s="20"/>
    </row>
    <row r="17274" spans="24:25">
      <c r="X17274" s="19"/>
      <c r="Y17274" s="20"/>
    </row>
    <row r="17275" spans="24:25">
      <c r="X17275" s="19"/>
      <c r="Y17275" s="20"/>
    </row>
    <row r="17276" spans="24:25">
      <c r="X17276" s="19"/>
      <c r="Y17276" s="20"/>
    </row>
    <row r="17277" spans="24:25">
      <c r="X17277" s="19"/>
      <c r="Y17277" s="20"/>
    </row>
    <row r="17278" spans="24:25">
      <c r="X17278" s="19"/>
      <c r="Y17278" s="20"/>
    </row>
    <row r="17279" spans="24:25">
      <c r="X17279" s="19"/>
      <c r="Y17279" s="20"/>
    </row>
    <row r="17280" spans="24:25">
      <c r="X17280" s="19"/>
      <c r="Y17280" s="20"/>
    </row>
    <row r="17281" spans="24:25">
      <c r="X17281" s="19"/>
      <c r="Y17281" s="20"/>
    </row>
    <row r="17282" spans="24:25">
      <c r="X17282" s="19"/>
      <c r="Y17282" s="20"/>
    </row>
    <row r="17283" spans="24:25">
      <c r="X17283" s="19"/>
      <c r="Y17283" s="20"/>
    </row>
    <row r="17284" spans="24:25">
      <c r="X17284" s="19"/>
      <c r="Y17284" s="20"/>
    </row>
    <row r="17285" spans="24:25">
      <c r="X17285" s="19"/>
      <c r="Y17285" s="20"/>
    </row>
    <row r="17286" spans="24:25">
      <c r="X17286" s="19"/>
      <c r="Y17286" s="20"/>
    </row>
    <row r="17287" spans="24:25">
      <c r="X17287" s="19"/>
      <c r="Y17287" s="20"/>
    </row>
    <row r="17288" spans="24:25">
      <c r="X17288" s="19"/>
      <c r="Y17288" s="20"/>
    </row>
    <row r="17289" spans="24:25">
      <c r="X17289" s="19"/>
      <c r="Y17289" s="20"/>
    </row>
    <row r="17290" spans="24:25">
      <c r="X17290" s="19"/>
      <c r="Y17290" s="20"/>
    </row>
    <row r="17291" spans="24:25">
      <c r="X17291" s="19"/>
      <c r="Y17291" s="20"/>
    </row>
    <row r="17292" spans="24:25">
      <c r="X17292" s="19"/>
      <c r="Y17292" s="20"/>
    </row>
    <row r="17293" spans="24:25">
      <c r="X17293" s="19"/>
      <c r="Y17293" s="20"/>
    </row>
    <row r="17294" spans="24:25">
      <c r="X17294" s="19"/>
      <c r="Y17294" s="20"/>
    </row>
    <row r="17295" spans="24:25">
      <c r="X17295" s="19"/>
      <c r="Y17295" s="20"/>
    </row>
    <row r="17296" spans="24:25">
      <c r="X17296" s="19"/>
      <c r="Y17296" s="20"/>
    </row>
    <row r="17297" spans="24:25">
      <c r="X17297" s="19"/>
      <c r="Y17297" s="20"/>
    </row>
    <row r="17298" spans="24:25">
      <c r="X17298" s="19"/>
      <c r="Y17298" s="20"/>
    </row>
    <row r="17299" spans="24:25">
      <c r="X17299" s="19"/>
      <c r="Y17299" s="20"/>
    </row>
    <row r="17300" spans="24:25">
      <c r="X17300" s="19"/>
      <c r="Y17300" s="20"/>
    </row>
    <row r="17301" spans="24:25">
      <c r="X17301" s="19"/>
      <c r="Y17301" s="20"/>
    </row>
    <row r="17302" spans="24:25">
      <c r="X17302" s="19"/>
      <c r="Y17302" s="20"/>
    </row>
    <row r="17303" spans="24:25">
      <c r="X17303" s="19"/>
      <c r="Y17303" s="20"/>
    </row>
    <row r="17304" spans="24:25">
      <c r="X17304" s="19"/>
      <c r="Y17304" s="20"/>
    </row>
    <row r="17305" spans="24:25">
      <c r="X17305" s="19"/>
      <c r="Y17305" s="20"/>
    </row>
    <row r="17306" spans="24:25">
      <c r="X17306" s="19"/>
      <c r="Y17306" s="20"/>
    </row>
    <row r="17307" spans="24:25">
      <c r="X17307" s="19"/>
      <c r="Y17307" s="20"/>
    </row>
    <row r="17308" spans="24:25">
      <c r="X17308" s="19"/>
      <c r="Y17308" s="20"/>
    </row>
    <row r="17309" spans="24:25">
      <c r="X17309" s="19"/>
      <c r="Y17309" s="20"/>
    </row>
    <row r="17310" spans="24:25">
      <c r="X17310" s="19"/>
      <c r="Y17310" s="20"/>
    </row>
    <row r="17311" spans="24:25">
      <c r="X17311" s="19"/>
      <c r="Y17311" s="20"/>
    </row>
    <row r="17312" spans="24:25">
      <c r="X17312" s="19"/>
      <c r="Y17312" s="20"/>
    </row>
    <row r="17313" spans="24:25">
      <c r="X17313" s="19"/>
      <c r="Y17313" s="20"/>
    </row>
    <row r="17314" spans="24:25">
      <c r="X17314" s="19"/>
      <c r="Y17314" s="20"/>
    </row>
    <row r="17315" spans="24:25">
      <c r="X17315" s="19"/>
      <c r="Y17315" s="20"/>
    </row>
    <row r="17316" spans="24:25">
      <c r="X17316" s="19"/>
      <c r="Y17316" s="20"/>
    </row>
    <row r="17317" spans="24:25">
      <c r="X17317" s="19"/>
      <c r="Y17317" s="20"/>
    </row>
    <row r="17318" spans="24:25">
      <c r="X17318" s="19"/>
      <c r="Y17318" s="20"/>
    </row>
    <row r="17319" spans="24:25">
      <c r="X17319" s="19"/>
      <c r="Y17319" s="20"/>
    </row>
    <row r="17320" spans="24:25">
      <c r="X17320" s="19"/>
      <c r="Y17320" s="20"/>
    </row>
    <row r="17321" spans="24:25">
      <c r="X17321" s="19"/>
      <c r="Y17321" s="20"/>
    </row>
    <row r="17322" spans="24:25">
      <c r="X17322" s="19"/>
      <c r="Y17322" s="20"/>
    </row>
    <row r="17323" spans="24:25">
      <c r="X17323" s="19"/>
      <c r="Y17323" s="20"/>
    </row>
    <row r="17324" spans="24:25">
      <c r="X17324" s="19"/>
      <c r="Y17324" s="20"/>
    </row>
    <row r="17325" spans="24:25">
      <c r="X17325" s="19"/>
      <c r="Y17325" s="20"/>
    </row>
    <row r="17326" spans="24:25">
      <c r="X17326" s="19"/>
      <c r="Y17326" s="20"/>
    </row>
    <row r="17327" spans="24:25">
      <c r="X17327" s="19"/>
      <c r="Y17327" s="20"/>
    </row>
    <row r="17328" spans="24:25">
      <c r="X17328" s="19"/>
      <c r="Y17328" s="20"/>
    </row>
    <row r="17329" spans="24:25">
      <c r="X17329" s="19"/>
      <c r="Y17329" s="20"/>
    </row>
    <row r="17330" spans="24:25">
      <c r="X17330" s="19"/>
      <c r="Y17330" s="20"/>
    </row>
    <row r="17331" spans="24:25">
      <c r="X17331" s="19"/>
      <c r="Y17331" s="20"/>
    </row>
    <row r="17332" spans="24:25">
      <c r="X17332" s="19"/>
      <c r="Y17332" s="20"/>
    </row>
    <row r="17333" spans="24:25">
      <c r="X17333" s="19"/>
      <c r="Y17333" s="20"/>
    </row>
    <row r="17334" spans="24:25">
      <c r="X17334" s="19"/>
      <c r="Y17334" s="20"/>
    </row>
    <row r="17335" spans="24:25">
      <c r="X17335" s="19"/>
      <c r="Y17335" s="20"/>
    </row>
    <row r="17336" spans="24:25">
      <c r="X17336" s="19"/>
      <c r="Y17336" s="20"/>
    </row>
    <row r="17337" spans="24:25">
      <c r="X17337" s="19"/>
      <c r="Y17337" s="20"/>
    </row>
    <row r="17338" spans="24:25">
      <c r="X17338" s="19"/>
      <c r="Y17338" s="20"/>
    </row>
    <row r="17339" spans="24:25">
      <c r="X17339" s="19"/>
      <c r="Y17339" s="20"/>
    </row>
    <row r="17340" spans="24:25">
      <c r="X17340" s="19"/>
      <c r="Y17340" s="20"/>
    </row>
    <row r="17341" spans="24:25">
      <c r="X17341" s="19"/>
      <c r="Y17341" s="20"/>
    </row>
    <row r="17342" spans="24:25">
      <c r="X17342" s="19"/>
      <c r="Y17342" s="20"/>
    </row>
    <row r="17343" spans="24:25">
      <c r="X17343" s="19"/>
      <c r="Y17343" s="20"/>
    </row>
    <row r="17344" spans="24:25">
      <c r="X17344" s="19"/>
      <c r="Y17344" s="20"/>
    </row>
    <row r="17345" spans="24:25">
      <c r="X17345" s="19"/>
      <c r="Y17345" s="20"/>
    </row>
    <row r="17346" spans="24:25">
      <c r="X17346" s="19"/>
      <c r="Y17346" s="20"/>
    </row>
    <row r="17347" spans="24:25">
      <c r="X17347" s="19"/>
      <c r="Y17347" s="20"/>
    </row>
    <row r="17348" spans="24:25">
      <c r="X17348" s="19"/>
      <c r="Y17348" s="20"/>
    </row>
    <row r="17349" spans="24:25">
      <c r="X17349" s="19"/>
      <c r="Y17349" s="20"/>
    </row>
    <row r="17350" spans="24:25">
      <c r="X17350" s="19"/>
      <c r="Y17350" s="20"/>
    </row>
    <row r="17351" spans="24:25">
      <c r="X17351" s="19"/>
      <c r="Y17351" s="20"/>
    </row>
    <row r="17352" spans="24:25">
      <c r="X17352" s="19"/>
      <c r="Y17352" s="20"/>
    </row>
    <row r="17353" spans="24:25">
      <c r="X17353" s="19"/>
      <c r="Y17353" s="20"/>
    </row>
    <row r="17354" spans="24:25">
      <c r="X17354" s="19"/>
      <c r="Y17354" s="20"/>
    </row>
    <row r="17355" spans="24:25">
      <c r="X17355" s="19"/>
      <c r="Y17355" s="20"/>
    </row>
    <row r="17356" spans="24:25">
      <c r="X17356" s="19"/>
      <c r="Y17356" s="20"/>
    </row>
    <row r="17357" spans="24:25">
      <c r="X17357" s="19"/>
      <c r="Y17357" s="20"/>
    </row>
    <row r="17358" spans="24:25">
      <c r="X17358" s="19"/>
      <c r="Y17358" s="20"/>
    </row>
    <row r="17359" spans="24:25">
      <c r="X17359" s="19"/>
      <c r="Y17359" s="20"/>
    </row>
    <row r="17360" spans="24:25">
      <c r="X17360" s="19"/>
      <c r="Y17360" s="20"/>
    </row>
    <row r="17361" spans="24:25">
      <c r="X17361" s="19"/>
      <c r="Y17361" s="20"/>
    </row>
    <row r="17362" spans="24:25">
      <c r="X17362" s="19"/>
      <c r="Y17362" s="20"/>
    </row>
    <row r="17363" spans="24:25">
      <c r="X17363" s="19"/>
      <c r="Y17363" s="20"/>
    </row>
    <row r="17364" spans="24:25">
      <c r="X17364" s="19"/>
      <c r="Y17364" s="20"/>
    </row>
    <row r="17365" spans="24:25">
      <c r="X17365" s="19"/>
      <c r="Y17365" s="20"/>
    </row>
    <row r="17366" spans="24:25">
      <c r="X17366" s="19"/>
      <c r="Y17366" s="20"/>
    </row>
    <row r="17367" spans="24:25">
      <c r="X17367" s="19"/>
      <c r="Y17367" s="20"/>
    </row>
    <row r="17368" spans="24:25">
      <c r="X17368" s="19"/>
      <c r="Y17368" s="20"/>
    </row>
    <row r="17369" spans="24:25">
      <c r="X17369" s="19"/>
      <c r="Y17369" s="20"/>
    </row>
    <row r="17370" spans="24:25">
      <c r="X17370" s="19"/>
      <c r="Y17370" s="20"/>
    </row>
    <row r="17371" spans="24:25">
      <c r="X17371" s="19"/>
      <c r="Y17371" s="20"/>
    </row>
    <row r="17372" spans="24:25">
      <c r="X17372" s="19"/>
      <c r="Y17372" s="20"/>
    </row>
    <row r="17373" spans="24:25">
      <c r="X17373" s="19"/>
      <c r="Y17373" s="20"/>
    </row>
    <row r="17374" spans="24:25">
      <c r="X17374" s="19"/>
      <c r="Y17374" s="20"/>
    </row>
    <row r="17375" spans="24:25">
      <c r="X17375" s="19"/>
      <c r="Y17375" s="20"/>
    </row>
    <row r="17376" spans="24:25">
      <c r="X17376" s="19"/>
      <c r="Y17376" s="20"/>
    </row>
    <row r="17377" spans="24:25">
      <c r="X17377" s="19"/>
      <c r="Y17377" s="20"/>
    </row>
    <row r="17378" spans="24:25">
      <c r="X17378" s="19"/>
      <c r="Y17378" s="20"/>
    </row>
    <row r="17379" spans="24:25">
      <c r="X17379" s="19"/>
      <c r="Y17379" s="20"/>
    </row>
    <row r="17380" spans="24:25">
      <c r="X17380" s="19"/>
      <c r="Y17380" s="20"/>
    </row>
    <row r="17381" spans="24:25">
      <c r="X17381" s="19"/>
      <c r="Y17381" s="20"/>
    </row>
    <row r="17382" spans="24:25">
      <c r="X17382" s="19"/>
      <c r="Y17382" s="20"/>
    </row>
    <row r="17383" spans="24:25">
      <c r="X17383" s="19"/>
      <c r="Y17383" s="20"/>
    </row>
    <row r="17384" spans="24:25">
      <c r="X17384" s="19"/>
      <c r="Y17384" s="20"/>
    </row>
    <row r="17385" spans="24:25">
      <c r="X17385" s="19"/>
      <c r="Y17385" s="20"/>
    </row>
    <row r="17386" spans="24:25">
      <c r="X17386" s="19"/>
      <c r="Y17386" s="20"/>
    </row>
    <row r="17387" spans="24:25">
      <c r="X17387" s="19"/>
      <c r="Y17387" s="20"/>
    </row>
    <row r="17388" spans="24:25">
      <c r="X17388" s="19"/>
      <c r="Y17388" s="20"/>
    </row>
    <row r="17389" spans="24:25">
      <c r="X17389" s="19"/>
      <c r="Y17389" s="20"/>
    </row>
    <row r="17390" spans="24:25">
      <c r="X17390" s="19"/>
      <c r="Y17390" s="20"/>
    </row>
    <row r="17391" spans="24:25">
      <c r="X17391" s="19"/>
      <c r="Y17391" s="20"/>
    </row>
    <row r="17392" spans="24:25">
      <c r="X17392" s="19"/>
      <c r="Y17392" s="20"/>
    </row>
    <row r="17393" spans="24:25">
      <c r="X17393" s="19"/>
      <c r="Y17393" s="20"/>
    </row>
    <row r="17394" spans="24:25">
      <c r="X17394" s="19"/>
      <c r="Y17394" s="20"/>
    </row>
    <row r="17395" spans="24:25">
      <c r="X17395" s="19"/>
      <c r="Y17395" s="20"/>
    </row>
    <row r="17396" spans="24:25">
      <c r="X17396" s="19"/>
      <c r="Y17396" s="20"/>
    </row>
    <row r="17397" spans="24:25">
      <c r="X17397" s="19"/>
      <c r="Y17397" s="20"/>
    </row>
    <row r="17398" spans="24:25">
      <c r="X17398" s="19"/>
      <c r="Y17398" s="20"/>
    </row>
    <row r="17399" spans="24:25">
      <c r="X17399" s="19"/>
      <c r="Y17399" s="20"/>
    </row>
    <row r="17400" spans="24:25">
      <c r="X17400" s="19"/>
      <c r="Y17400" s="20"/>
    </row>
    <row r="17401" spans="24:25">
      <c r="X17401" s="19"/>
      <c r="Y17401" s="20"/>
    </row>
    <row r="17402" spans="24:25">
      <c r="X17402" s="19"/>
      <c r="Y17402" s="20"/>
    </row>
    <row r="17403" spans="24:25">
      <c r="X17403" s="19"/>
      <c r="Y17403" s="20"/>
    </row>
    <row r="17404" spans="24:25">
      <c r="X17404" s="19"/>
      <c r="Y17404" s="20"/>
    </row>
    <row r="17405" spans="24:25">
      <c r="X17405" s="19"/>
      <c r="Y17405" s="20"/>
    </row>
    <row r="17406" spans="24:25">
      <c r="X17406" s="19"/>
      <c r="Y17406" s="20"/>
    </row>
    <row r="17407" spans="24:25">
      <c r="X17407" s="19"/>
      <c r="Y17407" s="20"/>
    </row>
    <row r="17408" spans="24:25">
      <c r="X17408" s="19"/>
      <c r="Y17408" s="20"/>
    </row>
    <row r="17409" spans="24:25">
      <c r="X17409" s="19"/>
      <c r="Y17409" s="20"/>
    </row>
    <row r="17410" spans="24:25">
      <c r="X17410" s="19"/>
      <c r="Y17410" s="20"/>
    </row>
    <row r="17411" spans="24:25">
      <c r="X17411" s="19"/>
      <c r="Y17411" s="20"/>
    </row>
    <row r="17412" spans="24:25">
      <c r="X17412" s="19"/>
      <c r="Y17412" s="20"/>
    </row>
    <row r="17413" spans="24:25">
      <c r="X17413" s="19"/>
      <c r="Y17413" s="20"/>
    </row>
    <row r="17414" spans="24:25">
      <c r="X17414" s="19"/>
      <c r="Y17414" s="20"/>
    </row>
    <row r="17415" spans="24:25">
      <c r="X17415" s="19"/>
      <c r="Y17415" s="20"/>
    </row>
    <row r="17416" spans="24:25">
      <c r="X17416" s="19"/>
      <c r="Y17416" s="20"/>
    </row>
    <row r="17417" spans="24:25">
      <c r="X17417" s="19"/>
      <c r="Y17417" s="20"/>
    </row>
    <row r="17418" spans="24:25">
      <c r="X17418" s="19"/>
      <c r="Y17418" s="20"/>
    </row>
    <row r="17419" spans="24:25">
      <c r="X17419" s="19"/>
      <c r="Y17419" s="20"/>
    </row>
    <row r="17420" spans="24:25">
      <c r="X17420" s="19"/>
      <c r="Y17420" s="20"/>
    </row>
    <row r="17421" spans="24:25">
      <c r="X17421" s="19"/>
      <c r="Y17421" s="20"/>
    </row>
    <row r="17422" spans="24:25">
      <c r="X17422" s="19"/>
      <c r="Y17422" s="20"/>
    </row>
    <row r="17423" spans="24:25">
      <c r="X17423" s="19"/>
      <c r="Y17423" s="20"/>
    </row>
    <row r="17424" spans="24:25">
      <c r="X17424" s="19"/>
      <c r="Y17424" s="20"/>
    </row>
    <row r="17425" spans="24:25">
      <c r="X17425" s="19"/>
      <c r="Y17425" s="20"/>
    </row>
    <row r="17426" spans="24:25">
      <c r="X17426" s="19"/>
      <c r="Y17426" s="20"/>
    </row>
    <row r="17427" spans="24:25">
      <c r="X17427" s="19"/>
      <c r="Y17427" s="20"/>
    </row>
    <row r="17428" spans="24:25">
      <c r="X17428" s="19"/>
      <c r="Y17428" s="20"/>
    </row>
    <row r="17429" spans="24:25">
      <c r="X17429" s="19"/>
      <c r="Y17429" s="20"/>
    </row>
    <row r="17430" spans="24:25">
      <c r="X17430" s="19"/>
      <c r="Y17430" s="20"/>
    </row>
    <row r="17431" spans="24:25">
      <c r="X17431" s="19"/>
      <c r="Y17431" s="20"/>
    </row>
    <row r="17432" spans="24:25">
      <c r="X17432" s="19"/>
      <c r="Y17432" s="20"/>
    </row>
    <row r="17433" spans="24:25">
      <c r="X17433" s="19"/>
      <c r="Y17433" s="20"/>
    </row>
    <row r="17434" spans="24:25">
      <c r="X17434" s="19"/>
      <c r="Y17434" s="20"/>
    </row>
    <row r="17435" spans="24:25">
      <c r="X17435" s="19"/>
      <c r="Y17435" s="20"/>
    </row>
    <row r="17436" spans="24:25">
      <c r="X17436" s="19"/>
      <c r="Y17436" s="20"/>
    </row>
    <row r="17437" spans="24:25">
      <c r="X17437" s="19"/>
      <c r="Y17437" s="20"/>
    </row>
    <row r="17438" spans="24:25">
      <c r="X17438" s="19"/>
      <c r="Y17438" s="20"/>
    </row>
    <row r="17439" spans="24:25">
      <c r="X17439" s="19"/>
      <c r="Y17439" s="20"/>
    </row>
    <row r="17440" spans="24:25">
      <c r="X17440" s="19"/>
      <c r="Y17440" s="20"/>
    </row>
    <row r="17441" spans="24:25">
      <c r="X17441" s="19"/>
      <c r="Y17441" s="20"/>
    </row>
    <row r="17442" spans="24:25">
      <c r="X17442" s="19"/>
      <c r="Y17442" s="20"/>
    </row>
    <row r="17443" spans="24:25">
      <c r="X17443" s="19"/>
      <c r="Y17443" s="20"/>
    </row>
    <row r="17444" spans="24:25">
      <c r="X17444" s="19"/>
      <c r="Y17444" s="20"/>
    </row>
    <row r="17445" spans="24:25">
      <c r="X17445" s="19"/>
      <c r="Y17445" s="20"/>
    </row>
    <row r="17446" spans="24:25">
      <c r="X17446" s="19"/>
      <c r="Y17446" s="20"/>
    </row>
    <row r="17447" spans="24:25">
      <c r="X17447" s="19"/>
      <c r="Y17447" s="20"/>
    </row>
    <row r="17448" spans="24:25">
      <c r="X17448" s="19"/>
      <c r="Y17448" s="20"/>
    </row>
    <row r="17449" spans="24:25">
      <c r="X17449" s="19"/>
      <c r="Y17449" s="20"/>
    </row>
    <row r="17450" spans="24:25">
      <c r="X17450" s="19"/>
      <c r="Y17450" s="20"/>
    </row>
    <row r="17451" spans="24:25">
      <c r="X17451" s="19"/>
      <c r="Y17451" s="20"/>
    </row>
    <row r="17452" spans="24:25">
      <c r="X17452" s="19"/>
      <c r="Y17452" s="20"/>
    </row>
    <row r="17453" spans="24:25">
      <c r="X17453" s="19"/>
      <c r="Y17453" s="20"/>
    </row>
    <row r="17454" spans="24:25">
      <c r="X17454" s="19"/>
      <c r="Y17454" s="20"/>
    </row>
    <row r="17455" spans="24:25">
      <c r="X17455" s="19"/>
      <c r="Y17455" s="20"/>
    </row>
    <row r="17456" spans="24:25">
      <c r="X17456" s="19"/>
      <c r="Y17456" s="20"/>
    </row>
    <row r="17457" spans="24:25">
      <c r="X17457" s="19"/>
      <c r="Y17457" s="20"/>
    </row>
    <row r="17458" spans="24:25">
      <c r="X17458" s="19"/>
      <c r="Y17458" s="20"/>
    </row>
    <row r="17459" spans="24:25">
      <c r="X17459" s="19"/>
      <c r="Y17459" s="20"/>
    </row>
    <row r="17460" spans="24:25">
      <c r="X17460" s="19"/>
      <c r="Y17460" s="20"/>
    </row>
    <row r="17461" spans="24:25">
      <c r="X17461" s="19"/>
      <c r="Y17461" s="20"/>
    </row>
    <row r="17462" spans="24:25">
      <c r="X17462" s="19"/>
      <c r="Y17462" s="20"/>
    </row>
    <row r="17463" spans="24:25">
      <c r="X17463" s="19"/>
      <c r="Y17463" s="20"/>
    </row>
    <row r="17464" spans="24:25">
      <c r="X17464" s="19"/>
      <c r="Y17464" s="20"/>
    </row>
    <row r="17465" spans="24:25">
      <c r="X17465" s="19"/>
      <c r="Y17465" s="20"/>
    </row>
    <row r="17466" spans="24:25">
      <c r="X17466" s="19"/>
      <c r="Y17466" s="20"/>
    </row>
    <row r="17467" spans="24:25">
      <c r="X17467" s="19"/>
      <c r="Y17467" s="20"/>
    </row>
    <row r="17468" spans="24:25">
      <c r="X17468" s="19"/>
      <c r="Y17468" s="20"/>
    </row>
    <row r="17469" spans="24:25">
      <c r="X17469" s="19"/>
      <c r="Y17469" s="20"/>
    </row>
    <row r="17470" spans="24:25">
      <c r="X17470" s="19"/>
      <c r="Y17470" s="20"/>
    </row>
    <row r="17471" spans="24:25">
      <c r="X17471" s="19"/>
      <c r="Y17471" s="20"/>
    </row>
    <row r="17472" spans="24:25">
      <c r="X17472" s="19"/>
      <c r="Y17472" s="20"/>
    </row>
    <row r="17473" spans="24:25">
      <c r="X17473" s="19"/>
      <c r="Y17473" s="20"/>
    </row>
    <row r="17474" spans="24:25">
      <c r="X17474" s="19"/>
      <c r="Y17474" s="20"/>
    </row>
    <row r="17475" spans="24:25">
      <c r="X17475" s="19"/>
      <c r="Y17475" s="20"/>
    </row>
    <row r="17476" spans="24:25">
      <c r="X17476" s="19"/>
      <c r="Y17476" s="20"/>
    </row>
    <row r="17477" spans="24:25">
      <c r="X17477" s="19"/>
      <c r="Y17477" s="20"/>
    </row>
    <row r="17478" spans="24:25">
      <c r="X17478" s="19"/>
      <c r="Y17478" s="20"/>
    </row>
    <row r="17479" spans="24:25">
      <c r="X17479" s="19"/>
      <c r="Y17479" s="20"/>
    </row>
    <row r="17480" spans="24:25">
      <c r="X17480" s="19"/>
      <c r="Y17480" s="20"/>
    </row>
    <row r="17481" spans="24:25">
      <c r="X17481" s="19"/>
      <c r="Y17481" s="20"/>
    </row>
    <row r="17482" spans="24:25">
      <c r="X17482" s="19"/>
      <c r="Y17482" s="20"/>
    </row>
    <row r="17483" spans="24:25">
      <c r="X17483" s="19"/>
      <c r="Y17483" s="20"/>
    </row>
    <row r="17484" spans="24:25">
      <c r="X17484" s="19"/>
      <c r="Y17484" s="20"/>
    </row>
    <row r="17485" spans="24:25">
      <c r="X17485" s="19"/>
      <c r="Y17485" s="20"/>
    </row>
    <row r="17486" spans="24:25">
      <c r="X17486" s="19"/>
      <c r="Y17486" s="20"/>
    </row>
    <row r="17487" spans="24:25">
      <c r="X17487" s="19"/>
      <c r="Y17487" s="20"/>
    </row>
    <row r="17488" spans="24:25">
      <c r="X17488" s="19"/>
      <c r="Y17488" s="20"/>
    </row>
    <row r="17489" spans="24:25">
      <c r="X17489" s="19"/>
      <c r="Y17489" s="20"/>
    </row>
    <row r="17490" spans="24:25">
      <c r="X17490" s="19"/>
      <c r="Y17490" s="20"/>
    </row>
    <row r="17491" spans="24:25">
      <c r="X17491" s="19"/>
      <c r="Y17491" s="20"/>
    </row>
    <row r="17492" spans="24:25">
      <c r="X17492" s="19"/>
      <c r="Y17492" s="20"/>
    </row>
    <row r="17493" spans="24:25">
      <c r="X17493" s="19"/>
      <c r="Y17493" s="20"/>
    </row>
    <row r="17494" spans="24:25">
      <c r="X17494" s="19"/>
      <c r="Y17494" s="20"/>
    </row>
    <row r="17495" spans="24:25">
      <c r="X17495" s="19"/>
      <c r="Y17495" s="20"/>
    </row>
    <row r="17496" spans="24:25">
      <c r="X17496" s="19"/>
      <c r="Y17496" s="20"/>
    </row>
    <row r="17497" spans="24:25">
      <c r="X17497" s="19"/>
      <c r="Y17497" s="20"/>
    </row>
    <row r="17498" spans="24:25">
      <c r="X17498" s="19"/>
      <c r="Y17498" s="20"/>
    </row>
    <row r="17499" spans="24:25">
      <c r="X17499" s="19"/>
      <c r="Y17499" s="20"/>
    </row>
    <row r="17500" spans="24:25">
      <c r="X17500" s="19"/>
      <c r="Y17500" s="20"/>
    </row>
    <row r="17501" spans="24:25">
      <c r="X17501" s="19"/>
      <c r="Y17501" s="20"/>
    </row>
    <row r="17502" spans="24:25">
      <c r="X17502" s="19"/>
      <c r="Y17502" s="20"/>
    </row>
    <row r="17503" spans="24:25">
      <c r="X17503" s="19"/>
      <c r="Y17503" s="20"/>
    </row>
    <row r="17504" spans="24:25">
      <c r="X17504" s="19"/>
      <c r="Y17504" s="20"/>
    </row>
    <row r="17505" spans="24:25">
      <c r="X17505" s="19"/>
      <c r="Y17505" s="20"/>
    </row>
    <row r="17506" spans="24:25">
      <c r="X17506" s="19"/>
      <c r="Y17506" s="20"/>
    </row>
    <row r="17507" spans="24:25">
      <c r="X17507" s="19"/>
      <c r="Y17507" s="20"/>
    </row>
    <row r="17508" spans="24:25">
      <c r="X17508" s="19"/>
      <c r="Y17508" s="20"/>
    </row>
    <row r="17509" spans="24:25">
      <c r="X17509" s="19"/>
      <c r="Y17509" s="20"/>
    </row>
    <row r="17510" spans="24:25">
      <c r="X17510" s="19"/>
      <c r="Y17510" s="20"/>
    </row>
    <row r="17511" spans="24:25">
      <c r="X17511" s="19"/>
      <c r="Y17511" s="20"/>
    </row>
    <row r="17512" spans="24:25">
      <c r="X17512" s="19"/>
      <c r="Y17512" s="20"/>
    </row>
    <row r="17513" spans="24:25">
      <c r="X17513" s="19"/>
      <c r="Y17513" s="20"/>
    </row>
    <row r="17514" spans="24:25">
      <c r="X17514" s="19"/>
      <c r="Y17514" s="20"/>
    </row>
    <row r="17515" spans="24:25">
      <c r="X17515" s="19"/>
      <c r="Y17515" s="20"/>
    </row>
    <row r="17516" spans="24:25">
      <c r="X17516" s="19"/>
      <c r="Y17516" s="20"/>
    </row>
    <row r="17517" spans="24:25">
      <c r="X17517" s="19"/>
      <c r="Y17517" s="20"/>
    </row>
    <row r="17518" spans="24:25">
      <c r="X17518" s="19"/>
      <c r="Y17518" s="20"/>
    </row>
    <row r="17519" spans="24:25">
      <c r="X17519" s="19"/>
      <c r="Y17519" s="20"/>
    </row>
    <row r="17520" spans="24:25">
      <c r="X17520" s="19"/>
      <c r="Y17520" s="20"/>
    </row>
    <row r="17521" spans="24:25">
      <c r="X17521" s="19"/>
      <c r="Y17521" s="20"/>
    </row>
    <row r="17522" spans="24:25">
      <c r="X17522" s="19"/>
      <c r="Y17522" s="20"/>
    </row>
    <row r="17523" spans="24:25">
      <c r="X17523" s="19"/>
      <c r="Y17523" s="20"/>
    </row>
    <row r="17524" spans="24:25">
      <c r="X17524" s="19"/>
      <c r="Y17524" s="20"/>
    </row>
    <row r="17525" spans="24:25">
      <c r="X17525" s="19"/>
      <c r="Y17525" s="20"/>
    </row>
    <row r="17526" spans="24:25">
      <c r="X17526" s="19"/>
      <c r="Y17526" s="20"/>
    </row>
    <row r="17527" spans="24:25">
      <c r="X17527" s="19"/>
      <c r="Y17527" s="20"/>
    </row>
    <row r="17528" spans="24:25">
      <c r="X17528" s="19"/>
      <c r="Y17528" s="20"/>
    </row>
    <row r="17529" spans="24:25">
      <c r="X17529" s="19"/>
      <c r="Y17529" s="20"/>
    </row>
    <row r="17530" spans="24:25">
      <c r="X17530" s="19"/>
      <c r="Y17530" s="20"/>
    </row>
    <row r="17531" spans="24:25">
      <c r="X17531" s="19"/>
      <c r="Y17531" s="20"/>
    </row>
    <row r="17532" spans="24:25">
      <c r="X17532" s="19"/>
      <c r="Y17532" s="20"/>
    </row>
    <row r="17533" spans="24:25">
      <c r="X17533" s="19"/>
      <c r="Y17533" s="20"/>
    </row>
    <row r="17534" spans="24:25">
      <c r="X17534" s="19"/>
      <c r="Y17534" s="20"/>
    </row>
    <row r="17535" spans="24:25">
      <c r="X17535" s="19"/>
      <c r="Y17535" s="20"/>
    </row>
    <row r="17536" spans="24:25">
      <c r="X17536" s="19"/>
      <c r="Y17536" s="20"/>
    </row>
    <row r="17537" spans="24:25">
      <c r="X17537" s="19"/>
      <c r="Y17537" s="20"/>
    </row>
    <row r="17538" spans="24:25">
      <c r="X17538" s="19"/>
      <c r="Y17538" s="20"/>
    </row>
    <row r="17539" spans="24:25">
      <c r="X17539" s="19"/>
      <c r="Y17539" s="20"/>
    </row>
    <row r="17540" spans="24:25">
      <c r="X17540" s="19"/>
      <c r="Y17540" s="20"/>
    </row>
    <row r="17541" spans="24:25">
      <c r="X17541" s="19"/>
      <c r="Y17541" s="20"/>
    </row>
    <row r="17542" spans="24:25">
      <c r="X17542" s="19"/>
      <c r="Y17542" s="20"/>
    </row>
    <row r="17543" spans="24:25">
      <c r="X17543" s="19"/>
      <c r="Y17543" s="20"/>
    </row>
    <row r="17544" spans="24:25">
      <c r="X17544" s="19"/>
      <c r="Y17544" s="20"/>
    </row>
    <row r="17545" spans="24:25">
      <c r="X17545" s="19"/>
      <c r="Y17545" s="20"/>
    </row>
    <row r="17546" spans="24:25">
      <c r="X17546" s="19"/>
      <c r="Y17546" s="20"/>
    </row>
    <row r="17547" spans="24:25">
      <c r="X17547" s="19"/>
      <c r="Y17547" s="20"/>
    </row>
    <row r="17548" spans="24:25">
      <c r="X17548" s="19"/>
      <c r="Y17548" s="20"/>
    </row>
    <row r="17549" spans="24:25">
      <c r="X17549" s="19"/>
      <c r="Y17549" s="20"/>
    </row>
    <row r="17550" spans="24:25">
      <c r="X17550" s="19"/>
      <c r="Y17550" s="20"/>
    </row>
    <row r="17551" spans="24:25">
      <c r="X17551" s="19"/>
      <c r="Y17551" s="20"/>
    </row>
    <row r="17552" spans="24:25">
      <c r="X17552" s="19"/>
      <c r="Y17552" s="20"/>
    </row>
    <row r="17553" spans="24:25">
      <c r="X17553" s="19"/>
      <c r="Y17553" s="20"/>
    </row>
    <row r="17554" spans="24:25">
      <c r="X17554" s="19"/>
      <c r="Y17554" s="20"/>
    </row>
    <row r="17555" spans="24:25">
      <c r="X17555" s="19"/>
      <c r="Y17555" s="20"/>
    </row>
    <row r="17556" spans="24:25">
      <c r="X17556" s="19"/>
      <c r="Y17556" s="20"/>
    </row>
    <row r="17557" spans="24:25">
      <c r="X17557" s="19"/>
      <c r="Y17557" s="20"/>
    </row>
    <row r="17558" spans="24:25">
      <c r="X17558" s="19"/>
      <c r="Y17558" s="20"/>
    </row>
    <row r="17559" spans="24:25">
      <c r="X17559" s="19"/>
      <c r="Y17559" s="20"/>
    </row>
    <row r="17560" spans="24:25">
      <c r="X17560" s="19"/>
      <c r="Y17560" s="20"/>
    </row>
    <row r="17561" spans="24:25">
      <c r="X17561" s="19"/>
      <c r="Y17561" s="20"/>
    </row>
    <row r="17562" spans="24:25">
      <c r="X17562" s="19"/>
      <c r="Y17562" s="20"/>
    </row>
    <row r="17563" spans="24:25">
      <c r="X17563" s="19"/>
      <c r="Y17563" s="20"/>
    </row>
    <row r="17564" spans="24:25">
      <c r="X17564" s="19"/>
      <c r="Y17564" s="20"/>
    </row>
    <row r="17565" spans="24:25">
      <c r="X17565" s="19"/>
      <c r="Y17565" s="20"/>
    </row>
    <row r="17566" spans="24:25">
      <c r="X17566" s="19"/>
      <c r="Y17566" s="20"/>
    </row>
    <row r="17567" spans="24:25">
      <c r="X17567" s="19"/>
      <c r="Y17567" s="20"/>
    </row>
    <row r="17568" spans="24:25">
      <c r="X17568" s="19"/>
      <c r="Y17568" s="20"/>
    </row>
    <row r="17569" spans="24:25">
      <c r="X17569" s="19"/>
      <c r="Y17569" s="20"/>
    </row>
    <row r="17570" spans="24:25">
      <c r="X17570" s="19"/>
      <c r="Y17570" s="20"/>
    </row>
    <row r="17571" spans="24:25">
      <c r="X17571" s="19"/>
      <c r="Y17571" s="20"/>
    </row>
    <row r="17572" spans="24:25">
      <c r="X17572" s="19"/>
      <c r="Y17572" s="20"/>
    </row>
    <row r="17573" spans="24:25">
      <c r="X17573" s="19"/>
      <c r="Y17573" s="20"/>
    </row>
    <row r="17574" spans="24:25">
      <c r="X17574" s="19"/>
      <c r="Y17574" s="20"/>
    </row>
    <row r="17575" spans="24:25">
      <c r="X17575" s="19"/>
      <c r="Y17575" s="20"/>
    </row>
    <row r="17576" spans="24:25">
      <c r="X17576" s="19"/>
      <c r="Y17576" s="20"/>
    </row>
    <row r="17577" spans="24:25">
      <c r="X17577" s="19"/>
      <c r="Y17577" s="20"/>
    </row>
    <row r="17578" spans="24:25">
      <c r="X17578" s="19"/>
      <c r="Y17578" s="20"/>
    </row>
    <row r="17579" spans="24:25">
      <c r="X17579" s="19"/>
      <c r="Y17579" s="20"/>
    </row>
    <row r="17580" spans="24:25">
      <c r="X17580" s="19"/>
      <c r="Y17580" s="20"/>
    </row>
    <row r="17581" spans="24:25">
      <c r="X17581" s="19"/>
      <c r="Y17581" s="20"/>
    </row>
    <row r="17582" spans="24:25">
      <c r="X17582" s="19"/>
      <c r="Y17582" s="20"/>
    </row>
    <row r="17583" spans="24:25">
      <c r="X17583" s="19"/>
      <c r="Y17583" s="20"/>
    </row>
    <row r="17584" spans="24:25">
      <c r="X17584" s="19"/>
      <c r="Y17584" s="20"/>
    </row>
    <row r="17585" spans="24:25">
      <c r="X17585" s="19"/>
      <c r="Y17585" s="20"/>
    </row>
    <row r="17586" spans="24:25">
      <c r="X17586" s="19"/>
      <c r="Y17586" s="20"/>
    </row>
    <row r="17587" spans="24:25">
      <c r="X17587" s="19"/>
      <c r="Y17587" s="20"/>
    </row>
    <row r="17588" spans="24:25">
      <c r="X17588" s="19"/>
      <c r="Y17588" s="20"/>
    </row>
    <row r="17589" spans="24:25">
      <c r="X17589" s="19"/>
      <c r="Y17589" s="20"/>
    </row>
    <row r="17590" spans="24:25">
      <c r="X17590" s="19"/>
      <c r="Y17590" s="20"/>
    </row>
    <row r="17591" spans="24:25">
      <c r="X17591" s="19"/>
      <c r="Y17591" s="20"/>
    </row>
    <row r="17592" spans="24:25">
      <c r="X17592" s="19"/>
      <c r="Y17592" s="20"/>
    </row>
    <row r="17593" spans="24:25">
      <c r="X17593" s="19"/>
      <c r="Y17593" s="20"/>
    </row>
    <row r="17594" spans="24:25">
      <c r="X17594" s="19"/>
      <c r="Y17594" s="20"/>
    </row>
    <row r="17595" spans="24:25">
      <c r="X17595" s="19"/>
      <c r="Y17595" s="20"/>
    </row>
    <row r="17596" spans="24:25">
      <c r="X17596" s="19"/>
      <c r="Y17596" s="20"/>
    </row>
    <row r="17597" spans="24:25">
      <c r="X17597" s="19"/>
      <c r="Y17597" s="20"/>
    </row>
    <row r="17598" spans="24:25">
      <c r="X17598" s="19"/>
      <c r="Y17598" s="20"/>
    </row>
    <row r="17599" spans="24:25">
      <c r="X17599" s="19"/>
      <c r="Y17599" s="20"/>
    </row>
    <row r="17600" spans="24:25">
      <c r="X17600" s="19"/>
      <c r="Y17600" s="20"/>
    </row>
    <row r="17601" spans="24:25">
      <c r="X17601" s="19"/>
      <c r="Y17601" s="20"/>
    </row>
    <row r="17602" spans="24:25">
      <c r="X17602" s="19"/>
      <c r="Y17602" s="20"/>
    </row>
    <row r="17603" spans="24:25">
      <c r="X17603" s="19"/>
      <c r="Y17603" s="20"/>
    </row>
    <row r="17604" spans="24:25">
      <c r="X17604" s="19"/>
      <c r="Y17604" s="20"/>
    </row>
    <row r="17605" spans="24:25">
      <c r="X17605" s="19"/>
      <c r="Y17605" s="20"/>
    </row>
    <row r="17606" spans="24:25">
      <c r="X17606" s="19"/>
      <c r="Y17606" s="20"/>
    </row>
    <row r="17607" spans="24:25">
      <c r="X17607" s="19"/>
      <c r="Y17607" s="20"/>
    </row>
    <row r="17608" spans="24:25">
      <c r="X17608" s="19"/>
      <c r="Y17608" s="20"/>
    </row>
    <row r="17609" spans="24:25">
      <c r="X17609" s="19"/>
      <c r="Y17609" s="20"/>
    </row>
    <row r="17610" spans="24:25">
      <c r="X17610" s="19"/>
      <c r="Y17610" s="20"/>
    </row>
    <row r="17611" spans="24:25">
      <c r="X17611" s="19"/>
      <c r="Y17611" s="20"/>
    </row>
    <row r="17612" spans="24:25">
      <c r="X17612" s="19"/>
      <c r="Y17612" s="20"/>
    </row>
    <row r="17613" spans="24:25">
      <c r="X17613" s="19"/>
      <c r="Y17613" s="20"/>
    </row>
    <row r="17614" spans="24:25">
      <c r="X17614" s="19"/>
      <c r="Y17614" s="20"/>
    </row>
    <row r="17615" spans="24:25">
      <c r="X17615" s="19"/>
      <c r="Y17615" s="20"/>
    </row>
    <row r="17616" spans="24:25">
      <c r="X17616" s="19"/>
      <c r="Y17616" s="20"/>
    </row>
    <row r="17617" spans="24:25">
      <c r="X17617" s="19"/>
      <c r="Y17617" s="20"/>
    </row>
    <row r="17618" spans="24:25">
      <c r="X17618" s="19"/>
      <c r="Y17618" s="20"/>
    </row>
    <row r="17619" spans="24:25">
      <c r="X17619" s="19"/>
      <c r="Y17619" s="20"/>
    </row>
    <row r="17620" spans="24:25">
      <c r="X17620" s="19"/>
      <c r="Y17620" s="20"/>
    </row>
    <row r="17621" spans="24:25">
      <c r="X17621" s="19"/>
      <c r="Y17621" s="20"/>
    </row>
    <row r="17622" spans="24:25">
      <c r="X17622" s="19"/>
      <c r="Y17622" s="20"/>
    </row>
    <row r="17623" spans="24:25">
      <c r="X17623" s="19"/>
      <c r="Y17623" s="20"/>
    </row>
    <row r="17624" spans="24:25">
      <c r="X17624" s="19"/>
      <c r="Y17624" s="20"/>
    </row>
    <row r="17625" spans="24:25">
      <c r="X17625" s="19"/>
      <c r="Y17625" s="20"/>
    </row>
    <row r="17626" spans="24:25">
      <c r="X17626" s="19"/>
      <c r="Y17626" s="20"/>
    </row>
    <row r="17627" spans="24:25">
      <c r="X17627" s="19"/>
      <c r="Y17627" s="20"/>
    </row>
    <row r="17628" spans="24:25">
      <c r="X17628" s="19"/>
      <c r="Y17628" s="20"/>
    </row>
    <row r="17629" spans="24:25">
      <c r="X17629" s="19"/>
      <c r="Y17629" s="20"/>
    </row>
    <row r="17630" spans="24:25">
      <c r="X17630" s="19"/>
      <c r="Y17630" s="20"/>
    </row>
    <row r="17631" spans="24:25">
      <c r="X17631" s="19"/>
      <c r="Y17631" s="20"/>
    </row>
    <row r="17632" spans="24:25">
      <c r="X17632" s="19"/>
      <c r="Y17632" s="20"/>
    </row>
    <row r="17633" spans="24:25">
      <c r="X17633" s="19"/>
      <c r="Y17633" s="20"/>
    </row>
    <row r="17634" spans="24:25">
      <c r="X17634" s="19"/>
      <c r="Y17634" s="20"/>
    </row>
    <row r="17635" spans="24:25">
      <c r="X17635" s="19"/>
      <c r="Y17635" s="20"/>
    </row>
    <row r="17636" spans="24:25">
      <c r="X17636" s="19"/>
      <c r="Y17636" s="20"/>
    </row>
    <row r="17637" spans="24:25">
      <c r="X17637" s="19"/>
      <c r="Y17637" s="20"/>
    </row>
    <row r="17638" spans="24:25">
      <c r="X17638" s="19"/>
      <c r="Y17638" s="20"/>
    </row>
    <row r="17639" spans="24:25">
      <c r="X17639" s="19"/>
      <c r="Y17639" s="20"/>
    </row>
    <row r="17640" spans="24:25">
      <c r="X17640" s="19"/>
      <c r="Y17640" s="20"/>
    </row>
    <row r="17641" spans="24:25">
      <c r="X17641" s="19"/>
      <c r="Y17641" s="20"/>
    </row>
    <row r="17642" spans="24:25">
      <c r="X17642" s="19"/>
      <c r="Y17642" s="20"/>
    </row>
    <row r="17643" spans="24:25">
      <c r="X17643" s="19"/>
      <c r="Y17643" s="20"/>
    </row>
    <row r="17644" spans="24:25">
      <c r="X17644" s="19"/>
      <c r="Y17644" s="20"/>
    </row>
    <row r="17645" spans="24:25">
      <c r="X17645" s="19"/>
      <c r="Y17645" s="20"/>
    </row>
    <row r="17646" spans="24:25">
      <c r="X17646" s="19"/>
      <c r="Y17646" s="20"/>
    </row>
    <row r="17647" spans="24:25">
      <c r="X17647" s="19"/>
      <c r="Y17647" s="20"/>
    </row>
    <row r="17648" spans="24:25">
      <c r="X17648" s="19"/>
      <c r="Y17648" s="20"/>
    </row>
    <row r="17649" spans="24:25">
      <c r="X17649" s="19"/>
      <c r="Y17649" s="20"/>
    </row>
    <row r="17650" spans="24:25">
      <c r="X17650" s="19"/>
      <c r="Y17650" s="20"/>
    </row>
    <row r="17651" spans="24:25">
      <c r="X17651" s="19"/>
      <c r="Y17651" s="20"/>
    </row>
    <row r="17652" spans="24:25">
      <c r="X17652" s="19"/>
      <c r="Y17652" s="20"/>
    </row>
    <row r="17653" spans="24:25">
      <c r="X17653" s="19"/>
      <c r="Y17653" s="20"/>
    </row>
    <row r="17654" spans="24:25">
      <c r="X17654" s="19"/>
      <c r="Y17654" s="20"/>
    </row>
    <row r="17655" spans="24:25">
      <c r="X17655" s="19"/>
      <c r="Y17655" s="20"/>
    </row>
    <row r="17656" spans="24:25">
      <c r="X17656" s="19"/>
      <c r="Y17656" s="20"/>
    </row>
    <row r="17657" spans="24:25">
      <c r="X17657" s="19"/>
      <c r="Y17657" s="20"/>
    </row>
    <row r="17658" spans="24:25">
      <c r="X17658" s="19"/>
      <c r="Y17658" s="20"/>
    </row>
    <row r="17659" spans="24:25">
      <c r="X17659" s="19"/>
      <c r="Y17659" s="20"/>
    </row>
    <row r="17660" spans="24:25">
      <c r="X17660" s="19"/>
      <c r="Y17660" s="20"/>
    </row>
    <row r="17661" spans="24:25">
      <c r="X17661" s="19"/>
      <c r="Y17661" s="20"/>
    </row>
    <row r="17662" spans="24:25">
      <c r="X17662" s="19"/>
      <c r="Y17662" s="20"/>
    </row>
    <row r="17663" spans="24:25">
      <c r="X17663" s="19"/>
      <c r="Y17663" s="20"/>
    </row>
    <row r="17664" spans="24:25">
      <c r="X17664" s="19"/>
      <c r="Y17664" s="20"/>
    </row>
    <row r="17665" spans="24:25">
      <c r="X17665" s="19"/>
      <c r="Y17665" s="20"/>
    </row>
    <row r="17666" spans="24:25">
      <c r="X17666" s="19"/>
      <c r="Y17666" s="20"/>
    </row>
    <row r="17667" spans="24:25">
      <c r="X17667" s="19"/>
      <c r="Y17667" s="20"/>
    </row>
    <row r="17668" spans="24:25">
      <c r="X17668" s="19"/>
      <c r="Y17668" s="20"/>
    </row>
    <row r="17669" spans="24:25">
      <c r="X17669" s="19"/>
      <c r="Y17669" s="20"/>
    </row>
    <row r="17670" spans="24:25">
      <c r="X17670" s="19"/>
      <c r="Y17670" s="20"/>
    </row>
    <row r="17671" spans="24:25">
      <c r="X17671" s="19"/>
      <c r="Y17671" s="20"/>
    </row>
    <row r="17672" spans="24:25">
      <c r="X17672" s="19"/>
      <c r="Y17672" s="20"/>
    </row>
    <row r="17673" spans="24:25">
      <c r="X17673" s="19"/>
      <c r="Y17673" s="20"/>
    </row>
    <row r="17674" spans="24:25">
      <c r="X17674" s="19"/>
      <c r="Y17674" s="20"/>
    </row>
    <row r="17675" spans="24:25">
      <c r="X17675" s="19"/>
      <c r="Y17675" s="20"/>
    </row>
    <row r="17676" spans="24:25">
      <c r="X17676" s="19"/>
      <c r="Y17676" s="20"/>
    </row>
    <row r="17677" spans="24:25">
      <c r="X17677" s="19"/>
      <c r="Y17677" s="20"/>
    </row>
    <row r="17678" spans="24:25">
      <c r="X17678" s="19"/>
      <c r="Y17678" s="20"/>
    </row>
    <row r="17679" spans="24:25">
      <c r="X17679" s="19"/>
      <c r="Y17679" s="20"/>
    </row>
    <row r="17680" spans="24:25">
      <c r="X17680" s="19"/>
      <c r="Y17680" s="20"/>
    </row>
    <row r="17681" spans="24:25">
      <c r="X17681" s="19"/>
      <c r="Y17681" s="20"/>
    </row>
    <row r="17682" spans="24:25">
      <c r="X17682" s="19"/>
      <c r="Y17682" s="20"/>
    </row>
    <row r="17683" spans="24:25">
      <c r="X17683" s="19"/>
      <c r="Y17683" s="20"/>
    </row>
    <row r="17684" spans="24:25">
      <c r="X17684" s="19"/>
      <c r="Y17684" s="20"/>
    </row>
    <row r="17685" spans="24:25">
      <c r="X17685" s="19"/>
      <c r="Y17685" s="20"/>
    </row>
    <row r="17686" spans="24:25">
      <c r="X17686" s="19"/>
      <c r="Y17686" s="20"/>
    </row>
    <row r="17687" spans="24:25">
      <c r="X17687" s="19"/>
      <c r="Y17687" s="20"/>
    </row>
    <row r="17688" spans="24:25">
      <c r="X17688" s="19"/>
      <c r="Y17688" s="20"/>
    </row>
    <row r="17689" spans="24:25">
      <c r="X17689" s="19"/>
      <c r="Y17689" s="20"/>
    </row>
    <row r="17690" spans="24:25">
      <c r="X17690" s="19"/>
      <c r="Y17690" s="20"/>
    </row>
    <row r="17691" spans="24:25">
      <c r="X17691" s="19"/>
      <c r="Y17691" s="20"/>
    </row>
    <row r="17692" spans="24:25">
      <c r="X17692" s="19"/>
      <c r="Y17692" s="20"/>
    </row>
    <row r="17693" spans="24:25">
      <c r="X17693" s="19"/>
      <c r="Y17693" s="20"/>
    </row>
    <row r="17694" spans="24:25">
      <c r="X17694" s="19"/>
      <c r="Y17694" s="20"/>
    </row>
    <row r="17695" spans="24:25">
      <c r="X17695" s="19"/>
      <c r="Y17695" s="20"/>
    </row>
    <row r="17696" spans="24:25">
      <c r="X17696" s="19"/>
      <c r="Y17696" s="20"/>
    </row>
    <row r="17697" spans="24:25">
      <c r="X17697" s="19"/>
      <c r="Y17697" s="20"/>
    </row>
    <row r="17698" spans="24:25">
      <c r="X17698" s="19"/>
      <c r="Y17698" s="20"/>
    </row>
    <row r="17699" spans="24:25">
      <c r="X17699" s="19"/>
      <c r="Y17699" s="20"/>
    </row>
    <row r="17700" spans="24:25">
      <c r="X17700" s="19"/>
      <c r="Y17700" s="20"/>
    </row>
    <row r="17701" spans="24:25">
      <c r="X17701" s="19"/>
      <c r="Y17701" s="20"/>
    </row>
    <row r="17702" spans="24:25">
      <c r="X17702" s="19"/>
      <c r="Y17702" s="20"/>
    </row>
    <row r="17703" spans="24:25">
      <c r="X17703" s="19"/>
      <c r="Y17703" s="20"/>
    </row>
    <row r="17704" spans="24:25">
      <c r="X17704" s="19"/>
      <c r="Y17704" s="20"/>
    </row>
    <row r="17705" spans="24:25">
      <c r="X17705" s="19"/>
      <c r="Y17705" s="20"/>
    </row>
    <row r="17706" spans="24:25">
      <c r="X17706" s="19"/>
      <c r="Y17706" s="20"/>
    </row>
    <row r="17707" spans="24:25">
      <c r="X17707" s="19"/>
      <c r="Y17707" s="20"/>
    </row>
    <row r="17708" spans="24:25">
      <c r="X17708" s="19"/>
      <c r="Y17708" s="20"/>
    </row>
    <row r="17709" spans="24:25">
      <c r="X17709" s="19"/>
      <c r="Y17709" s="20"/>
    </row>
    <row r="17710" spans="24:25">
      <c r="X17710" s="19"/>
      <c r="Y17710" s="20"/>
    </row>
    <row r="17711" spans="24:25">
      <c r="X17711" s="19"/>
      <c r="Y17711" s="20"/>
    </row>
    <row r="17712" spans="24:25">
      <c r="X17712" s="19"/>
      <c r="Y17712" s="20"/>
    </row>
    <row r="17713" spans="24:25">
      <c r="X17713" s="19"/>
      <c r="Y17713" s="20"/>
    </row>
    <row r="17714" spans="24:25">
      <c r="X17714" s="19"/>
      <c r="Y17714" s="20"/>
    </row>
    <row r="17715" spans="24:25">
      <c r="X17715" s="19"/>
      <c r="Y17715" s="20"/>
    </row>
    <row r="17716" spans="24:25">
      <c r="X17716" s="19"/>
      <c r="Y17716" s="20"/>
    </row>
    <row r="17717" spans="24:25">
      <c r="X17717" s="19"/>
      <c r="Y17717" s="20"/>
    </row>
    <row r="17718" spans="24:25">
      <c r="X17718" s="19"/>
      <c r="Y17718" s="20"/>
    </row>
    <row r="17719" spans="24:25">
      <c r="X17719" s="19"/>
      <c r="Y17719" s="20"/>
    </row>
    <row r="17720" spans="24:25">
      <c r="X17720" s="19"/>
      <c r="Y17720" s="20"/>
    </row>
    <row r="17721" spans="24:25">
      <c r="X17721" s="19"/>
      <c r="Y17721" s="20"/>
    </row>
    <row r="17722" spans="24:25">
      <c r="X17722" s="19"/>
      <c r="Y17722" s="20"/>
    </row>
    <row r="17723" spans="24:25">
      <c r="X17723" s="19"/>
      <c r="Y17723" s="20"/>
    </row>
    <row r="17724" spans="24:25">
      <c r="X17724" s="19"/>
      <c r="Y17724" s="20"/>
    </row>
    <row r="17725" spans="24:25">
      <c r="X17725" s="19"/>
      <c r="Y17725" s="20"/>
    </row>
    <row r="17726" spans="24:25">
      <c r="X17726" s="19"/>
      <c r="Y17726" s="20"/>
    </row>
    <row r="17727" spans="24:25">
      <c r="X17727" s="19"/>
      <c r="Y17727" s="20"/>
    </row>
    <row r="17728" spans="24:25">
      <c r="X17728" s="19"/>
      <c r="Y17728" s="20"/>
    </row>
    <row r="17729" spans="24:25">
      <c r="X17729" s="19"/>
      <c r="Y17729" s="20"/>
    </row>
    <row r="17730" spans="24:25">
      <c r="X17730" s="19"/>
      <c r="Y17730" s="20"/>
    </row>
    <row r="17731" spans="24:25">
      <c r="X17731" s="19"/>
      <c r="Y17731" s="20"/>
    </row>
    <row r="17732" spans="24:25">
      <c r="X17732" s="19"/>
      <c r="Y17732" s="20"/>
    </row>
    <row r="17733" spans="24:25">
      <c r="X17733" s="19"/>
      <c r="Y17733" s="20"/>
    </row>
    <row r="17734" spans="24:25">
      <c r="X17734" s="19"/>
      <c r="Y17734" s="20"/>
    </row>
    <row r="17735" spans="24:25">
      <c r="X17735" s="19"/>
      <c r="Y17735" s="20"/>
    </row>
    <row r="17736" spans="24:25">
      <c r="X17736" s="19"/>
      <c r="Y17736" s="20"/>
    </row>
    <row r="17737" spans="24:25">
      <c r="X17737" s="19"/>
      <c r="Y17737" s="20"/>
    </row>
    <row r="17738" spans="24:25">
      <c r="X17738" s="19"/>
      <c r="Y17738" s="20"/>
    </row>
    <row r="17739" spans="24:25">
      <c r="X17739" s="19"/>
      <c r="Y17739" s="20"/>
    </row>
    <row r="17740" spans="24:25">
      <c r="X17740" s="19"/>
      <c r="Y17740" s="20"/>
    </row>
    <row r="17741" spans="24:25">
      <c r="X17741" s="19"/>
      <c r="Y17741" s="20"/>
    </row>
    <row r="17742" spans="24:25">
      <c r="X17742" s="19"/>
      <c r="Y17742" s="20"/>
    </row>
    <row r="17743" spans="24:25">
      <c r="X17743" s="19"/>
      <c r="Y17743" s="20"/>
    </row>
    <row r="17744" spans="24:25">
      <c r="X17744" s="19"/>
      <c r="Y17744" s="20"/>
    </row>
    <row r="17745" spans="24:25">
      <c r="X17745" s="19"/>
      <c r="Y17745" s="20"/>
    </row>
    <row r="17746" spans="24:25">
      <c r="X17746" s="19"/>
      <c r="Y17746" s="20"/>
    </row>
    <row r="17747" spans="24:25">
      <c r="X17747" s="19"/>
      <c r="Y17747" s="20"/>
    </row>
    <row r="17748" spans="24:25">
      <c r="X17748" s="19"/>
      <c r="Y17748" s="20"/>
    </row>
    <row r="17749" spans="24:25">
      <c r="X17749" s="19"/>
      <c r="Y17749" s="20"/>
    </row>
    <row r="17750" spans="24:25">
      <c r="X17750" s="19"/>
      <c r="Y17750" s="20"/>
    </row>
    <row r="17751" spans="24:25">
      <c r="X17751" s="19"/>
      <c r="Y17751" s="20"/>
    </row>
    <row r="17752" spans="24:25">
      <c r="X17752" s="19"/>
      <c r="Y17752" s="20"/>
    </row>
    <row r="17753" spans="24:25">
      <c r="X17753" s="19"/>
      <c r="Y17753" s="20"/>
    </row>
    <row r="17754" spans="24:25">
      <c r="X17754" s="19"/>
      <c r="Y17754" s="20"/>
    </row>
    <row r="17755" spans="24:25">
      <c r="X17755" s="19"/>
      <c r="Y17755" s="20"/>
    </row>
    <row r="17756" spans="24:25">
      <c r="X17756" s="19"/>
      <c r="Y17756" s="20"/>
    </row>
    <row r="17757" spans="24:25">
      <c r="X17757" s="19"/>
      <c r="Y17757" s="20"/>
    </row>
    <row r="17758" spans="24:25">
      <c r="X17758" s="19"/>
      <c r="Y17758" s="20"/>
    </row>
    <row r="17759" spans="24:25">
      <c r="X17759" s="19"/>
      <c r="Y17759" s="20"/>
    </row>
    <row r="17760" spans="24:25">
      <c r="X17760" s="19"/>
      <c r="Y17760" s="20"/>
    </row>
    <row r="17761" spans="24:25">
      <c r="X17761" s="19"/>
      <c r="Y17761" s="20"/>
    </row>
    <row r="17762" spans="24:25">
      <c r="X17762" s="19"/>
      <c r="Y17762" s="20"/>
    </row>
    <row r="17763" spans="24:25">
      <c r="X17763" s="19"/>
      <c r="Y17763" s="20"/>
    </row>
    <row r="17764" spans="24:25">
      <c r="X17764" s="19"/>
      <c r="Y17764" s="20"/>
    </row>
    <row r="17765" spans="24:25">
      <c r="X17765" s="19"/>
      <c r="Y17765" s="20"/>
    </row>
    <row r="17766" spans="24:25">
      <c r="X17766" s="19"/>
      <c r="Y17766" s="20"/>
    </row>
    <row r="17767" spans="24:25">
      <c r="X17767" s="19"/>
      <c r="Y17767" s="20"/>
    </row>
    <row r="17768" spans="24:25">
      <c r="X17768" s="19"/>
      <c r="Y17768" s="20"/>
    </row>
    <row r="17769" spans="24:25">
      <c r="X17769" s="19"/>
      <c r="Y17769" s="20"/>
    </row>
    <row r="17770" spans="24:25">
      <c r="X17770" s="19"/>
      <c r="Y17770" s="20"/>
    </row>
    <row r="17771" spans="24:25">
      <c r="X17771" s="19"/>
      <c r="Y17771" s="20"/>
    </row>
    <row r="17772" spans="24:25">
      <c r="X17772" s="19"/>
      <c r="Y17772" s="20"/>
    </row>
    <row r="17773" spans="24:25">
      <c r="X17773" s="19"/>
      <c r="Y17773" s="20"/>
    </row>
    <row r="17774" spans="24:25">
      <c r="X17774" s="19"/>
      <c r="Y17774" s="20"/>
    </row>
    <row r="17775" spans="24:25">
      <c r="X17775" s="19"/>
      <c r="Y17775" s="20"/>
    </row>
    <row r="17776" spans="24:25">
      <c r="X17776" s="19"/>
      <c r="Y17776" s="20"/>
    </row>
    <row r="17777" spans="24:25">
      <c r="X17777" s="19"/>
      <c r="Y17777" s="20"/>
    </row>
    <row r="17778" spans="24:25">
      <c r="X17778" s="19"/>
      <c r="Y17778" s="20"/>
    </row>
    <row r="17779" spans="24:25">
      <c r="X17779" s="19"/>
      <c r="Y17779" s="20"/>
    </row>
    <row r="17780" spans="24:25">
      <c r="X17780" s="19"/>
      <c r="Y17780" s="20"/>
    </row>
    <row r="17781" spans="24:25">
      <c r="X17781" s="19"/>
      <c r="Y17781" s="20"/>
    </row>
    <row r="17782" spans="24:25">
      <c r="X17782" s="19"/>
      <c r="Y17782" s="20"/>
    </row>
    <row r="17783" spans="24:25">
      <c r="X17783" s="19"/>
      <c r="Y17783" s="20"/>
    </row>
    <row r="17784" spans="24:25">
      <c r="X17784" s="19"/>
      <c r="Y17784" s="20"/>
    </row>
    <row r="17785" spans="24:25">
      <c r="X17785" s="19"/>
      <c r="Y17785" s="20"/>
    </row>
    <row r="17786" spans="24:25">
      <c r="X17786" s="19"/>
      <c r="Y17786" s="20"/>
    </row>
    <row r="17787" spans="24:25">
      <c r="X17787" s="19"/>
      <c r="Y17787" s="20"/>
    </row>
    <row r="17788" spans="24:25">
      <c r="X17788" s="19"/>
      <c r="Y17788" s="20"/>
    </row>
    <row r="17789" spans="24:25">
      <c r="X17789" s="19"/>
      <c r="Y17789" s="20"/>
    </row>
    <row r="17790" spans="24:25">
      <c r="X17790" s="19"/>
      <c r="Y17790" s="20"/>
    </row>
    <row r="17791" spans="24:25">
      <c r="X17791" s="19"/>
      <c r="Y17791" s="20"/>
    </row>
    <row r="17792" spans="24:25">
      <c r="X17792" s="19"/>
      <c r="Y17792" s="20"/>
    </row>
    <row r="17793" spans="24:25">
      <c r="X17793" s="19"/>
      <c r="Y17793" s="20"/>
    </row>
    <row r="17794" spans="24:25">
      <c r="X17794" s="19"/>
      <c r="Y17794" s="20"/>
    </row>
    <row r="17795" spans="24:25">
      <c r="X17795" s="19"/>
      <c r="Y17795" s="20"/>
    </row>
    <row r="17796" spans="24:25">
      <c r="X17796" s="19"/>
      <c r="Y17796" s="20"/>
    </row>
    <row r="17797" spans="24:25">
      <c r="X17797" s="19"/>
      <c r="Y17797" s="20"/>
    </row>
    <row r="17798" spans="24:25">
      <c r="X17798" s="19"/>
      <c r="Y17798" s="20"/>
    </row>
    <row r="17799" spans="24:25">
      <c r="X17799" s="19"/>
      <c r="Y17799" s="20"/>
    </row>
    <row r="17800" spans="24:25">
      <c r="X17800" s="19"/>
      <c r="Y17800" s="20"/>
    </row>
    <row r="17801" spans="24:25">
      <c r="X17801" s="19"/>
      <c r="Y17801" s="20"/>
    </row>
    <row r="17802" spans="24:25">
      <c r="X17802" s="19"/>
      <c r="Y17802" s="20"/>
    </row>
    <row r="17803" spans="24:25">
      <c r="X17803" s="19"/>
      <c r="Y17803" s="20"/>
    </row>
    <row r="17804" spans="24:25">
      <c r="X17804" s="19"/>
      <c r="Y17804" s="20"/>
    </row>
    <row r="17805" spans="24:25">
      <c r="X17805" s="19"/>
      <c r="Y17805" s="20"/>
    </row>
    <row r="17806" spans="24:25">
      <c r="X17806" s="19"/>
      <c r="Y17806" s="20"/>
    </row>
    <row r="17807" spans="24:25">
      <c r="X17807" s="19"/>
      <c r="Y17807" s="20"/>
    </row>
    <row r="17808" spans="24:25">
      <c r="X17808" s="19"/>
      <c r="Y17808" s="20"/>
    </row>
    <row r="17809" spans="24:25">
      <c r="X17809" s="19"/>
      <c r="Y17809" s="20"/>
    </row>
    <row r="17810" spans="24:25">
      <c r="X17810" s="19"/>
      <c r="Y17810" s="20"/>
    </row>
    <row r="17811" spans="24:25">
      <c r="X17811" s="19"/>
      <c r="Y17811" s="20"/>
    </row>
    <row r="17812" spans="24:25">
      <c r="X17812" s="19"/>
      <c r="Y17812" s="20"/>
    </row>
    <row r="17813" spans="24:25">
      <c r="X17813" s="19"/>
      <c r="Y17813" s="20"/>
    </row>
    <row r="17814" spans="24:25">
      <c r="X17814" s="19"/>
      <c r="Y17814" s="20"/>
    </row>
    <row r="17815" spans="24:25">
      <c r="X17815" s="19"/>
      <c r="Y17815" s="20"/>
    </row>
    <row r="17816" spans="24:25">
      <c r="X17816" s="19"/>
      <c r="Y17816" s="20"/>
    </row>
    <row r="17817" spans="24:25">
      <c r="X17817" s="19"/>
      <c r="Y17817" s="20"/>
    </row>
    <row r="17818" spans="24:25">
      <c r="X17818" s="19"/>
      <c r="Y17818" s="20"/>
    </row>
    <row r="17819" spans="24:25">
      <c r="X17819" s="19"/>
      <c r="Y17819" s="20"/>
    </row>
    <row r="17820" spans="24:25">
      <c r="X17820" s="19"/>
      <c r="Y17820" s="20"/>
    </row>
    <row r="17821" spans="24:25">
      <c r="X17821" s="19"/>
      <c r="Y17821" s="20"/>
    </row>
    <row r="17822" spans="24:25">
      <c r="X17822" s="19"/>
      <c r="Y17822" s="20"/>
    </row>
    <row r="17823" spans="24:25">
      <c r="X17823" s="19"/>
      <c r="Y17823" s="20"/>
    </row>
    <row r="17824" spans="24:25">
      <c r="X17824" s="19"/>
      <c r="Y17824" s="20"/>
    </row>
    <row r="17825" spans="24:25">
      <c r="X17825" s="19"/>
      <c r="Y17825" s="20"/>
    </row>
    <row r="17826" spans="24:25">
      <c r="X17826" s="19"/>
      <c r="Y17826" s="20"/>
    </row>
    <row r="17827" spans="24:25">
      <c r="X17827" s="19"/>
      <c r="Y17827" s="20"/>
    </row>
    <row r="17828" spans="24:25">
      <c r="X17828" s="19"/>
      <c r="Y17828" s="20"/>
    </row>
    <row r="17829" spans="24:25">
      <c r="X17829" s="19"/>
      <c r="Y17829" s="20"/>
    </row>
    <row r="17830" spans="24:25">
      <c r="X17830" s="19"/>
      <c r="Y17830" s="20"/>
    </row>
    <row r="17831" spans="24:25">
      <c r="X17831" s="19"/>
      <c r="Y17831" s="20"/>
    </row>
    <row r="17832" spans="24:25">
      <c r="X17832" s="19"/>
      <c r="Y17832" s="20"/>
    </row>
    <row r="17833" spans="24:25">
      <c r="X17833" s="19"/>
      <c r="Y17833" s="20"/>
    </row>
    <row r="17834" spans="24:25">
      <c r="X17834" s="19"/>
      <c r="Y17834" s="20"/>
    </row>
    <row r="17835" spans="24:25">
      <c r="X17835" s="19"/>
      <c r="Y17835" s="20"/>
    </row>
    <row r="17836" spans="24:25">
      <c r="X17836" s="19"/>
      <c r="Y17836" s="20"/>
    </row>
    <row r="17837" spans="24:25">
      <c r="X17837" s="19"/>
      <c r="Y17837" s="20"/>
    </row>
    <row r="17838" spans="24:25">
      <c r="X17838" s="19"/>
      <c r="Y17838" s="20"/>
    </row>
    <row r="17839" spans="24:25">
      <c r="X17839" s="19"/>
      <c r="Y17839" s="20"/>
    </row>
    <row r="17840" spans="24:25">
      <c r="X17840" s="19"/>
      <c r="Y17840" s="20"/>
    </row>
    <row r="17841" spans="24:25">
      <c r="X17841" s="19"/>
      <c r="Y17841" s="20"/>
    </row>
    <row r="17842" spans="24:25">
      <c r="X17842" s="19"/>
      <c r="Y17842" s="20"/>
    </row>
    <row r="17843" spans="24:25">
      <c r="X17843" s="19"/>
      <c r="Y17843" s="20"/>
    </row>
    <row r="17844" spans="24:25">
      <c r="X17844" s="19"/>
      <c r="Y17844" s="20"/>
    </row>
    <row r="17845" spans="24:25">
      <c r="X17845" s="19"/>
      <c r="Y17845" s="20"/>
    </row>
    <row r="17846" spans="24:25">
      <c r="X17846" s="19"/>
      <c r="Y17846" s="20"/>
    </row>
    <row r="17847" spans="24:25">
      <c r="X17847" s="19"/>
      <c r="Y17847" s="20"/>
    </row>
    <row r="17848" spans="24:25">
      <c r="X17848" s="19"/>
      <c r="Y17848" s="20"/>
    </row>
    <row r="17849" spans="24:25">
      <c r="X17849" s="19"/>
      <c r="Y17849" s="20"/>
    </row>
    <row r="17850" spans="24:25">
      <c r="X17850" s="19"/>
      <c r="Y17850" s="20"/>
    </row>
    <row r="17851" spans="24:25">
      <c r="X17851" s="19"/>
      <c r="Y17851" s="20"/>
    </row>
    <row r="17852" spans="24:25">
      <c r="X17852" s="19"/>
      <c r="Y17852" s="20"/>
    </row>
    <row r="17853" spans="24:25">
      <c r="X17853" s="19"/>
      <c r="Y17853" s="20"/>
    </row>
    <row r="17854" spans="24:25">
      <c r="X17854" s="19"/>
      <c r="Y17854" s="20"/>
    </row>
    <row r="17855" spans="24:25">
      <c r="X17855" s="19"/>
      <c r="Y17855" s="20"/>
    </row>
    <row r="17856" spans="24:25">
      <c r="X17856" s="19"/>
      <c r="Y17856" s="20"/>
    </row>
    <row r="17857" spans="24:25">
      <c r="X17857" s="19"/>
      <c r="Y17857" s="20"/>
    </row>
    <row r="17858" spans="24:25">
      <c r="X17858" s="19"/>
      <c r="Y17858" s="20"/>
    </row>
    <row r="17859" spans="24:25">
      <c r="X17859" s="19"/>
      <c r="Y17859" s="20"/>
    </row>
    <row r="17860" spans="24:25">
      <c r="X17860" s="19"/>
      <c r="Y17860" s="20"/>
    </row>
    <row r="17861" spans="24:25">
      <c r="X17861" s="19"/>
      <c r="Y17861" s="20"/>
    </row>
    <row r="17862" spans="24:25">
      <c r="X17862" s="19"/>
      <c r="Y17862" s="20"/>
    </row>
    <row r="17863" spans="24:25">
      <c r="X17863" s="19"/>
      <c r="Y17863" s="20"/>
    </row>
    <row r="17864" spans="24:25">
      <c r="X17864" s="19"/>
      <c r="Y17864" s="20"/>
    </row>
    <row r="17865" spans="24:25">
      <c r="X17865" s="19"/>
      <c r="Y17865" s="20"/>
    </row>
    <row r="17866" spans="24:25">
      <c r="X17866" s="19"/>
      <c r="Y17866" s="20"/>
    </row>
    <row r="17867" spans="24:25">
      <c r="X17867" s="19"/>
      <c r="Y17867" s="20"/>
    </row>
    <row r="17868" spans="24:25">
      <c r="X17868" s="19"/>
      <c r="Y17868" s="20"/>
    </row>
    <row r="17869" spans="24:25">
      <c r="X17869" s="19"/>
      <c r="Y17869" s="20"/>
    </row>
    <row r="17870" spans="24:25">
      <c r="X17870" s="19"/>
      <c r="Y17870" s="20"/>
    </row>
    <row r="17871" spans="24:25">
      <c r="X17871" s="19"/>
      <c r="Y17871" s="20"/>
    </row>
    <row r="17872" spans="24:25">
      <c r="X17872" s="19"/>
      <c r="Y17872" s="20"/>
    </row>
    <row r="17873" spans="24:25">
      <c r="X17873" s="19"/>
      <c r="Y17873" s="20"/>
    </row>
    <row r="17874" spans="24:25">
      <c r="X17874" s="19"/>
      <c r="Y17874" s="20"/>
    </row>
    <row r="17875" spans="24:25">
      <c r="X17875" s="19"/>
      <c r="Y17875" s="20"/>
    </row>
    <row r="17876" spans="24:25">
      <c r="X17876" s="19"/>
      <c r="Y17876" s="20"/>
    </row>
    <row r="17877" spans="24:25">
      <c r="X17877" s="19"/>
      <c r="Y17877" s="20"/>
    </row>
    <row r="17878" spans="24:25">
      <c r="X17878" s="19"/>
      <c r="Y17878" s="20"/>
    </row>
    <row r="17879" spans="24:25">
      <c r="X17879" s="19"/>
      <c r="Y17879" s="20"/>
    </row>
    <row r="17880" spans="24:25">
      <c r="X17880" s="19"/>
      <c r="Y17880" s="20"/>
    </row>
    <row r="17881" spans="24:25">
      <c r="X17881" s="19"/>
      <c r="Y17881" s="20"/>
    </row>
    <row r="17882" spans="24:25">
      <c r="X17882" s="19"/>
      <c r="Y17882" s="20"/>
    </row>
    <row r="17883" spans="24:25">
      <c r="X17883" s="19"/>
      <c r="Y17883" s="20"/>
    </row>
    <row r="17884" spans="24:25">
      <c r="X17884" s="19"/>
      <c r="Y17884" s="20"/>
    </row>
    <row r="17885" spans="24:25">
      <c r="X17885" s="19"/>
      <c r="Y17885" s="20"/>
    </row>
    <row r="17886" spans="24:25">
      <c r="X17886" s="19"/>
      <c r="Y17886" s="20"/>
    </row>
    <row r="17887" spans="24:25">
      <c r="X17887" s="19"/>
      <c r="Y17887" s="20"/>
    </row>
    <row r="17888" spans="24:25">
      <c r="X17888" s="19"/>
      <c r="Y17888" s="20"/>
    </row>
    <row r="17889" spans="24:25">
      <c r="X17889" s="19"/>
      <c r="Y17889" s="20"/>
    </row>
    <row r="17890" spans="24:25">
      <c r="X17890" s="19"/>
      <c r="Y17890" s="20"/>
    </row>
    <row r="17891" spans="24:25">
      <c r="X17891" s="19"/>
      <c r="Y17891" s="20"/>
    </row>
    <row r="17892" spans="24:25">
      <c r="X17892" s="19"/>
      <c r="Y17892" s="20"/>
    </row>
    <row r="17893" spans="24:25">
      <c r="X17893" s="19"/>
      <c r="Y17893" s="20"/>
    </row>
    <row r="17894" spans="24:25">
      <c r="X17894" s="19"/>
      <c r="Y17894" s="20"/>
    </row>
    <row r="17895" spans="24:25">
      <c r="X17895" s="19"/>
      <c r="Y17895" s="20"/>
    </row>
    <row r="17896" spans="24:25">
      <c r="X17896" s="19"/>
      <c r="Y17896" s="20"/>
    </row>
    <row r="17897" spans="24:25">
      <c r="X17897" s="19"/>
      <c r="Y17897" s="20"/>
    </row>
    <row r="17898" spans="24:25">
      <c r="X17898" s="19"/>
      <c r="Y17898" s="20"/>
    </row>
    <row r="17899" spans="24:25">
      <c r="X17899" s="19"/>
      <c r="Y17899" s="20"/>
    </row>
    <row r="17900" spans="24:25">
      <c r="X17900" s="19"/>
      <c r="Y17900" s="20"/>
    </row>
    <row r="17901" spans="24:25">
      <c r="X17901" s="19"/>
      <c r="Y17901" s="20"/>
    </row>
    <row r="17902" spans="24:25">
      <c r="X17902" s="19"/>
      <c r="Y17902" s="20"/>
    </row>
    <row r="17903" spans="24:25">
      <c r="X17903" s="19"/>
      <c r="Y17903" s="20"/>
    </row>
    <row r="17904" spans="24:25">
      <c r="X17904" s="19"/>
      <c r="Y17904" s="20"/>
    </row>
    <row r="17905" spans="24:25">
      <c r="X17905" s="19"/>
      <c r="Y17905" s="20"/>
    </row>
    <row r="17906" spans="24:25">
      <c r="X17906" s="19"/>
      <c r="Y17906" s="20"/>
    </row>
    <row r="17907" spans="24:25">
      <c r="X17907" s="19"/>
      <c r="Y17907" s="20"/>
    </row>
    <row r="17908" spans="24:25">
      <c r="X17908" s="19"/>
      <c r="Y17908" s="20"/>
    </row>
    <row r="17909" spans="24:25">
      <c r="X17909" s="19"/>
      <c r="Y17909" s="20"/>
    </row>
    <row r="17910" spans="24:25">
      <c r="X17910" s="19"/>
      <c r="Y17910" s="20"/>
    </row>
    <row r="17911" spans="24:25">
      <c r="X17911" s="19"/>
      <c r="Y17911" s="20"/>
    </row>
    <row r="17912" spans="24:25">
      <c r="X17912" s="19"/>
      <c r="Y17912" s="20"/>
    </row>
    <row r="17913" spans="24:25">
      <c r="X17913" s="19"/>
      <c r="Y17913" s="20"/>
    </row>
    <row r="17914" spans="24:25">
      <c r="X17914" s="19"/>
      <c r="Y17914" s="20"/>
    </row>
    <row r="17915" spans="24:25">
      <c r="X17915" s="19"/>
      <c r="Y17915" s="20"/>
    </row>
    <row r="17916" spans="24:25">
      <c r="X17916" s="19"/>
      <c r="Y17916" s="20"/>
    </row>
    <row r="17917" spans="24:25">
      <c r="X17917" s="19"/>
      <c r="Y17917" s="20"/>
    </row>
    <row r="17918" spans="24:25">
      <c r="X17918" s="19"/>
      <c r="Y17918" s="20"/>
    </row>
    <row r="17919" spans="24:25">
      <c r="X17919" s="19"/>
      <c r="Y17919" s="20"/>
    </row>
    <row r="17920" spans="24:25">
      <c r="X17920" s="19"/>
      <c r="Y17920" s="20"/>
    </row>
    <row r="17921" spans="24:25">
      <c r="X17921" s="19"/>
      <c r="Y17921" s="20"/>
    </row>
    <row r="17922" spans="24:25">
      <c r="X17922" s="19"/>
      <c r="Y17922" s="20"/>
    </row>
    <row r="17923" spans="24:25">
      <c r="X17923" s="19"/>
      <c r="Y17923" s="20"/>
    </row>
    <row r="17924" spans="24:25">
      <c r="X17924" s="19"/>
      <c r="Y17924" s="20"/>
    </row>
    <row r="17925" spans="24:25">
      <c r="X17925" s="19"/>
      <c r="Y17925" s="20"/>
    </row>
    <row r="17926" spans="24:25">
      <c r="X17926" s="19"/>
      <c r="Y17926" s="20"/>
    </row>
    <row r="17927" spans="24:25">
      <c r="X17927" s="19"/>
      <c r="Y17927" s="20"/>
    </row>
    <row r="17928" spans="24:25">
      <c r="X17928" s="19"/>
      <c r="Y17928" s="20"/>
    </row>
    <row r="17929" spans="24:25">
      <c r="X17929" s="19"/>
      <c r="Y17929" s="20"/>
    </row>
    <row r="17930" spans="24:25">
      <c r="X17930" s="19"/>
      <c r="Y17930" s="20"/>
    </row>
    <row r="17931" spans="24:25">
      <c r="X17931" s="19"/>
      <c r="Y17931" s="20"/>
    </row>
    <row r="17932" spans="24:25">
      <c r="X17932" s="19"/>
      <c r="Y17932" s="20"/>
    </row>
    <row r="17933" spans="24:25">
      <c r="X17933" s="19"/>
      <c r="Y17933" s="20"/>
    </row>
    <row r="17934" spans="24:25">
      <c r="X17934" s="19"/>
      <c r="Y17934" s="20"/>
    </row>
    <row r="17935" spans="24:25">
      <c r="X17935" s="19"/>
      <c r="Y17935" s="20"/>
    </row>
    <row r="17936" spans="24:25">
      <c r="X17936" s="19"/>
      <c r="Y17936" s="20"/>
    </row>
    <row r="17937" spans="24:25">
      <c r="X17937" s="19"/>
      <c r="Y17937" s="20"/>
    </row>
    <row r="17938" spans="24:25">
      <c r="X17938" s="19"/>
      <c r="Y17938" s="20"/>
    </row>
    <row r="17939" spans="24:25">
      <c r="X17939" s="19"/>
      <c r="Y17939" s="20"/>
    </row>
    <row r="17940" spans="24:25">
      <c r="X17940" s="19"/>
      <c r="Y17940" s="20"/>
    </row>
    <row r="17941" spans="24:25">
      <c r="X17941" s="19"/>
      <c r="Y17941" s="20"/>
    </row>
    <row r="17942" spans="24:25">
      <c r="X17942" s="19"/>
      <c r="Y17942" s="20"/>
    </row>
    <row r="17943" spans="24:25">
      <c r="X17943" s="19"/>
      <c r="Y17943" s="20"/>
    </row>
    <row r="17944" spans="24:25">
      <c r="X17944" s="19"/>
      <c r="Y17944" s="20"/>
    </row>
    <row r="17945" spans="24:25">
      <c r="X17945" s="19"/>
      <c r="Y17945" s="20"/>
    </row>
    <row r="17946" spans="24:25">
      <c r="X17946" s="19"/>
      <c r="Y17946" s="20"/>
    </row>
    <row r="17947" spans="24:25">
      <c r="X17947" s="19"/>
      <c r="Y17947" s="20"/>
    </row>
    <row r="17948" spans="24:25">
      <c r="X17948" s="19"/>
      <c r="Y17948" s="20"/>
    </row>
    <row r="17949" spans="24:25">
      <c r="X17949" s="19"/>
      <c r="Y17949" s="20"/>
    </row>
    <row r="17950" spans="24:25">
      <c r="X17950" s="19"/>
      <c r="Y17950" s="20"/>
    </row>
    <row r="17951" spans="24:25">
      <c r="X17951" s="19"/>
      <c r="Y17951" s="20"/>
    </row>
    <row r="17952" spans="24:25">
      <c r="X17952" s="19"/>
      <c r="Y17952" s="20"/>
    </row>
    <row r="17953" spans="24:25">
      <c r="X17953" s="19"/>
      <c r="Y17953" s="20"/>
    </row>
    <row r="17954" spans="24:25">
      <c r="X17954" s="19"/>
      <c r="Y17954" s="20"/>
    </row>
    <row r="17955" spans="24:25">
      <c r="X17955" s="19"/>
      <c r="Y17955" s="20"/>
    </row>
    <row r="17956" spans="24:25">
      <c r="X17956" s="19"/>
      <c r="Y17956" s="20"/>
    </row>
    <row r="17957" spans="24:25">
      <c r="X17957" s="19"/>
      <c r="Y17957" s="20"/>
    </row>
    <row r="17958" spans="24:25">
      <c r="X17958" s="19"/>
      <c r="Y17958" s="20"/>
    </row>
    <row r="17959" spans="24:25">
      <c r="X17959" s="19"/>
      <c r="Y17959" s="20"/>
    </row>
    <row r="17960" spans="24:25">
      <c r="X17960" s="19"/>
      <c r="Y17960" s="20"/>
    </row>
    <row r="17961" spans="24:25">
      <c r="X17961" s="19"/>
      <c r="Y17961" s="20"/>
    </row>
    <row r="17962" spans="24:25">
      <c r="X17962" s="19"/>
      <c r="Y17962" s="20"/>
    </row>
    <row r="17963" spans="24:25">
      <c r="X17963" s="19"/>
      <c r="Y17963" s="20"/>
    </row>
    <row r="17964" spans="24:25">
      <c r="X17964" s="19"/>
      <c r="Y17964" s="20"/>
    </row>
    <row r="17965" spans="24:25">
      <c r="X17965" s="19"/>
      <c r="Y17965" s="20"/>
    </row>
    <row r="17966" spans="24:25">
      <c r="X17966" s="19"/>
      <c r="Y17966" s="20"/>
    </row>
    <row r="17967" spans="24:25">
      <c r="X17967" s="19"/>
      <c r="Y17967" s="20"/>
    </row>
    <row r="17968" spans="24:25">
      <c r="X17968" s="19"/>
      <c r="Y17968" s="20"/>
    </row>
    <row r="17969" spans="24:25">
      <c r="X17969" s="19"/>
      <c r="Y17969" s="20"/>
    </row>
    <row r="17970" spans="24:25">
      <c r="X17970" s="19"/>
      <c r="Y17970" s="20"/>
    </row>
    <row r="17971" spans="24:25">
      <c r="X17971" s="19"/>
      <c r="Y17971" s="20"/>
    </row>
    <row r="17972" spans="24:25">
      <c r="X17972" s="19"/>
      <c r="Y17972" s="20"/>
    </row>
    <row r="17973" spans="24:25">
      <c r="X17973" s="19"/>
      <c r="Y17973" s="20"/>
    </row>
    <row r="17974" spans="24:25">
      <c r="X17974" s="19"/>
      <c r="Y17974" s="20"/>
    </row>
    <row r="17975" spans="24:25">
      <c r="X17975" s="19"/>
      <c r="Y17975" s="20"/>
    </row>
    <row r="17976" spans="24:25">
      <c r="X17976" s="19"/>
      <c r="Y17976" s="20"/>
    </row>
    <row r="17977" spans="24:25">
      <c r="X17977" s="19"/>
      <c r="Y17977" s="20"/>
    </row>
    <row r="17978" spans="24:25">
      <c r="X17978" s="19"/>
      <c r="Y17978" s="20"/>
    </row>
    <row r="17979" spans="24:25">
      <c r="X17979" s="19"/>
      <c r="Y17979" s="20"/>
    </row>
    <row r="17980" spans="24:25">
      <c r="X17980" s="19"/>
      <c r="Y17980" s="20"/>
    </row>
    <row r="17981" spans="24:25">
      <c r="X17981" s="19"/>
      <c r="Y17981" s="20"/>
    </row>
    <row r="17982" spans="24:25">
      <c r="X17982" s="19"/>
      <c r="Y17982" s="20"/>
    </row>
    <row r="17983" spans="24:25">
      <c r="X17983" s="19"/>
      <c r="Y17983" s="20"/>
    </row>
    <row r="17984" spans="24:25">
      <c r="X17984" s="19"/>
      <c r="Y17984" s="20"/>
    </row>
    <row r="17985" spans="24:25">
      <c r="X17985" s="19"/>
      <c r="Y17985" s="20"/>
    </row>
    <row r="17986" spans="24:25">
      <c r="X17986" s="19"/>
      <c r="Y17986" s="20"/>
    </row>
    <row r="17987" spans="24:25">
      <c r="X17987" s="19"/>
      <c r="Y17987" s="20"/>
    </row>
    <row r="17988" spans="24:25">
      <c r="X17988" s="19"/>
      <c r="Y17988" s="20"/>
    </row>
    <row r="17989" spans="24:25">
      <c r="X17989" s="19"/>
      <c r="Y17989" s="20"/>
    </row>
    <row r="17990" spans="24:25">
      <c r="X17990" s="19"/>
      <c r="Y17990" s="20"/>
    </row>
    <row r="17991" spans="24:25">
      <c r="X17991" s="19"/>
      <c r="Y17991" s="20"/>
    </row>
    <row r="17992" spans="24:25">
      <c r="X17992" s="19"/>
      <c r="Y17992" s="20"/>
    </row>
    <row r="17993" spans="24:25">
      <c r="X17993" s="19"/>
      <c r="Y17993" s="20"/>
    </row>
    <row r="17994" spans="24:25">
      <c r="X17994" s="19"/>
      <c r="Y17994" s="20"/>
    </row>
    <row r="17995" spans="24:25">
      <c r="X17995" s="19"/>
      <c r="Y17995" s="20"/>
    </row>
    <row r="17996" spans="24:25">
      <c r="X17996" s="19"/>
      <c r="Y17996" s="20"/>
    </row>
    <row r="17997" spans="24:25">
      <c r="X17997" s="19"/>
      <c r="Y17997" s="20"/>
    </row>
    <row r="17998" spans="24:25">
      <c r="X17998" s="19"/>
      <c r="Y17998" s="20"/>
    </row>
    <row r="17999" spans="24:25">
      <c r="X17999" s="19"/>
      <c r="Y17999" s="20"/>
    </row>
    <row r="18000" spans="24:25">
      <c r="X18000" s="19"/>
      <c r="Y18000" s="20"/>
    </row>
    <row r="18001" spans="24:25">
      <c r="X18001" s="19"/>
      <c r="Y18001" s="20"/>
    </row>
    <row r="18002" spans="24:25">
      <c r="X18002" s="19"/>
      <c r="Y18002" s="20"/>
    </row>
    <row r="18003" spans="24:25">
      <c r="X18003" s="19"/>
      <c r="Y18003" s="20"/>
    </row>
    <row r="18004" spans="24:25">
      <c r="X18004" s="19"/>
      <c r="Y18004" s="20"/>
    </row>
    <row r="18005" spans="24:25">
      <c r="X18005" s="19"/>
      <c r="Y18005" s="20"/>
    </row>
    <row r="18006" spans="24:25">
      <c r="X18006" s="19"/>
      <c r="Y18006" s="20"/>
    </row>
    <row r="18007" spans="24:25">
      <c r="X18007" s="19"/>
      <c r="Y18007" s="20"/>
    </row>
    <row r="18008" spans="24:25">
      <c r="X18008" s="19"/>
      <c r="Y18008" s="20"/>
    </row>
    <row r="18009" spans="24:25">
      <c r="X18009" s="19"/>
      <c r="Y18009" s="20"/>
    </row>
    <row r="18010" spans="24:25">
      <c r="X18010" s="19"/>
      <c r="Y18010" s="20"/>
    </row>
    <row r="18011" spans="24:25">
      <c r="X18011" s="19"/>
      <c r="Y18011" s="20"/>
    </row>
    <row r="18012" spans="24:25">
      <c r="X18012" s="19"/>
      <c r="Y18012" s="20"/>
    </row>
    <row r="18013" spans="24:25">
      <c r="X18013" s="19"/>
      <c r="Y18013" s="20"/>
    </row>
    <row r="18014" spans="24:25">
      <c r="X18014" s="19"/>
      <c r="Y18014" s="20"/>
    </row>
    <row r="18015" spans="24:25">
      <c r="X18015" s="19"/>
      <c r="Y18015" s="20"/>
    </row>
    <row r="18016" spans="24:25">
      <c r="X18016" s="19"/>
      <c r="Y18016" s="20"/>
    </row>
    <row r="18017" spans="24:25">
      <c r="X18017" s="19"/>
      <c r="Y18017" s="20"/>
    </row>
    <row r="18018" spans="24:25">
      <c r="X18018" s="19"/>
      <c r="Y18018" s="20"/>
    </row>
    <row r="18019" spans="24:25">
      <c r="X18019" s="19"/>
      <c r="Y18019" s="20"/>
    </row>
    <row r="18020" spans="24:25">
      <c r="X18020" s="19"/>
      <c r="Y18020" s="20"/>
    </row>
    <row r="18021" spans="24:25">
      <c r="X18021" s="19"/>
      <c r="Y18021" s="20"/>
    </row>
    <row r="18022" spans="24:25">
      <c r="X18022" s="19"/>
      <c r="Y18022" s="20"/>
    </row>
    <row r="18023" spans="24:25">
      <c r="X18023" s="19"/>
      <c r="Y18023" s="20"/>
    </row>
    <row r="18024" spans="24:25">
      <c r="X18024" s="19"/>
      <c r="Y18024" s="20"/>
    </row>
    <row r="18025" spans="24:25">
      <c r="X18025" s="19"/>
      <c r="Y18025" s="20"/>
    </row>
    <row r="18026" spans="24:25">
      <c r="X18026" s="19"/>
      <c r="Y18026" s="20"/>
    </row>
    <row r="18027" spans="24:25">
      <c r="X18027" s="19"/>
      <c r="Y18027" s="20"/>
    </row>
    <row r="18028" spans="24:25">
      <c r="X18028" s="19"/>
      <c r="Y18028" s="20"/>
    </row>
    <row r="18029" spans="24:25">
      <c r="X18029" s="19"/>
      <c r="Y18029" s="20"/>
    </row>
    <row r="18030" spans="24:25">
      <c r="X18030" s="19"/>
      <c r="Y18030" s="20"/>
    </row>
    <row r="18031" spans="24:25">
      <c r="X18031" s="19"/>
      <c r="Y18031" s="20"/>
    </row>
    <row r="18032" spans="24:25">
      <c r="X18032" s="19"/>
      <c r="Y18032" s="20"/>
    </row>
    <row r="18033" spans="24:25">
      <c r="X18033" s="19"/>
      <c r="Y18033" s="20"/>
    </row>
    <row r="18034" spans="24:25">
      <c r="X18034" s="19"/>
      <c r="Y18034" s="20"/>
    </row>
    <row r="18035" spans="24:25">
      <c r="X18035" s="19"/>
      <c r="Y18035" s="20"/>
    </row>
    <row r="18036" spans="24:25">
      <c r="X18036" s="19"/>
      <c r="Y18036" s="20"/>
    </row>
    <row r="18037" spans="24:25">
      <c r="X18037" s="19"/>
      <c r="Y18037" s="20"/>
    </row>
    <row r="18038" spans="24:25">
      <c r="X18038" s="19"/>
      <c r="Y18038" s="20"/>
    </row>
    <row r="18039" spans="24:25">
      <c r="X18039" s="19"/>
      <c r="Y18039" s="20"/>
    </row>
    <row r="18040" spans="24:25">
      <c r="X18040" s="19"/>
      <c r="Y18040" s="20"/>
    </row>
    <row r="18041" spans="24:25">
      <c r="X18041" s="19"/>
      <c r="Y18041" s="20"/>
    </row>
    <row r="18042" spans="24:25">
      <c r="X18042" s="19"/>
      <c r="Y18042" s="20"/>
    </row>
    <row r="18043" spans="24:25">
      <c r="X18043" s="19"/>
      <c r="Y18043" s="20"/>
    </row>
    <row r="18044" spans="24:25">
      <c r="X18044" s="19"/>
      <c r="Y18044" s="20"/>
    </row>
    <row r="18045" spans="24:25">
      <c r="X18045" s="19"/>
      <c r="Y18045" s="20"/>
    </row>
    <row r="18046" spans="24:25">
      <c r="X18046" s="19"/>
      <c r="Y18046" s="20"/>
    </row>
    <row r="18047" spans="24:25">
      <c r="X18047" s="19"/>
      <c r="Y18047" s="20"/>
    </row>
    <row r="18048" spans="24:25">
      <c r="X18048" s="19"/>
      <c r="Y18048" s="20"/>
    </row>
    <row r="18049" spans="24:25">
      <c r="X18049" s="19"/>
      <c r="Y18049" s="20"/>
    </row>
    <row r="18050" spans="24:25">
      <c r="X18050" s="19"/>
      <c r="Y18050" s="20"/>
    </row>
    <row r="18051" spans="24:25">
      <c r="X18051" s="19"/>
      <c r="Y18051" s="20"/>
    </row>
    <row r="18052" spans="24:25">
      <c r="X18052" s="19"/>
      <c r="Y18052" s="20"/>
    </row>
    <row r="18053" spans="24:25">
      <c r="X18053" s="19"/>
      <c r="Y18053" s="20"/>
    </row>
    <row r="18054" spans="24:25">
      <c r="X18054" s="19"/>
      <c r="Y18054" s="20"/>
    </row>
    <row r="18055" spans="24:25">
      <c r="X18055" s="19"/>
      <c r="Y18055" s="20"/>
    </row>
    <row r="18056" spans="24:25">
      <c r="X18056" s="19"/>
      <c r="Y18056" s="20"/>
    </row>
    <row r="18057" spans="24:25">
      <c r="X18057" s="19"/>
      <c r="Y18057" s="20"/>
    </row>
    <row r="18058" spans="24:25">
      <c r="X18058" s="19"/>
      <c r="Y18058" s="20"/>
    </row>
    <row r="18059" spans="24:25">
      <c r="X18059" s="19"/>
      <c r="Y18059" s="20"/>
    </row>
    <row r="18060" spans="24:25">
      <c r="X18060" s="19"/>
      <c r="Y18060" s="20"/>
    </row>
    <row r="18061" spans="24:25">
      <c r="X18061" s="19"/>
      <c r="Y18061" s="20"/>
    </row>
    <row r="18062" spans="24:25">
      <c r="X18062" s="19"/>
      <c r="Y18062" s="20"/>
    </row>
    <row r="18063" spans="24:25">
      <c r="X18063" s="19"/>
      <c r="Y18063" s="20"/>
    </row>
    <row r="18064" spans="24:25">
      <c r="X18064" s="19"/>
      <c r="Y18064" s="20"/>
    </row>
    <row r="18065" spans="24:25">
      <c r="X18065" s="19"/>
      <c r="Y18065" s="20"/>
    </row>
    <row r="18066" spans="24:25">
      <c r="X18066" s="19"/>
      <c r="Y18066" s="20"/>
    </row>
    <row r="18067" spans="24:25">
      <c r="X18067" s="19"/>
      <c r="Y18067" s="20"/>
    </row>
    <row r="18068" spans="24:25">
      <c r="X18068" s="19"/>
      <c r="Y18068" s="20"/>
    </row>
    <row r="18069" spans="24:25">
      <c r="X18069" s="19"/>
      <c r="Y18069" s="20"/>
    </row>
    <row r="18070" spans="24:25">
      <c r="X18070" s="19"/>
      <c r="Y18070" s="20"/>
    </row>
    <row r="18071" spans="24:25">
      <c r="X18071" s="19"/>
      <c r="Y18071" s="20"/>
    </row>
    <row r="18072" spans="24:25">
      <c r="X18072" s="19"/>
      <c r="Y18072" s="20"/>
    </row>
    <row r="18073" spans="24:25">
      <c r="X18073" s="19"/>
      <c r="Y18073" s="20"/>
    </row>
    <row r="18074" spans="24:25">
      <c r="X18074" s="19"/>
      <c r="Y18074" s="20"/>
    </row>
    <row r="18075" spans="24:25">
      <c r="X18075" s="19"/>
      <c r="Y18075" s="20"/>
    </row>
    <row r="18076" spans="24:25">
      <c r="X18076" s="19"/>
      <c r="Y18076" s="20"/>
    </row>
    <row r="18077" spans="24:25">
      <c r="X18077" s="19"/>
      <c r="Y18077" s="20"/>
    </row>
    <row r="18078" spans="24:25">
      <c r="X18078" s="19"/>
      <c r="Y18078" s="20"/>
    </row>
    <row r="18079" spans="24:25">
      <c r="X18079" s="19"/>
      <c r="Y18079" s="20"/>
    </row>
    <row r="18080" spans="24:25">
      <c r="X18080" s="19"/>
      <c r="Y18080" s="20"/>
    </row>
    <row r="18081" spans="24:25">
      <c r="X18081" s="19"/>
      <c r="Y18081" s="20"/>
    </row>
    <row r="18082" spans="24:25">
      <c r="X18082" s="19"/>
      <c r="Y18082" s="20"/>
    </row>
    <row r="18083" spans="24:25">
      <c r="X18083" s="19"/>
      <c r="Y18083" s="20"/>
    </row>
    <row r="18084" spans="24:25">
      <c r="X18084" s="19"/>
      <c r="Y18084" s="20"/>
    </row>
    <row r="18085" spans="24:25">
      <c r="X18085" s="19"/>
      <c r="Y18085" s="20"/>
    </row>
    <row r="18086" spans="24:25">
      <c r="X18086" s="19"/>
      <c r="Y18086" s="20"/>
    </row>
    <row r="18087" spans="24:25">
      <c r="X18087" s="19"/>
      <c r="Y18087" s="20"/>
    </row>
    <row r="18088" spans="24:25">
      <c r="X18088" s="19"/>
      <c r="Y18088" s="20"/>
    </row>
    <row r="18089" spans="24:25">
      <c r="X18089" s="19"/>
      <c r="Y18089" s="20"/>
    </row>
    <row r="18090" spans="24:25">
      <c r="X18090" s="19"/>
      <c r="Y18090" s="20"/>
    </row>
    <row r="18091" spans="24:25">
      <c r="X18091" s="19"/>
      <c r="Y18091" s="20"/>
    </row>
    <row r="18092" spans="24:25">
      <c r="X18092" s="19"/>
      <c r="Y18092" s="20"/>
    </row>
    <row r="18093" spans="24:25">
      <c r="X18093" s="19"/>
      <c r="Y18093" s="20"/>
    </row>
    <row r="18094" spans="24:25">
      <c r="X18094" s="19"/>
      <c r="Y18094" s="20"/>
    </row>
    <row r="18095" spans="24:25">
      <c r="X18095" s="19"/>
      <c r="Y18095" s="20"/>
    </row>
    <row r="18096" spans="24:25">
      <c r="X18096" s="19"/>
      <c r="Y18096" s="20"/>
    </row>
    <row r="18097" spans="24:25">
      <c r="X18097" s="19"/>
      <c r="Y18097" s="20"/>
    </row>
    <row r="18098" spans="24:25">
      <c r="X18098" s="19"/>
      <c r="Y18098" s="20"/>
    </row>
    <row r="18099" spans="24:25">
      <c r="X18099" s="19"/>
      <c r="Y18099" s="20"/>
    </row>
    <row r="18100" spans="24:25">
      <c r="X18100" s="19"/>
      <c r="Y18100" s="20"/>
    </row>
    <row r="18101" spans="24:25">
      <c r="X18101" s="19"/>
      <c r="Y18101" s="20"/>
    </row>
    <row r="18102" spans="24:25">
      <c r="X18102" s="19"/>
      <c r="Y18102" s="20"/>
    </row>
    <row r="18103" spans="24:25">
      <c r="X18103" s="19"/>
      <c r="Y18103" s="20"/>
    </row>
    <row r="18104" spans="24:25">
      <c r="X18104" s="19"/>
      <c r="Y18104" s="20"/>
    </row>
    <row r="18105" spans="24:25">
      <c r="X18105" s="19"/>
      <c r="Y18105" s="20"/>
    </row>
    <row r="18106" spans="24:25">
      <c r="X18106" s="19"/>
      <c r="Y18106" s="20"/>
    </row>
    <row r="18107" spans="24:25">
      <c r="X18107" s="19"/>
      <c r="Y18107" s="20"/>
    </row>
    <row r="18108" spans="24:25">
      <c r="X18108" s="19"/>
      <c r="Y18108" s="20"/>
    </row>
    <row r="18109" spans="24:25">
      <c r="X18109" s="19"/>
      <c r="Y18109" s="20"/>
    </row>
    <row r="18110" spans="24:25">
      <c r="X18110" s="19"/>
      <c r="Y18110" s="20"/>
    </row>
    <row r="18111" spans="24:25">
      <c r="X18111" s="19"/>
      <c r="Y18111" s="20"/>
    </row>
    <row r="18112" spans="24:25">
      <c r="X18112" s="19"/>
      <c r="Y18112" s="20"/>
    </row>
    <row r="18113" spans="24:25">
      <c r="X18113" s="19"/>
      <c r="Y18113" s="20"/>
    </row>
    <row r="18114" spans="24:25">
      <c r="X18114" s="19"/>
      <c r="Y18114" s="20"/>
    </row>
    <row r="18115" spans="24:25">
      <c r="X18115" s="19"/>
      <c r="Y18115" s="20"/>
    </row>
    <row r="18116" spans="24:25">
      <c r="X18116" s="19"/>
      <c r="Y18116" s="20"/>
    </row>
    <row r="18117" spans="24:25">
      <c r="X18117" s="19"/>
      <c r="Y18117" s="20"/>
    </row>
    <row r="18118" spans="24:25">
      <c r="X18118" s="19"/>
      <c r="Y18118" s="20"/>
    </row>
    <row r="18119" spans="24:25">
      <c r="X18119" s="19"/>
      <c r="Y18119" s="20"/>
    </row>
    <row r="18120" spans="24:25">
      <c r="X18120" s="19"/>
      <c r="Y18120" s="20"/>
    </row>
    <row r="18121" spans="24:25">
      <c r="X18121" s="19"/>
      <c r="Y18121" s="20"/>
    </row>
    <row r="18122" spans="24:25">
      <c r="X18122" s="19"/>
      <c r="Y18122" s="20"/>
    </row>
    <row r="18123" spans="24:25">
      <c r="X18123" s="19"/>
      <c r="Y18123" s="20"/>
    </row>
    <row r="18124" spans="24:25">
      <c r="X18124" s="19"/>
      <c r="Y18124" s="20"/>
    </row>
    <row r="18125" spans="24:25">
      <c r="X18125" s="19"/>
      <c r="Y18125" s="20"/>
    </row>
    <row r="18126" spans="24:25">
      <c r="X18126" s="19"/>
      <c r="Y18126" s="20"/>
    </row>
    <row r="18127" spans="24:25">
      <c r="X18127" s="19"/>
      <c r="Y18127" s="20"/>
    </row>
    <row r="18128" spans="24:25">
      <c r="X18128" s="19"/>
      <c r="Y18128" s="20"/>
    </row>
    <row r="18129" spans="24:25">
      <c r="X18129" s="19"/>
      <c r="Y18129" s="20"/>
    </row>
    <row r="18130" spans="24:25">
      <c r="X18130" s="19"/>
      <c r="Y18130" s="20"/>
    </row>
    <row r="18131" spans="24:25">
      <c r="X18131" s="19"/>
      <c r="Y18131" s="20"/>
    </row>
    <row r="18132" spans="24:25">
      <c r="X18132" s="19"/>
      <c r="Y18132" s="20"/>
    </row>
    <row r="18133" spans="24:25">
      <c r="X18133" s="19"/>
      <c r="Y18133" s="20"/>
    </row>
    <row r="18134" spans="24:25">
      <c r="X18134" s="19"/>
      <c r="Y18134" s="20"/>
    </row>
    <row r="18135" spans="24:25">
      <c r="X18135" s="19"/>
      <c r="Y18135" s="20"/>
    </row>
    <row r="18136" spans="24:25">
      <c r="X18136" s="19"/>
      <c r="Y18136" s="20"/>
    </row>
    <row r="18137" spans="24:25">
      <c r="X18137" s="19"/>
      <c r="Y18137" s="20"/>
    </row>
    <row r="18138" spans="24:25">
      <c r="X18138" s="19"/>
      <c r="Y18138" s="20"/>
    </row>
    <row r="18139" spans="24:25">
      <c r="X18139" s="19"/>
      <c r="Y18139" s="20"/>
    </row>
    <row r="18140" spans="24:25">
      <c r="X18140" s="19"/>
      <c r="Y18140" s="20"/>
    </row>
    <row r="18141" spans="24:25">
      <c r="X18141" s="19"/>
      <c r="Y18141" s="20"/>
    </row>
    <row r="18142" spans="24:25">
      <c r="X18142" s="19"/>
      <c r="Y18142" s="20"/>
    </row>
    <row r="18143" spans="24:25">
      <c r="X18143" s="19"/>
      <c r="Y18143" s="20"/>
    </row>
    <row r="18144" spans="24:25">
      <c r="X18144" s="19"/>
      <c r="Y18144" s="20"/>
    </row>
    <row r="18145" spans="24:25">
      <c r="X18145" s="19"/>
      <c r="Y18145" s="20"/>
    </row>
    <row r="18146" spans="24:25">
      <c r="X18146" s="19"/>
      <c r="Y18146" s="20"/>
    </row>
    <row r="18147" spans="24:25">
      <c r="X18147" s="19"/>
      <c r="Y18147" s="20"/>
    </row>
    <row r="18148" spans="24:25">
      <c r="X18148" s="19"/>
      <c r="Y18148" s="20"/>
    </row>
    <row r="18149" spans="24:25">
      <c r="X18149" s="19"/>
      <c r="Y18149" s="20"/>
    </row>
    <row r="18150" spans="24:25">
      <c r="X18150" s="19"/>
      <c r="Y18150" s="20"/>
    </row>
    <row r="18151" spans="24:25">
      <c r="X18151" s="19"/>
      <c r="Y18151" s="20"/>
    </row>
    <row r="18152" spans="24:25">
      <c r="X18152" s="19"/>
      <c r="Y18152" s="20"/>
    </row>
    <row r="18153" spans="24:25">
      <c r="X18153" s="19"/>
      <c r="Y18153" s="20"/>
    </row>
    <row r="18154" spans="24:25">
      <c r="X18154" s="19"/>
      <c r="Y18154" s="20"/>
    </row>
    <row r="18155" spans="24:25">
      <c r="X18155" s="19"/>
      <c r="Y18155" s="20"/>
    </row>
    <row r="18156" spans="24:25">
      <c r="X18156" s="19"/>
      <c r="Y18156" s="20"/>
    </row>
    <row r="18157" spans="24:25">
      <c r="X18157" s="19"/>
      <c r="Y18157" s="20"/>
    </row>
    <row r="18158" spans="24:25">
      <c r="X18158" s="19"/>
      <c r="Y18158" s="20"/>
    </row>
    <row r="18159" spans="24:25">
      <c r="X18159" s="19"/>
      <c r="Y18159" s="20"/>
    </row>
    <row r="18160" spans="24:25">
      <c r="X18160" s="19"/>
      <c r="Y18160" s="20"/>
    </row>
    <row r="18161" spans="24:25">
      <c r="X18161" s="19"/>
      <c r="Y18161" s="20"/>
    </row>
    <row r="18162" spans="24:25">
      <c r="X18162" s="19"/>
      <c r="Y18162" s="20"/>
    </row>
    <row r="18163" spans="24:25">
      <c r="X18163" s="19"/>
      <c r="Y18163" s="20"/>
    </row>
    <row r="18164" spans="24:25">
      <c r="X18164" s="19"/>
      <c r="Y18164" s="20"/>
    </row>
    <row r="18165" spans="24:25">
      <c r="X18165" s="19"/>
      <c r="Y18165" s="20"/>
    </row>
    <row r="18166" spans="24:25">
      <c r="X18166" s="19"/>
      <c r="Y18166" s="20"/>
    </row>
    <row r="18167" spans="24:25">
      <c r="X18167" s="19"/>
      <c r="Y18167" s="20"/>
    </row>
    <row r="18168" spans="24:25">
      <c r="X18168" s="19"/>
      <c r="Y18168" s="20"/>
    </row>
    <row r="18169" spans="24:25">
      <c r="X18169" s="19"/>
      <c r="Y18169" s="20"/>
    </row>
    <row r="18170" spans="24:25">
      <c r="X18170" s="19"/>
      <c r="Y18170" s="20"/>
    </row>
    <row r="18171" spans="24:25">
      <c r="X18171" s="19"/>
      <c r="Y18171" s="20"/>
    </row>
    <row r="18172" spans="24:25">
      <c r="X18172" s="19"/>
      <c r="Y18172" s="20"/>
    </row>
    <row r="18173" spans="24:25">
      <c r="X18173" s="19"/>
      <c r="Y18173" s="20"/>
    </row>
    <row r="18174" spans="24:25">
      <c r="X18174" s="19"/>
      <c r="Y18174" s="20"/>
    </row>
    <row r="18175" spans="24:25">
      <c r="X18175" s="19"/>
      <c r="Y18175" s="20"/>
    </row>
    <row r="18176" spans="24:25">
      <c r="X18176" s="19"/>
      <c r="Y18176" s="20"/>
    </row>
    <row r="18177" spans="24:25">
      <c r="X18177" s="19"/>
      <c r="Y18177" s="20"/>
    </row>
    <row r="18178" spans="24:25">
      <c r="X18178" s="19"/>
      <c r="Y18178" s="20"/>
    </row>
    <row r="18179" spans="24:25">
      <c r="X18179" s="19"/>
      <c r="Y18179" s="20"/>
    </row>
    <row r="18180" spans="24:25">
      <c r="X18180" s="19"/>
      <c r="Y18180" s="20"/>
    </row>
    <row r="18181" spans="24:25">
      <c r="X18181" s="19"/>
      <c r="Y18181" s="20"/>
    </row>
    <row r="18182" spans="24:25">
      <c r="X18182" s="19"/>
      <c r="Y18182" s="20"/>
    </row>
    <row r="18183" spans="24:25">
      <c r="X18183" s="19"/>
      <c r="Y18183" s="20"/>
    </row>
    <row r="18184" spans="24:25">
      <c r="X18184" s="19"/>
      <c r="Y18184" s="20"/>
    </row>
    <row r="18185" spans="24:25">
      <c r="X18185" s="19"/>
      <c r="Y18185" s="20"/>
    </row>
    <row r="18186" spans="24:25">
      <c r="X18186" s="19"/>
      <c r="Y18186" s="20"/>
    </row>
    <row r="18187" spans="24:25">
      <c r="X18187" s="19"/>
      <c r="Y18187" s="20"/>
    </row>
    <row r="18188" spans="24:25">
      <c r="X18188" s="19"/>
      <c r="Y18188" s="20"/>
    </row>
    <row r="18189" spans="24:25">
      <c r="X18189" s="19"/>
      <c r="Y18189" s="20"/>
    </row>
    <row r="18190" spans="24:25">
      <c r="X18190" s="19"/>
      <c r="Y18190" s="20"/>
    </row>
    <row r="18191" spans="24:25">
      <c r="X18191" s="19"/>
      <c r="Y18191" s="20"/>
    </row>
    <row r="18192" spans="24:25">
      <c r="X18192" s="19"/>
      <c r="Y18192" s="20"/>
    </row>
    <row r="18193" spans="24:25">
      <c r="X18193" s="19"/>
      <c r="Y18193" s="20"/>
    </row>
    <row r="18194" spans="24:25">
      <c r="X18194" s="19"/>
      <c r="Y18194" s="20"/>
    </row>
    <row r="18195" spans="24:25">
      <c r="X18195" s="19"/>
      <c r="Y18195" s="20"/>
    </row>
    <row r="18196" spans="24:25">
      <c r="X18196" s="19"/>
      <c r="Y18196" s="20"/>
    </row>
    <row r="18197" spans="24:25">
      <c r="X18197" s="19"/>
      <c r="Y18197" s="20"/>
    </row>
    <row r="18198" spans="24:25">
      <c r="X18198" s="19"/>
      <c r="Y18198" s="20"/>
    </row>
    <row r="18199" spans="24:25">
      <c r="X18199" s="19"/>
      <c r="Y18199" s="20"/>
    </row>
    <row r="18200" spans="24:25">
      <c r="X18200" s="19"/>
      <c r="Y18200" s="20"/>
    </row>
    <row r="18201" spans="24:25">
      <c r="X18201" s="19"/>
      <c r="Y18201" s="20"/>
    </row>
    <row r="18202" spans="24:25">
      <c r="X18202" s="19"/>
      <c r="Y18202" s="20"/>
    </row>
    <row r="18203" spans="24:25">
      <c r="X18203" s="19"/>
      <c r="Y18203" s="20"/>
    </row>
    <row r="18204" spans="24:25">
      <c r="X18204" s="19"/>
      <c r="Y18204" s="20"/>
    </row>
    <row r="18205" spans="24:25">
      <c r="X18205" s="19"/>
      <c r="Y18205" s="20"/>
    </row>
    <row r="18206" spans="24:25">
      <c r="X18206" s="19"/>
      <c r="Y18206" s="20"/>
    </row>
    <row r="18207" spans="24:25">
      <c r="X18207" s="19"/>
      <c r="Y18207" s="20"/>
    </row>
    <row r="18208" spans="24:25">
      <c r="X18208" s="19"/>
      <c r="Y18208" s="20"/>
    </row>
    <row r="18209" spans="24:25">
      <c r="X18209" s="19"/>
      <c r="Y18209" s="20"/>
    </row>
    <row r="18210" spans="24:25">
      <c r="X18210" s="19"/>
      <c r="Y18210" s="20"/>
    </row>
    <row r="18211" spans="24:25">
      <c r="X18211" s="19"/>
      <c r="Y18211" s="20"/>
    </row>
    <row r="18212" spans="24:25">
      <c r="X18212" s="19"/>
      <c r="Y18212" s="20"/>
    </row>
    <row r="18213" spans="24:25">
      <c r="X18213" s="19"/>
      <c r="Y18213" s="20"/>
    </row>
    <row r="18214" spans="24:25">
      <c r="X18214" s="19"/>
      <c r="Y18214" s="20"/>
    </row>
    <row r="18215" spans="24:25">
      <c r="X18215" s="19"/>
      <c r="Y18215" s="20"/>
    </row>
    <row r="18216" spans="24:25">
      <c r="X18216" s="19"/>
      <c r="Y18216" s="20"/>
    </row>
    <row r="18217" spans="24:25">
      <c r="X18217" s="19"/>
      <c r="Y18217" s="20"/>
    </row>
    <row r="18218" spans="24:25">
      <c r="X18218" s="19"/>
      <c r="Y18218" s="20"/>
    </row>
    <row r="18219" spans="24:25">
      <c r="X18219" s="19"/>
      <c r="Y18219" s="20"/>
    </row>
    <row r="18220" spans="24:25">
      <c r="X18220" s="19"/>
      <c r="Y18220" s="20"/>
    </row>
    <row r="18221" spans="24:25">
      <c r="X18221" s="19"/>
      <c r="Y18221" s="20"/>
    </row>
    <row r="18222" spans="24:25">
      <c r="X18222" s="19"/>
      <c r="Y18222" s="20"/>
    </row>
    <row r="18223" spans="24:25">
      <c r="X18223" s="19"/>
      <c r="Y18223" s="20"/>
    </row>
    <row r="18224" spans="24:25">
      <c r="X18224" s="19"/>
      <c r="Y18224" s="20"/>
    </row>
    <row r="18225" spans="24:25">
      <c r="X18225" s="19"/>
      <c r="Y18225" s="20"/>
    </row>
    <row r="18226" spans="24:25">
      <c r="X18226" s="19"/>
      <c r="Y18226" s="20"/>
    </row>
    <row r="18227" spans="24:25">
      <c r="X18227" s="19"/>
      <c r="Y18227" s="20"/>
    </row>
    <row r="18228" spans="24:25">
      <c r="X18228" s="19"/>
      <c r="Y18228" s="20"/>
    </row>
    <row r="18229" spans="24:25">
      <c r="X18229" s="19"/>
      <c r="Y18229" s="20"/>
    </row>
    <row r="18230" spans="24:25">
      <c r="X18230" s="19"/>
      <c r="Y18230" s="20"/>
    </row>
    <row r="18231" spans="24:25">
      <c r="X18231" s="19"/>
      <c r="Y18231" s="20"/>
    </row>
    <row r="18232" spans="24:25">
      <c r="X18232" s="19"/>
      <c r="Y18232" s="20"/>
    </row>
    <row r="18233" spans="24:25">
      <c r="X18233" s="19"/>
      <c r="Y18233" s="20"/>
    </row>
    <row r="18234" spans="24:25">
      <c r="X18234" s="19"/>
      <c r="Y18234" s="20"/>
    </row>
    <row r="18235" spans="24:25">
      <c r="X18235" s="19"/>
      <c r="Y18235" s="20"/>
    </row>
    <row r="18236" spans="24:25">
      <c r="X18236" s="19"/>
      <c r="Y18236" s="20"/>
    </row>
    <row r="18237" spans="24:25">
      <c r="X18237" s="19"/>
      <c r="Y18237" s="20"/>
    </row>
    <row r="18238" spans="24:25">
      <c r="X18238" s="19"/>
      <c r="Y18238" s="20"/>
    </row>
    <row r="18239" spans="24:25">
      <c r="X18239" s="19"/>
      <c r="Y18239" s="20"/>
    </row>
    <row r="18240" spans="24:25">
      <c r="X18240" s="19"/>
      <c r="Y18240" s="20"/>
    </row>
    <row r="18241" spans="24:25">
      <c r="X18241" s="19"/>
      <c r="Y18241" s="20"/>
    </row>
    <row r="18242" spans="24:25">
      <c r="X18242" s="19"/>
      <c r="Y18242" s="20"/>
    </row>
    <row r="18243" spans="24:25">
      <c r="X18243" s="19"/>
      <c r="Y18243" s="20"/>
    </row>
    <row r="18244" spans="24:25">
      <c r="X18244" s="19"/>
      <c r="Y18244" s="20"/>
    </row>
    <row r="18245" spans="24:25">
      <c r="X18245" s="19"/>
      <c r="Y18245" s="20"/>
    </row>
    <row r="18246" spans="24:25">
      <c r="X18246" s="19"/>
      <c r="Y18246" s="20"/>
    </row>
    <row r="18247" spans="24:25">
      <c r="X18247" s="19"/>
      <c r="Y18247" s="20"/>
    </row>
    <row r="18248" spans="24:25">
      <c r="X18248" s="19"/>
      <c r="Y18248" s="20"/>
    </row>
    <row r="18249" spans="24:25">
      <c r="X18249" s="19"/>
      <c r="Y18249" s="20"/>
    </row>
    <row r="18250" spans="24:25">
      <c r="X18250" s="19"/>
      <c r="Y18250" s="20"/>
    </row>
    <row r="18251" spans="24:25">
      <c r="X18251" s="19"/>
      <c r="Y18251" s="20"/>
    </row>
    <row r="18252" spans="24:25">
      <c r="X18252" s="19"/>
      <c r="Y18252" s="20"/>
    </row>
    <row r="18253" spans="24:25">
      <c r="X18253" s="19"/>
      <c r="Y18253" s="20"/>
    </row>
    <row r="18254" spans="24:25">
      <c r="X18254" s="19"/>
      <c r="Y18254" s="20"/>
    </row>
    <row r="18255" spans="24:25">
      <c r="X18255" s="19"/>
      <c r="Y18255" s="20"/>
    </row>
    <row r="18256" spans="24:25">
      <c r="X18256" s="19"/>
      <c r="Y18256" s="20"/>
    </row>
    <row r="18257" spans="24:25">
      <c r="X18257" s="19"/>
      <c r="Y18257" s="20"/>
    </row>
    <row r="18258" spans="24:25">
      <c r="X18258" s="19"/>
      <c r="Y18258" s="20"/>
    </row>
    <row r="18259" spans="24:25">
      <c r="X18259" s="19"/>
      <c r="Y18259" s="20"/>
    </row>
    <row r="18260" spans="24:25">
      <c r="X18260" s="19"/>
      <c r="Y18260" s="20"/>
    </row>
    <row r="18261" spans="24:25">
      <c r="X18261" s="19"/>
      <c r="Y18261" s="20"/>
    </row>
    <row r="18262" spans="24:25">
      <c r="X18262" s="19"/>
      <c r="Y18262" s="20"/>
    </row>
    <row r="18263" spans="24:25">
      <c r="X18263" s="19"/>
      <c r="Y18263" s="20"/>
    </row>
    <row r="18264" spans="24:25">
      <c r="X18264" s="19"/>
      <c r="Y18264" s="20"/>
    </row>
    <row r="18265" spans="24:25">
      <c r="X18265" s="19"/>
      <c r="Y18265" s="20"/>
    </row>
    <row r="18266" spans="24:25">
      <c r="X18266" s="19"/>
      <c r="Y18266" s="20"/>
    </row>
    <row r="18267" spans="24:25">
      <c r="X18267" s="19"/>
      <c r="Y18267" s="20"/>
    </row>
    <row r="18268" spans="24:25">
      <c r="X18268" s="19"/>
      <c r="Y18268" s="20"/>
    </row>
    <row r="18269" spans="24:25">
      <c r="X18269" s="19"/>
      <c r="Y18269" s="20"/>
    </row>
    <row r="18270" spans="24:25">
      <c r="X18270" s="19"/>
      <c r="Y18270" s="20"/>
    </row>
    <row r="18271" spans="24:25">
      <c r="X18271" s="19"/>
      <c r="Y18271" s="20"/>
    </row>
    <row r="18272" spans="24:25">
      <c r="X18272" s="19"/>
      <c r="Y18272" s="20"/>
    </row>
    <row r="18273" spans="24:25">
      <c r="X18273" s="19"/>
      <c r="Y18273" s="20"/>
    </row>
    <row r="18274" spans="24:25">
      <c r="X18274" s="19"/>
      <c r="Y18274" s="20"/>
    </row>
    <row r="18275" spans="24:25">
      <c r="X18275" s="19"/>
      <c r="Y18275" s="20"/>
    </row>
    <row r="18276" spans="24:25">
      <c r="X18276" s="19"/>
      <c r="Y18276" s="20"/>
    </row>
    <row r="18277" spans="24:25">
      <c r="X18277" s="19"/>
      <c r="Y18277" s="20"/>
    </row>
    <row r="18278" spans="24:25">
      <c r="X18278" s="19"/>
      <c r="Y18278" s="20"/>
    </row>
    <row r="18279" spans="24:25">
      <c r="X18279" s="19"/>
      <c r="Y18279" s="20"/>
    </row>
    <row r="18280" spans="24:25">
      <c r="X18280" s="19"/>
      <c r="Y18280" s="20"/>
    </row>
    <row r="18281" spans="24:25">
      <c r="X18281" s="19"/>
      <c r="Y18281" s="20"/>
    </row>
    <row r="18282" spans="24:25">
      <c r="X18282" s="19"/>
      <c r="Y18282" s="20"/>
    </row>
    <row r="18283" spans="24:25">
      <c r="X18283" s="19"/>
      <c r="Y18283" s="20"/>
    </row>
    <row r="18284" spans="24:25">
      <c r="X18284" s="19"/>
      <c r="Y18284" s="20"/>
    </row>
    <row r="18285" spans="24:25">
      <c r="X18285" s="19"/>
      <c r="Y18285" s="20"/>
    </row>
    <row r="18286" spans="24:25">
      <c r="X18286" s="19"/>
      <c r="Y18286" s="20"/>
    </row>
    <row r="18287" spans="24:25">
      <c r="X18287" s="19"/>
      <c r="Y18287" s="20"/>
    </row>
    <row r="18288" spans="24:25">
      <c r="X18288" s="19"/>
      <c r="Y18288" s="20"/>
    </row>
    <row r="18289" spans="24:25">
      <c r="X18289" s="19"/>
      <c r="Y18289" s="20"/>
    </row>
    <row r="18290" spans="24:25">
      <c r="X18290" s="19"/>
      <c r="Y18290" s="20"/>
    </row>
    <row r="18291" spans="24:25">
      <c r="X18291" s="19"/>
      <c r="Y18291" s="20"/>
    </row>
    <row r="18292" spans="24:25">
      <c r="X18292" s="19"/>
      <c r="Y18292" s="20"/>
    </row>
    <row r="18293" spans="24:25">
      <c r="X18293" s="19"/>
      <c r="Y18293" s="20"/>
    </row>
    <row r="18294" spans="24:25">
      <c r="X18294" s="19"/>
      <c r="Y18294" s="20"/>
    </row>
    <row r="18295" spans="24:25">
      <c r="X18295" s="19"/>
      <c r="Y18295" s="20"/>
    </row>
    <row r="18296" spans="24:25">
      <c r="X18296" s="19"/>
      <c r="Y18296" s="20"/>
    </row>
    <row r="18297" spans="24:25">
      <c r="X18297" s="19"/>
      <c r="Y18297" s="20"/>
    </row>
    <row r="18298" spans="24:25">
      <c r="X18298" s="19"/>
      <c r="Y18298" s="20"/>
    </row>
    <row r="18299" spans="24:25">
      <c r="X18299" s="19"/>
      <c r="Y18299" s="20"/>
    </row>
    <row r="18300" spans="24:25">
      <c r="X18300" s="19"/>
      <c r="Y18300" s="20"/>
    </row>
    <row r="18301" spans="24:25">
      <c r="X18301" s="19"/>
      <c r="Y18301" s="20"/>
    </row>
    <row r="18302" spans="24:25">
      <c r="X18302" s="19"/>
      <c r="Y18302" s="20"/>
    </row>
    <row r="18303" spans="24:25">
      <c r="X18303" s="19"/>
      <c r="Y18303" s="20"/>
    </row>
    <row r="18304" spans="24:25">
      <c r="X18304" s="19"/>
      <c r="Y18304" s="20"/>
    </row>
    <row r="18305" spans="24:25">
      <c r="X18305" s="19"/>
      <c r="Y18305" s="20"/>
    </row>
    <row r="18306" spans="24:25">
      <c r="X18306" s="19"/>
      <c r="Y18306" s="20"/>
    </row>
    <row r="18307" spans="24:25">
      <c r="X18307" s="19"/>
      <c r="Y18307" s="20"/>
    </row>
    <row r="18308" spans="24:25">
      <c r="X18308" s="19"/>
      <c r="Y18308" s="20"/>
    </row>
    <row r="18309" spans="24:25">
      <c r="X18309" s="19"/>
      <c r="Y18309" s="20"/>
    </row>
    <row r="18310" spans="24:25">
      <c r="X18310" s="19"/>
      <c r="Y18310" s="20"/>
    </row>
    <row r="18311" spans="24:25">
      <c r="X18311" s="19"/>
      <c r="Y18311" s="20"/>
    </row>
    <row r="18312" spans="24:25">
      <c r="X18312" s="19"/>
      <c r="Y18312" s="20"/>
    </row>
    <row r="18313" spans="24:25">
      <c r="X18313" s="19"/>
      <c r="Y18313" s="20"/>
    </row>
    <row r="18314" spans="24:25">
      <c r="X18314" s="19"/>
      <c r="Y18314" s="20"/>
    </row>
    <row r="18315" spans="24:25">
      <c r="X18315" s="19"/>
      <c r="Y18315" s="20"/>
    </row>
    <row r="18316" spans="24:25">
      <c r="X18316" s="19"/>
      <c r="Y18316" s="20"/>
    </row>
    <row r="18317" spans="24:25">
      <c r="X18317" s="19"/>
      <c r="Y18317" s="20"/>
    </row>
    <row r="18318" spans="24:25">
      <c r="X18318" s="19"/>
      <c r="Y18318" s="20"/>
    </row>
    <row r="18319" spans="24:25">
      <c r="X18319" s="19"/>
      <c r="Y18319" s="20"/>
    </row>
    <row r="18320" spans="24:25">
      <c r="X18320" s="19"/>
      <c r="Y18320" s="20"/>
    </row>
    <row r="18321" spans="24:25">
      <c r="X18321" s="19"/>
      <c r="Y18321" s="20"/>
    </row>
    <row r="18322" spans="24:25">
      <c r="X18322" s="19"/>
      <c r="Y18322" s="20"/>
    </row>
    <row r="18323" spans="24:25">
      <c r="X18323" s="19"/>
      <c r="Y18323" s="20"/>
    </row>
    <row r="18324" spans="24:25">
      <c r="X18324" s="19"/>
      <c r="Y18324" s="20"/>
    </row>
    <row r="18325" spans="24:25">
      <c r="X18325" s="19"/>
      <c r="Y18325" s="20"/>
    </row>
    <row r="18326" spans="24:25">
      <c r="X18326" s="19"/>
      <c r="Y18326" s="20"/>
    </row>
    <row r="18327" spans="24:25">
      <c r="X18327" s="19"/>
      <c r="Y18327" s="20"/>
    </row>
    <row r="18328" spans="24:25">
      <c r="X18328" s="19"/>
      <c r="Y18328" s="20"/>
    </row>
    <row r="18329" spans="24:25">
      <c r="X18329" s="19"/>
      <c r="Y18329" s="20"/>
    </row>
    <row r="18330" spans="24:25">
      <c r="X18330" s="19"/>
      <c r="Y18330" s="20"/>
    </row>
    <row r="18331" spans="24:25">
      <c r="X18331" s="19"/>
      <c r="Y18331" s="20"/>
    </row>
    <row r="18332" spans="24:25">
      <c r="X18332" s="19"/>
      <c r="Y18332" s="20"/>
    </row>
    <row r="18333" spans="24:25">
      <c r="X18333" s="19"/>
      <c r="Y18333" s="20"/>
    </row>
    <row r="18334" spans="24:25">
      <c r="X18334" s="19"/>
      <c r="Y18334" s="20"/>
    </row>
    <row r="18335" spans="24:25">
      <c r="X18335" s="19"/>
      <c r="Y18335" s="20"/>
    </row>
    <row r="18336" spans="24:25">
      <c r="X18336" s="19"/>
      <c r="Y18336" s="20"/>
    </row>
    <row r="18337" spans="24:25">
      <c r="X18337" s="19"/>
      <c r="Y18337" s="20"/>
    </row>
    <row r="18338" spans="24:25">
      <c r="X18338" s="19"/>
      <c r="Y18338" s="20"/>
    </row>
    <row r="18339" spans="24:25">
      <c r="X18339" s="19"/>
      <c r="Y18339" s="20"/>
    </row>
    <row r="18340" spans="24:25">
      <c r="X18340" s="19"/>
      <c r="Y18340" s="20"/>
    </row>
    <row r="18341" spans="24:25">
      <c r="X18341" s="19"/>
      <c r="Y18341" s="20"/>
    </row>
    <row r="18342" spans="24:25">
      <c r="X18342" s="19"/>
      <c r="Y18342" s="20"/>
    </row>
    <row r="18343" spans="24:25">
      <c r="X18343" s="19"/>
      <c r="Y18343" s="20"/>
    </row>
    <row r="18344" spans="24:25">
      <c r="X18344" s="19"/>
      <c r="Y18344" s="20"/>
    </row>
    <row r="18345" spans="24:25">
      <c r="X18345" s="19"/>
      <c r="Y18345" s="20"/>
    </row>
    <row r="18346" spans="24:25">
      <c r="X18346" s="19"/>
      <c r="Y18346" s="20"/>
    </row>
    <row r="18347" spans="24:25">
      <c r="X18347" s="19"/>
      <c r="Y18347" s="20"/>
    </row>
    <row r="18348" spans="24:25">
      <c r="X18348" s="19"/>
      <c r="Y18348" s="20"/>
    </row>
    <row r="18349" spans="24:25">
      <c r="X18349" s="19"/>
      <c r="Y18349" s="20"/>
    </row>
    <row r="18350" spans="24:25">
      <c r="X18350" s="19"/>
      <c r="Y18350" s="20"/>
    </row>
    <row r="18351" spans="24:25">
      <c r="X18351" s="19"/>
      <c r="Y18351" s="20"/>
    </row>
    <row r="18352" spans="24:25">
      <c r="X18352" s="19"/>
      <c r="Y18352" s="20"/>
    </row>
    <row r="18353" spans="24:25">
      <c r="X18353" s="19"/>
      <c r="Y18353" s="20"/>
    </row>
    <row r="18354" spans="24:25">
      <c r="X18354" s="19"/>
      <c r="Y18354" s="20"/>
    </row>
    <row r="18355" spans="24:25">
      <c r="X18355" s="19"/>
      <c r="Y18355" s="20"/>
    </row>
    <row r="18356" spans="24:25">
      <c r="X18356" s="19"/>
      <c r="Y18356" s="20"/>
    </row>
    <row r="18357" spans="24:25">
      <c r="X18357" s="19"/>
      <c r="Y18357" s="20"/>
    </row>
    <row r="18358" spans="24:25">
      <c r="X18358" s="19"/>
      <c r="Y18358" s="20"/>
    </row>
    <row r="18359" spans="24:25">
      <c r="X18359" s="19"/>
      <c r="Y18359" s="20"/>
    </row>
    <row r="18360" spans="24:25">
      <c r="X18360" s="19"/>
      <c r="Y18360" s="20"/>
    </row>
    <row r="18361" spans="24:25">
      <c r="X18361" s="19"/>
      <c r="Y18361" s="20"/>
    </row>
    <row r="18362" spans="24:25">
      <c r="X18362" s="19"/>
      <c r="Y18362" s="20"/>
    </row>
    <row r="18363" spans="24:25">
      <c r="X18363" s="19"/>
      <c r="Y18363" s="20"/>
    </row>
    <row r="18364" spans="24:25">
      <c r="X18364" s="19"/>
      <c r="Y18364" s="20"/>
    </row>
    <row r="18365" spans="24:25">
      <c r="X18365" s="19"/>
      <c r="Y18365" s="20"/>
    </row>
    <row r="18366" spans="24:25">
      <c r="X18366" s="19"/>
      <c r="Y18366" s="20"/>
    </row>
    <row r="18367" spans="24:25">
      <c r="X18367" s="19"/>
      <c r="Y18367" s="20"/>
    </row>
    <row r="18368" spans="24:25">
      <c r="X18368" s="19"/>
      <c r="Y18368" s="20"/>
    </row>
    <row r="18369" spans="24:25">
      <c r="X18369" s="19"/>
      <c r="Y18369" s="20"/>
    </row>
    <row r="18370" spans="24:25">
      <c r="X18370" s="19"/>
      <c r="Y18370" s="20"/>
    </row>
    <row r="18371" spans="24:25">
      <c r="X18371" s="19"/>
      <c r="Y18371" s="20"/>
    </row>
    <row r="18372" spans="24:25">
      <c r="X18372" s="19"/>
      <c r="Y18372" s="20"/>
    </row>
    <row r="18373" spans="24:25">
      <c r="X18373" s="19"/>
      <c r="Y18373" s="20"/>
    </row>
    <row r="18374" spans="24:25">
      <c r="X18374" s="19"/>
      <c r="Y18374" s="20"/>
    </row>
    <row r="18375" spans="24:25">
      <c r="X18375" s="19"/>
      <c r="Y18375" s="20"/>
    </row>
    <row r="18376" spans="24:25">
      <c r="X18376" s="19"/>
      <c r="Y18376" s="20"/>
    </row>
    <row r="18377" spans="24:25">
      <c r="X18377" s="19"/>
      <c r="Y18377" s="20"/>
    </row>
    <row r="18378" spans="24:25">
      <c r="X18378" s="19"/>
      <c r="Y18378" s="20"/>
    </row>
    <row r="18379" spans="24:25">
      <c r="X18379" s="19"/>
      <c r="Y18379" s="20"/>
    </row>
    <row r="18380" spans="24:25">
      <c r="X18380" s="19"/>
      <c r="Y18380" s="20"/>
    </row>
    <row r="18381" spans="24:25">
      <c r="X18381" s="19"/>
      <c r="Y18381" s="20"/>
    </row>
    <row r="18382" spans="24:25">
      <c r="X18382" s="19"/>
      <c r="Y18382" s="20"/>
    </row>
    <row r="18383" spans="24:25">
      <c r="X18383" s="19"/>
      <c r="Y18383" s="20"/>
    </row>
    <row r="18384" spans="24:25">
      <c r="X18384" s="19"/>
      <c r="Y18384" s="20"/>
    </row>
    <row r="18385" spans="24:25">
      <c r="X18385" s="19"/>
      <c r="Y18385" s="20"/>
    </row>
    <row r="18386" spans="24:25">
      <c r="X18386" s="19"/>
      <c r="Y18386" s="20"/>
    </row>
    <row r="18387" spans="24:25">
      <c r="X18387" s="19"/>
      <c r="Y18387" s="20"/>
    </row>
    <row r="18388" spans="24:25">
      <c r="X18388" s="19"/>
      <c r="Y18388" s="20"/>
    </row>
    <row r="18389" spans="24:25">
      <c r="X18389" s="19"/>
      <c r="Y18389" s="20"/>
    </row>
    <row r="18390" spans="24:25">
      <c r="X18390" s="19"/>
      <c r="Y18390" s="20"/>
    </row>
    <row r="18391" spans="24:25">
      <c r="X18391" s="19"/>
      <c r="Y18391" s="20"/>
    </row>
    <row r="18392" spans="24:25">
      <c r="X18392" s="19"/>
      <c r="Y18392" s="20"/>
    </row>
    <row r="18393" spans="24:25">
      <c r="X18393" s="19"/>
      <c r="Y18393" s="20"/>
    </row>
    <row r="18394" spans="24:25">
      <c r="X18394" s="19"/>
      <c r="Y18394" s="20"/>
    </row>
    <row r="18395" spans="24:25">
      <c r="X18395" s="19"/>
      <c r="Y18395" s="20"/>
    </row>
    <row r="18396" spans="24:25">
      <c r="X18396" s="19"/>
      <c r="Y18396" s="20"/>
    </row>
    <row r="18397" spans="24:25">
      <c r="X18397" s="19"/>
      <c r="Y18397" s="20"/>
    </row>
    <row r="18398" spans="24:25">
      <c r="X18398" s="19"/>
      <c r="Y18398" s="20"/>
    </row>
    <row r="18399" spans="24:25">
      <c r="X18399" s="19"/>
      <c r="Y18399" s="20"/>
    </row>
    <row r="18400" spans="24:25">
      <c r="X18400" s="19"/>
      <c r="Y18400" s="20"/>
    </row>
    <row r="18401" spans="24:25">
      <c r="X18401" s="19"/>
      <c r="Y18401" s="20"/>
    </row>
    <row r="18402" spans="24:25">
      <c r="X18402" s="19"/>
      <c r="Y18402" s="20"/>
    </row>
    <row r="18403" spans="24:25">
      <c r="X18403" s="19"/>
      <c r="Y18403" s="20"/>
    </row>
    <row r="18404" spans="24:25">
      <c r="X18404" s="19"/>
      <c r="Y18404" s="20"/>
    </row>
    <row r="18405" spans="24:25">
      <c r="X18405" s="19"/>
      <c r="Y18405" s="20"/>
    </row>
    <row r="18406" spans="24:25">
      <c r="X18406" s="19"/>
      <c r="Y18406" s="20"/>
    </row>
    <row r="18407" spans="24:25">
      <c r="X18407" s="19"/>
      <c r="Y18407" s="20"/>
    </row>
    <row r="18408" spans="24:25">
      <c r="X18408" s="19"/>
      <c r="Y18408" s="20"/>
    </row>
    <row r="18409" spans="24:25">
      <c r="X18409" s="19"/>
      <c r="Y18409" s="20"/>
    </row>
    <row r="18410" spans="24:25">
      <c r="X18410" s="19"/>
      <c r="Y18410" s="20"/>
    </row>
    <row r="18411" spans="24:25">
      <c r="X18411" s="19"/>
      <c r="Y18411" s="20"/>
    </row>
    <row r="18412" spans="24:25">
      <c r="X18412" s="19"/>
      <c r="Y18412" s="20"/>
    </row>
    <row r="18413" spans="24:25">
      <c r="X18413" s="19"/>
      <c r="Y18413" s="20"/>
    </row>
    <row r="18414" spans="24:25">
      <c r="X18414" s="19"/>
      <c r="Y18414" s="20"/>
    </row>
    <row r="18415" spans="24:25">
      <c r="X18415" s="19"/>
      <c r="Y18415" s="20"/>
    </row>
    <row r="18416" spans="24:25">
      <c r="X18416" s="19"/>
      <c r="Y18416" s="20"/>
    </row>
    <row r="18417" spans="24:25">
      <c r="X18417" s="19"/>
      <c r="Y18417" s="20"/>
    </row>
    <row r="18418" spans="24:25">
      <c r="X18418" s="19"/>
      <c r="Y18418" s="20"/>
    </row>
    <row r="18419" spans="24:25">
      <c r="X18419" s="19"/>
      <c r="Y18419" s="20"/>
    </row>
    <row r="18420" spans="24:25">
      <c r="X18420" s="19"/>
      <c r="Y18420" s="20"/>
    </row>
    <row r="18421" spans="24:25">
      <c r="X18421" s="19"/>
      <c r="Y18421" s="20"/>
    </row>
    <row r="18422" spans="24:25">
      <c r="X18422" s="19"/>
      <c r="Y18422" s="20"/>
    </row>
    <row r="18423" spans="24:25">
      <c r="X18423" s="19"/>
      <c r="Y18423" s="20"/>
    </row>
    <row r="18424" spans="24:25">
      <c r="X18424" s="19"/>
      <c r="Y18424" s="20"/>
    </row>
    <row r="18425" spans="24:25">
      <c r="X18425" s="19"/>
      <c r="Y18425" s="20"/>
    </row>
    <row r="18426" spans="24:25">
      <c r="X18426" s="19"/>
      <c r="Y18426" s="20"/>
    </row>
    <row r="18427" spans="24:25">
      <c r="X18427" s="19"/>
      <c r="Y18427" s="20"/>
    </row>
    <row r="18428" spans="24:25">
      <c r="X18428" s="19"/>
      <c r="Y18428" s="20"/>
    </row>
    <row r="18429" spans="24:25">
      <c r="X18429" s="19"/>
      <c r="Y18429" s="20"/>
    </row>
    <row r="18430" spans="24:25">
      <c r="X18430" s="19"/>
      <c r="Y18430" s="20"/>
    </row>
    <row r="18431" spans="24:25">
      <c r="X18431" s="19"/>
      <c r="Y18431" s="20"/>
    </row>
    <row r="18432" spans="24:25">
      <c r="X18432" s="19"/>
      <c r="Y18432" s="20"/>
    </row>
    <row r="18433" spans="24:25">
      <c r="X18433" s="19"/>
      <c r="Y18433" s="20"/>
    </row>
    <row r="18434" spans="24:25">
      <c r="X18434" s="19"/>
      <c r="Y18434" s="20"/>
    </row>
    <row r="18435" spans="24:25">
      <c r="X18435" s="19"/>
      <c r="Y18435" s="20"/>
    </row>
    <row r="18436" spans="24:25">
      <c r="X18436" s="19"/>
      <c r="Y18436" s="20"/>
    </row>
    <row r="18437" spans="24:25">
      <c r="X18437" s="19"/>
      <c r="Y18437" s="20"/>
    </row>
    <row r="18438" spans="24:25">
      <c r="X18438" s="19"/>
      <c r="Y18438" s="20"/>
    </row>
    <row r="18439" spans="24:25">
      <c r="X18439" s="19"/>
      <c r="Y18439" s="20"/>
    </row>
    <row r="18440" spans="24:25">
      <c r="X18440" s="19"/>
      <c r="Y18440" s="20"/>
    </row>
    <row r="18441" spans="24:25">
      <c r="X18441" s="19"/>
      <c r="Y18441" s="20"/>
    </row>
    <row r="18442" spans="24:25">
      <c r="X18442" s="19"/>
      <c r="Y18442" s="20"/>
    </row>
    <row r="18443" spans="24:25">
      <c r="X18443" s="19"/>
      <c r="Y18443" s="20"/>
    </row>
    <row r="18444" spans="24:25">
      <c r="X18444" s="19"/>
      <c r="Y18444" s="20"/>
    </row>
    <row r="18445" spans="24:25">
      <c r="X18445" s="19"/>
      <c r="Y18445" s="20"/>
    </row>
    <row r="18446" spans="24:25">
      <c r="X18446" s="19"/>
      <c r="Y18446" s="20"/>
    </row>
    <row r="18447" spans="24:25">
      <c r="X18447" s="19"/>
      <c r="Y18447" s="20"/>
    </row>
    <row r="18448" spans="24:25">
      <c r="X18448" s="19"/>
      <c r="Y18448" s="20"/>
    </row>
    <row r="18449" spans="24:25">
      <c r="X18449" s="19"/>
      <c r="Y18449" s="20"/>
    </row>
    <row r="18450" spans="24:25">
      <c r="X18450" s="19"/>
      <c r="Y18450" s="20"/>
    </row>
    <row r="18451" spans="24:25">
      <c r="X18451" s="19"/>
      <c r="Y18451" s="20"/>
    </row>
    <row r="18452" spans="24:25">
      <c r="X18452" s="19"/>
      <c r="Y18452" s="20"/>
    </row>
    <row r="18453" spans="24:25">
      <c r="X18453" s="19"/>
      <c r="Y18453" s="20"/>
    </row>
    <row r="18454" spans="24:25">
      <c r="X18454" s="19"/>
      <c r="Y18454" s="20"/>
    </row>
    <row r="18455" spans="24:25">
      <c r="X18455" s="19"/>
      <c r="Y18455" s="20"/>
    </row>
    <row r="18456" spans="24:25">
      <c r="X18456" s="19"/>
      <c r="Y18456" s="20"/>
    </row>
    <row r="18457" spans="24:25">
      <c r="X18457" s="19"/>
      <c r="Y18457" s="20"/>
    </row>
    <row r="18458" spans="24:25">
      <c r="X18458" s="19"/>
      <c r="Y18458" s="20"/>
    </row>
    <row r="18459" spans="24:25">
      <c r="X18459" s="19"/>
      <c r="Y18459" s="20"/>
    </row>
    <row r="18460" spans="24:25">
      <c r="X18460" s="19"/>
      <c r="Y18460" s="20"/>
    </row>
    <row r="18461" spans="24:25">
      <c r="X18461" s="19"/>
      <c r="Y18461" s="20"/>
    </row>
    <row r="18462" spans="24:25">
      <c r="X18462" s="19"/>
      <c r="Y18462" s="20"/>
    </row>
    <row r="18463" spans="24:25">
      <c r="X18463" s="19"/>
      <c r="Y18463" s="20"/>
    </row>
    <row r="18464" spans="24:25">
      <c r="X18464" s="19"/>
      <c r="Y18464" s="20"/>
    </row>
    <row r="18465" spans="24:25">
      <c r="X18465" s="19"/>
      <c r="Y18465" s="20"/>
    </row>
    <row r="18466" spans="24:25">
      <c r="X18466" s="19"/>
      <c r="Y18466" s="20"/>
    </row>
    <row r="18467" spans="24:25">
      <c r="X18467" s="19"/>
      <c r="Y18467" s="20"/>
    </row>
    <row r="18468" spans="24:25">
      <c r="X18468" s="19"/>
      <c r="Y18468" s="20"/>
    </row>
    <row r="18469" spans="24:25">
      <c r="X18469" s="19"/>
      <c r="Y18469" s="20"/>
    </row>
    <row r="18470" spans="24:25">
      <c r="X18470" s="19"/>
      <c r="Y18470" s="20"/>
    </row>
    <row r="18471" spans="24:25">
      <c r="X18471" s="19"/>
      <c r="Y18471" s="20"/>
    </row>
    <row r="18472" spans="24:25">
      <c r="X18472" s="19"/>
      <c r="Y18472" s="20"/>
    </row>
    <row r="18473" spans="24:25">
      <c r="X18473" s="19"/>
      <c r="Y18473" s="20"/>
    </row>
    <row r="18474" spans="24:25">
      <c r="X18474" s="19"/>
      <c r="Y18474" s="20"/>
    </row>
    <row r="18475" spans="24:25">
      <c r="X18475" s="19"/>
      <c r="Y18475" s="20"/>
    </row>
    <row r="18476" spans="24:25">
      <c r="X18476" s="19"/>
      <c r="Y18476" s="20"/>
    </row>
    <row r="18477" spans="24:25">
      <c r="X18477" s="19"/>
      <c r="Y18477" s="20"/>
    </row>
    <row r="18478" spans="24:25">
      <c r="X18478" s="19"/>
      <c r="Y18478" s="20"/>
    </row>
    <row r="18479" spans="24:25">
      <c r="X18479" s="19"/>
      <c r="Y18479" s="20"/>
    </row>
    <row r="18480" spans="24:25">
      <c r="X18480" s="19"/>
      <c r="Y18480" s="20"/>
    </row>
    <row r="18481" spans="24:25">
      <c r="X18481" s="19"/>
      <c r="Y18481" s="20"/>
    </row>
    <row r="18482" spans="24:25">
      <c r="X18482" s="19"/>
      <c r="Y18482" s="20"/>
    </row>
    <row r="18483" spans="24:25">
      <c r="X18483" s="19"/>
      <c r="Y18483" s="20"/>
    </row>
    <row r="18484" spans="24:25">
      <c r="X18484" s="19"/>
      <c r="Y18484" s="20"/>
    </row>
    <row r="18485" spans="24:25">
      <c r="X18485" s="19"/>
      <c r="Y18485" s="20"/>
    </row>
    <row r="18486" spans="24:25">
      <c r="X18486" s="19"/>
      <c r="Y18486" s="20"/>
    </row>
    <row r="18487" spans="24:25">
      <c r="X18487" s="19"/>
      <c r="Y18487" s="20"/>
    </row>
    <row r="18488" spans="24:25">
      <c r="X18488" s="19"/>
      <c r="Y18488" s="20"/>
    </row>
    <row r="18489" spans="24:25">
      <c r="X18489" s="19"/>
      <c r="Y18489" s="20"/>
    </row>
    <row r="18490" spans="24:25">
      <c r="X18490" s="19"/>
      <c r="Y18490" s="20"/>
    </row>
    <row r="18491" spans="24:25">
      <c r="X18491" s="19"/>
      <c r="Y18491" s="20"/>
    </row>
    <row r="18492" spans="24:25">
      <c r="X18492" s="19"/>
      <c r="Y18492" s="20"/>
    </row>
    <row r="18493" spans="24:25">
      <c r="X18493" s="19"/>
      <c r="Y18493" s="20"/>
    </row>
    <row r="18494" spans="24:25">
      <c r="X18494" s="19"/>
      <c r="Y18494" s="20"/>
    </row>
    <row r="18495" spans="24:25">
      <c r="X18495" s="19"/>
      <c r="Y18495" s="20"/>
    </row>
    <row r="18496" spans="24:25">
      <c r="X18496" s="19"/>
      <c r="Y18496" s="20"/>
    </row>
    <row r="18497" spans="24:25">
      <c r="X18497" s="19"/>
      <c r="Y18497" s="20"/>
    </row>
    <row r="18498" spans="24:25">
      <c r="X18498" s="19"/>
      <c r="Y18498" s="20"/>
    </row>
    <row r="18499" spans="24:25">
      <c r="X18499" s="19"/>
      <c r="Y18499" s="20"/>
    </row>
    <row r="18500" spans="24:25">
      <c r="X18500" s="19"/>
      <c r="Y18500" s="20"/>
    </row>
    <row r="18501" spans="24:25">
      <c r="X18501" s="19"/>
      <c r="Y18501" s="20"/>
    </row>
    <row r="18502" spans="24:25">
      <c r="X18502" s="19"/>
      <c r="Y18502" s="20"/>
    </row>
    <row r="18503" spans="24:25">
      <c r="X18503" s="19"/>
      <c r="Y18503" s="20"/>
    </row>
    <row r="18504" spans="24:25">
      <c r="X18504" s="19"/>
      <c r="Y18504" s="20"/>
    </row>
    <row r="18505" spans="24:25">
      <c r="X18505" s="19"/>
      <c r="Y18505" s="20"/>
    </row>
    <row r="18506" spans="24:25">
      <c r="X18506" s="19"/>
      <c r="Y18506" s="20"/>
    </row>
    <row r="18507" spans="24:25">
      <c r="X18507" s="19"/>
      <c r="Y18507" s="20"/>
    </row>
    <row r="18508" spans="24:25">
      <c r="X18508" s="19"/>
      <c r="Y18508" s="20"/>
    </row>
    <row r="18509" spans="24:25">
      <c r="X18509" s="19"/>
      <c r="Y18509" s="20"/>
    </row>
    <row r="18510" spans="24:25">
      <c r="X18510" s="19"/>
      <c r="Y18510" s="20"/>
    </row>
    <row r="18511" spans="24:25">
      <c r="X18511" s="19"/>
      <c r="Y18511" s="20"/>
    </row>
    <row r="18512" spans="24:25">
      <c r="X18512" s="19"/>
      <c r="Y18512" s="20"/>
    </row>
    <row r="18513" spans="24:25">
      <c r="X18513" s="19"/>
      <c r="Y18513" s="20"/>
    </row>
    <row r="18514" spans="24:25">
      <c r="X18514" s="19"/>
      <c r="Y18514" s="20"/>
    </row>
    <row r="18515" spans="24:25">
      <c r="X18515" s="19"/>
      <c r="Y18515" s="20"/>
    </row>
    <row r="18516" spans="24:25">
      <c r="X18516" s="19"/>
      <c r="Y18516" s="20"/>
    </row>
    <row r="18517" spans="24:25">
      <c r="X18517" s="19"/>
      <c r="Y18517" s="20"/>
    </row>
    <row r="18518" spans="24:25">
      <c r="X18518" s="19"/>
      <c r="Y18518" s="20"/>
    </row>
    <row r="18519" spans="24:25">
      <c r="X18519" s="19"/>
      <c r="Y18519" s="20"/>
    </row>
    <row r="18520" spans="24:25">
      <c r="X18520" s="19"/>
      <c r="Y18520" s="20"/>
    </row>
    <row r="18521" spans="24:25">
      <c r="X18521" s="19"/>
      <c r="Y18521" s="20"/>
    </row>
    <row r="18522" spans="24:25">
      <c r="X18522" s="19"/>
      <c r="Y18522" s="20"/>
    </row>
    <row r="18523" spans="24:25">
      <c r="X18523" s="19"/>
      <c r="Y18523" s="20"/>
    </row>
    <row r="18524" spans="24:25">
      <c r="X18524" s="19"/>
      <c r="Y18524" s="20"/>
    </row>
    <row r="18525" spans="24:25">
      <c r="X18525" s="19"/>
      <c r="Y18525" s="20"/>
    </row>
    <row r="18526" spans="24:25">
      <c r="X18526" s="19"/>
      <c r="Y18526" s="20"/>
    </row>
    <row r="18527" spans="24:25">
      <c r="X18527" s="19"/>
      <c r="Y18527" s="20"/>
    </row>
    <row r="18528" spans="24:25">
      <c r="X18528" s="19"/>
      <c r="Y18528" s="20"/>
    </row>
    <row r="18529" spans="24:25">
      <c r="X18529" s="19"/>
      <c r="Y18529" s="20"/>
    </row>
    <row r="18530" spans="24:25">
      <c r="X18530" s="19"/>
      <c r="Y18530" s="20"/>
    </row>
    <row r="18531" spans="24:25">
      <c r="X18531" s="19"/>
      <c r="Y18531" s="20"/>
    </row>
    <row r="18532" spans="24:25">
      <c r="X18532" s="19"/>
      <c r="Y18532" s="20"/>
    </row>
    <row r="18533" spans="24:25">
      <c r="X18533" s="19"/>
      <c r="Y18533" s="20"/>
    </row>
    <row r="18534" spans="24:25">
      <c r="X18534" s="19"/>
      <c r="Y18534" s="20"/>
    </row>
    <row r="18535" spans="24:25">
      <c r="X18535" s="19"/>
      <c r="Y18535" s="20"/>
    </row>
    <row r="18536" spans="24:25">
      <c r="X18536" s="19"/>
      <c r="Y18536" s="20"/>
    </row>
    <row r="18537" spans="24:25">
      <c r="X18537" s="19"/>
      <c r="Y18537" s="20"/>
    </row>
    <row r="18538" spans="24:25">
      <c r="X18538" s="19"/>
      <c r="Y18538" s="20"/>
    </row>
    <row r="18539" spans="24:25">
      <c r="X18539" s="19"/>
      <c r="Y18539" s="20"/>
    </row>
    <row r="18540" spans="24:25">
      <c r="X18540" s="19"/>
      <c r="Y18540" s="20"/>
    </row>
    <row r="18541" spans="24:25">
      <c r="X18541" s="19"/>
      <c r="Y18541" s="20"/>
    </row>
    <row r="18542" spans="24:25">
      <c r="X18542" s="19"/>
      <c r="Y18542" s="20"/>
    </row>
    <row r="18543" spans="24:25">
      <c r="X18543" s="19"/>
      <c r="Y18543" s="20"/>
    </row>
    <row r="18544" spans="24:25">
      <c r="X18544" s="19"/>
      <c r="Y18544" s="20"/>
    </row>
    <row r="18545" spans="24:25">
      <c r="X18545" s="19"/>
      <c r="Y18545" s="20"/>
    </row>
    <row r="18546" spans="24:25">
      <c r="X18546" s="19"/>
      <c r="Y18546" s="20"/>
    </row>
    <row r="18547" spans="24:25">
      <c r="X18547" s="19"/>
      <c r="Y18547" s="20"/>
    </row>
    <row r="18548" spans="24:25">
      <c r="X18548" s="19"/>
      <c r="Y18548" s="20"/>
    </row>
    <row r="18549" spans="24:25">
      <c r="X18549" s="19"/>
      <c r="Y18549" s="20"/>
    </row>
    <row r="18550" spans="24:25">
      <c r="X18550" s="19"/>
      <c r="Y18550" s="20"/>
    </row>
    <row r="18551" spans="24:25">
      <c r="X18551" s="19"/>
      <c r="Y18551" s="20"/>
    </row>
    <row r="18552" spans="24:25">
      <c r="X18552" s="19"/>
      <c r="Y18552" s="20"/>
    </row>
    <row r="18553" spans="24:25">
      <c r="X18553" s="19"/>
      <c r="Y18553" s="20"/>
    </row>
    <row r="18554" spans="24:25">
      <c r="X18554" s="19"/>
      <c r="Y18554" s="20"/>
    </row>
    <row r="18555" spans="24:25">
      <c r="X18555" s="19"/>
      <c r="Y18555" s="20"/>
    </row>
    <row r="18556" spans="24:25">
      <c r="X18556" s="19"/>
      <c r="Y18556" s="20"/>
    </row>
    <row r="18557" spans="24:25">
      <c r="X18557" s="19"/>
      <c r="Y18557" s="20"/>
    </row>
    <row r="18558" spans="24:25">
      <c r="X18558" s="19"/>
      <c r="Y18558" s="20"/>
    </row>
    <row r="18559" spans="24:25">
      <c r="X18559" s="19"/>
      <c r="Y18559" s="20"/>
    </row>
    <row r="18560" spans="24:25">
      <c r="X18560" s="19"/>
      <c r="Y18560" s="20"/>
    </row>
    <row r="18561" spans="24:25">
      <c r="X18561" s="19"/>
      <c r="Y18561" s="20"/>
    </row>
    <row r="18562" spans="24:25">
      <c r="X18562" s="19"/>
      <c r="Y18562" s="20"/>
    </row>
    <row r="18563" spans="24:25">
      <c r="X18563" s="19"/>
      <c r="Y18563" s="20"/>
    </row>
    <row r="18564" spans="24:25">
      <c r="X18564" s="19"/>
      <c r="Y18564" s="20"/>
    </row>
    <row r="18565" spans="24:25">
      <c r="X18565" s="19"/>
      <c r="Y18565" s="20"/>
    </row>
    <row r="18566" spans="24:25">
      <c r="X18566" s="19"/>
      <c r="Y18566" s="20"/>
    </row>
    <row r="18567" spans="24:25">
      <c r="X18567" s="19"/>
      <c r="Y18567" s="20"/>
    </row>
    <row r="18568" spans="24:25">
      <c r="X18568" s="19"/>
      <c r="Y18568" s="20"/>
    </row>
    <row r="18569" spans="24:25">
      <c r="X18569" s="19"/>
      <c r="Y18569" s="20"/>
    </row>
    <row r="18570" spans="24:25">
      <c r="X18570" s="19"/>
      <c r="Y18570" s="20"/>
    </row>
    <row r="18571" spans="24:25">
      <c r="X18571" s="19"/>
      <c r="Y18571" s="20"/>
    </row>
    <row r="18572" spans="24:25">
      <c r="X18572" s="19"/>
      <c r="Y18572" s="20"/>
    </row>
    <row r="18573" spans="24:25">
      <c r="X18573" s="19"/>
      <c r="Y18573" s="20"/>
    </row>
    <row r="18574" spans="24:25">
      <c r="X18574" s="19"/>
      <c r="Y18574" s="20"/>
    </row>
    <row r="18575" spans="24:25">
      <c r="X18575" s="19"/>
      <c r="Y18575" s="20"/>
    </row>
    <row r="18576" spans="24:25">
      <c r="X18576" s="19"/>
      <c r="Y18576" s="20"/>
    </row>
    <row r="18577" spans="24:25">
      <c r="X18577" s="19"/>
      <c r="Y18577" s="20"/>
    </row>
    <row r="18578" spans="24:25">
      <c r="X18578" s="19"/>
      <c r="Y18578" s="20"/>
    </row>
    <row r="18579" spans="24:25">
      <c r="X18579" s="19"/>
      <c r="Y18579" s="20"/>
    </row>
    <row r="18580" spans="24:25">
      <c r="X18580" s="19"/>
      <c r="Y18580" s="20"/>
    </row>
    <row r="18581" spans="24:25">
      <c r="X18581" s="19"/>
      <c r="Y18581" s="20"/>
    </row>
    <row r="18582" spans="24:25">
      <c r="X18582" s="19"/>
      <c r="Y18582" s="20"/>
    </row>
    <row r="18583" spans="24:25">
      <c r="X18583" s="19"/>
      <c r="Y18583" s="20"/>
    </row>
    <row r="18584" spans="24:25">
      <c r="X18584" s="19"/>
      <c r="Y18584" s="20"/>
    </row>
    <row r="18585" spans="24:25">
      <c r="X18585" s="19"/>
      <c r="Y18585" s="20"/>
    </row>
    <row r="18586" spans="24:25">
      <c r="X18586" s="19"/>
      <c r="Y18586" s="20"/>
    </row>
    <row r="18587" spans="24:25">
      <c r="X18587" s="19"/>
      <c r="Y18587" s="20"/>
    </row>
    <row r="18588" spans="24:25">
      <c r="X18588" s="19"/>
      <c r="Y18588" s="20"/>
    </row>
    <row r="18589" spans="24:25">
      <c r="X18589" s="19"/>
      <c r="Y18589" s="20"/>
    </row>
    <row r="18590" spans="24:25">
      <c r="X18590" s="19"/>
      <c r="Y18590" s="20"/>
    </row>
    <row r="18591" spans="24:25">
      <c r="X18591" s="19"/>
      <c r="Y18591" s="20"/>
    </row>
    <row r="18592" spans="24:25">
      <c r="X18592" s="19"/>
      <c r="Y18592" s="20"/>
    </row>
    <row r="18593" spans="24:25">
      <c r="X18593" s="19"/>
      <c r="Y18593" s="20"/>
    </row>
    <row r="18594" spans="24:25">
      <c r="X18594" s="19"/>
      <c r="Y18594" s="20"/>
    </row>
    <row r="18595" spans="24:25">
      <c r="X18595" s="19"/>
      <c r="Y18595" s="20"/>
    </row>
    <row r="18596" spans="24:25">
      <c r="X18596" s="19"/>
      <c r="Y18596" s="20"/>
    </row>
    <row r="18597" spans="24:25">
      <c r="X18597" s="19"/>
      <c r="Y18597" s="20"/>
    </row>
    <row r="18598" spans="24:25">
      <c r="X18598" s="19"/>
      <c r="Y18598" s="20"/>
    </row>
    <row r="18599" spans="24:25">
      <c r="X18599" s="19"/>
      <c r="Y18599" s="20"/>
    </row>
    <row r="18600" spans="24:25">
      <c r="X18600" s="19"/>
      <c r="Y18600" s="20"/>
    </row>
    <row r="18601" spans="24:25">
      <c r="X18601" s="19"/>
      <c r="Y18601" s="20"/>
    </row>
    <row r="18602" spans="24:25">
      <c r="X18602" s="19"/>
      <c r="Y18602" s="20"/>
    </row>
    <row r="18603" spans="24:25">
      <c r="X18603" s="19"/>
      <c r="Y18603" s="20"/>
    </row>
    <row r="18604" spans="24:25">
      <c r="X18604" s="19"/>
      <c r="Y18604" s="20"/>
    </row>
    <row r="18605" spans="24:25">
      <c r="X18605" s="19"/>
      <c r="Y18605" s="20"/>
    </row>
    <row r="18606" spans="24:25">
      <c r="X18606" s="19"/>
      <c r="Y18606" s="20"/>
    </row>
    <row r="18607" spans="24:25">
      <c r="X18607" s="19"/>
      <c r="Y18607" s="20"/>
    </row>
    <row r="18608" spans="24:25">
      <c r="X18608" s="19"/>
      <c r="Y18608" s="20"/>
    </row>
    <row r="18609" spans="24:25">
      <c r="X18609" s="19"/>
      <c r="Y18609" s="20"/>
    </row>
    <row r="18610" spans="24:25">
      <c r="X18610" s="19"/>
      <c r="Y18610" s="20"/>
    </row>
    <row r="18611" spans="24:25">
      <c r="X18611" s="19"/>
      <c r="Y18611" s="20"/>
    </row>
    <row r="18612" spans="24:25">
      <c r="X18612" s="19"/>
      <c r="Y18612" s="20"/>
    </row>
    <row r="18613" spans="24:25">
      <c r="X18613" s="19"/>
      <c r="Y18613" s="20"/>
    </row>
    <row r="18614" spans="24:25">
      <c r="X18614" s="19"/>
      <c r="Y18614" s="20"/>
    </row>
    <row r="18615" spans="24:25">
      <c r="X18615" s="19"/>
      <c r="Y18615" s="20"/>
    </row>
    <row r="18616" spans="24:25">
      <c r="X18616" s="19"/>
      <c r="Y18616" s="20"/>
    </row>
    <row r="18617" spans="24:25">
      <c r="X18617" s="19"/>
      <c r="Y18617" s="20"/>
    </row>
    <row r="18618" spans="24:25">
      <c r="X18618" s="19"/>
      <c r="Y18618" s="20"/>
    </row>
    <row r="18619" spans="24:25">
      <c r="X18619" s="19"/>
      <c r="Y18619" s="20"/>
    </row>
    <row r="18620" spans="24:25">
      <c r="X18620" s="19"/>
      <c r="Y18620" s="20"/>
    </row>
    <row r="18621" spans="24:25">
      <c r="X18621" s="19"/>
      <c r="Y18621" s="20"/>
    </row>
    <row r="18622" spans="24:25">
      <c r="X18622" s="19"/>
      <c r="Y18622" s="20"/>
    </row>
    <row r="18623" spans="24:25">
      <c r="X18623" s="19"/>
      <c r="Y18623" s="20"/>
    </row>
    <row r="18624" spans="24:25">
      <c r="X18624" s="19"/>
      <c r="Y18624" s="20"/>
    </row>
    <row r="18625" spans="24:25">
      <c r="X18625" s="19"/>
      <c r="Y18625" s="20"/>
    </row>
    <row r="18626" spans="24:25">
      <c r="X18626" s="19"/>
      <c r="Y18626" s="20"/>
    </row>
    <row r="18627" spans="24:25">
      <c r="X18627" s="19"/>
      <c r="Y18627" s="20"/>
    </row>
    <row r="18628" spans="24:25">
      <c r="X18628" s="19"/>
      <c r="Y18628" s="20"/>
    </row>
    <row r="18629" spans="24:25">
      <c r="X18629" s="19"/>
      <c r="Y18629" s="20"/>
    </row>
    <row r="18630" spans="24:25">
      <c r="X18630" s="19"/>
      <c r="Y18630" s="20"/>
    </row>
    <row r="18631" spans="24:25">
      <c r="X18631" s="19"/>
      <c r="Y18631" s="20"/>
    </row>
    <row r="18632" spans="24:25">
      <c r="X18632" s="19"/>
      <c r="Y18632" s="20"/>
    </row>
    <row r="18633" spans="24:25">
      <c r="X18633" s="19"/>
      <c r="Y18633" s="20"/>
    </row>
    <row r="18634" spans="24:25">
      <c r="X18634" s="19"/>
      <c r="Y18634" s="20"/>
    </row>
    <row r="18635" spans="24:25">
      <c r="X18635" s="19"/>
      <c r="Y18635" s="20"/>
    </row>
    <row r="18636" spans="24:25">
      <c r="X18636" s="19"/>
      <c r="Y18636" s="20"/>
    </row>
    <row r="18637" spans="24:25">
      <c r="X18637" s="19"/>
      <c r="Y18637" s="20"/>
    </row>
    <row r="18638" spans="24:25">
      <c r="X18638" s="19"/>
      <c r="Y18638" s="20"/>
    </row>
    <row r="18639" spans="24:25">
      <c r="X18639" s="19"/>
      <c r="Y18639" s="20"/>
    </row>
    <row r="18640" spans="24:25">
      <c r="X18640" s="19"/>
      <c r="Y18640" s="20"/>
    </row>
    <row r="18641" spans="24:25">
      <c r="X18641" s="19"/>
      <c r="Y18641" s="20"/>
    </row>
    <row r="18642" spans="24:25">
      <c r="X18642" s="19"/>
      <c r="Y18642" s="20"/>
    </row>
    <row r="18643" spans="24:25">
      <c r="X18643" s="19"/>
      <c r="Y18643" s="20"/>
    </row>
    <row r="18644" spans="24:25">
      <c r="X18644" s="19"/>
      <c r="Y18644" s="20"/>
    </row>
    <row r="18645" spans="24:25">
      <c r="X18645" s="19"/>
      <c r="Y18645" s="20"/>
    </row>
    <row r="18646" spans="24:25">
      <c r="X18646" s="19"/>
      <c r="Y18646" s="20"/>
    </row>
    <row r="18647" spans="24:25">
      <c r="X18647" s="19"/>
      <c r="Y18647" s="20"/>
    </row>
    <row r="18648" spans="24:25">
      <c r="X18648" s="19"/>
      <c r="Y18648" s="20"/>
    </row>
    <row r="18649" spans="24:25">
      <c r="X18649" s="19"/>
      <c r="Y18649" s="20"/>
    </row>
    <row r="18650" spans="24:25">
      <c r="X18650" s="19"/>
      <c r="Y18650" s="20"/>
    </row>
    <row r="18651" spans="24:25">
      <c r="X18651" s="19"/>
      <c r="Y18651" s="20"/>
    </row>
    <row r="18652" spans="24:25">
      <c r="X18652" s="19"/>
      <c r="Y18652" s="20"/>
    </row>
    <row r="18653" spans="24:25">
      <c r="X18653" s="19"/>
      <c r="Y18653" s="20"/>
    </row>
    <row r="18654" spans="24:25">
      <c r="X18654" s="19"/>
      <c r="Y18654" s="20"/>
    </row>
    <row r="18655" spans="24:25">
      <c r="X18655" s="19"/>
      <c r="Y18655" s="20"/>
    </row>
    <row r="18656" spans="24:25">
      <c r="X18656" s="19"/>
      <c r="Y18656" s="20"/>
    </row>
    <row r="18657" spans="24:25">
      <c r="X18657" s="19"/>
      <c r="Y18657" s="20"/>
    </row>
    <row r="18658" spans="24:25">
      <c r="X18658" s="19"/>
      <c r="Y18658" s="20"/>
    </row>
    <row r="18659" spans="24:25">
      <c r="X18659" s="19"/>
      <c r="Y18659" s="20"/>
    </row>
    <row r="18660" spans="24:25">
      <c r="X18660" s="19"/>
      <c r="Y18660" s="20"/>
    </row>
    <row r="18661" spans="24:25">
      <c r="X18661" s="19"/>
      <c r="Y18661" s="20"/>
    </row>
    <row r="18662" spans="24:25">
      <c r="X18662" s="19"/>
      <c r="Y18662" s="20"/>
    </row>
    <row r="18663" spans="24:25">
      <c r="X18663" s="19"/>
      <c r="Y18663" s="20"/>
    </row>
    <row r="18664" spans="24:25">
      <c r="X18664" s="19"/>
      <c r="Y18664" s="20"/>
    </row>
    <row r="18665" spans="24:25">
      <c r="X18665" s="19"/>
      <c r="Y18665" s="20"/>
    </row>
    <row r="18666" spans="24:25">
      <c r="X18666" s="19"/>
      <c r="Y18666" s="20"/>
    </row>
    <row r="18667" spans="24:25">
      <c r="X18667" s="19"/>
      <c r="Y18667" s="20"/>
    </row>
    <row r="18668" spans="24:25">
      <c r="X18668" s="19"/>
      <c r="Y18668" s="20"/>
    </row>
    <row r="18669" spans="24:25">
      <c r="X18669" s="19"/>
      <c r="Y18669" s="20"/>
    </row>
    <row r="18670" spans="24:25">
      <c r="X18670" s="19"/>
      <c r="Y18670" s="20"/>
    </row>
    <row r="18671" spans="24:25">
      <c r="X18671" s="19"/>
      <c r="Y18671" s="20"/>
    </row>
    <row r="18672" spans="24:25">
      <c r="X18672" s="19"/>
      <c r="Y18672" s="20"/>
    </row>
    <row r="18673" spans="24:25">
      <c r="X18673" s="19"/>
      <c r="Y18673" s="20"/>
    </row>
    <row r="18674" spans="24:25">
      <c r="X18674" s="19"/>
      <c r="Y18674" s="20"/>
    </row>
    <row r="18675" spans="24:25">
      <c r="X18675" s="19"/>
      <c r="Y18675" s="20"/>
    </row>
    <row r="18676" spans="24:25">
      <c r="X18676" s="19"/>
      <c r="Y18676" s="20"/>
    </row>
    <row r="18677" spans="24:25">
      <c r="X18677" s="19"/>
      <c r="Y18677" s="20"/>
    </row>
    <row r="18678" spans="24:25">
      <c r="X18678" s="19"/>
      <c r="Y18678" s="20"/>
    </row>
    <row r="18679" spans="24:25">
      <c r="X18679" s="19"/>
      <c r="Y18679" s="20"/>
    </row>
    <row r="18680" spans="24:25">
      <c r="X18680" s="19"/>
      <c r="Y18680" s="20"/>
    </row>
    <row r="18681" spans="24:25">
      <c r="X18681" s="19"/>
      <c r="Y18681" s="20"/>
    </row>
    <row r="18682" spans="24:25">
      <c r="X18682" s="19"/>
      <c r="Y18682" s="20"/>
    </row>
    <row r="18683" spans="24:25">
      <c r="X18683" s="19"/>
      <c r="Y18683" s="20"/>
    </row>
    <row r="18684" spans="24:25">
      <c r="X18684" s="19"/>
      <c r="Y18684" s="20"/>
    </row>
    <row r="18685" spans="24:25">
      <c r="X18685" s="19"/>
      <c r="Y18685" s="20"/>
    </row>
    <row r="18686" spans="24:25">
      <c r="X18686" s="19"/>
      <c r="Y18686" s="20"/>
    </row>
    <row r="18687" spans="24:25">
      <c r="X18687" s="19"/>
      <c r="Y18687" s="20"/>
    </row>
    <row r="18688" spans="24:25">
      <c r="X18688" s="19"/>
      <c r="Y18688" s="20"/>
    </row>
    <row r="18689" spans="24:25">
      <c r="X18689" s="19"/>
      <c r="Y18689" s="20"/>
    </row>
    <row r="18690" spans="24:25">
      <c r="X18690" s="19"/>
      <c r="Y18690" s="20"/>
    </row>
    <row r="18691" spans="24:25">
      <c r="X18691" s="19"/>
      <c r="Y18691" s="20"/>
    </row>
    <row r="18692" spans="24:25">
      <c r="X18692" s="19"/>
      <c r="Y18692" s="20"/>
    </row>
    <row r="18693" spans="24:25">
      <c r="X18693" s="19"/>
      <c r="Y18693" s="20"/>
    </row>
    <row r="18694" spans="24:25">
      <c r="X18694" s="19"/>
      <c r="Y18694" s="20"/>
    </row>
    <row r="18695" spans="24:25">
      <c r="X18695" s="19"/>
      <c r="Y18695" s="20"/>
    </row>
    <row r="18696" spans="24:25">
      <c r="X18696" s="19"/>
      <c r="Y18696" s="20"/>
    </row>
    <row r="18697" spans="24:25">
      <c r="X18697" s="19"/>
      <c r="Y18697" s="20"/>
    </row>
    <row r="18698" spans="24:25">
      <c r="X18698" s="19"/>
      <c r="Y18698" s="20"/>
    </row>
    <row r="18699" spans="24:25">
      <c r="X18699" s="19"/>
      <c r="Y18699" s="20"/>
    </row>
    <row r="18700" spans="24:25">
      <c r="X18700" s="19"/>
      <c r="Y18700" s="20"/>
    </row>
    <row r="18701" spans="24:25">
      <c r="X18701" s="19"/>
      <c r="Y18701" s="20"/>
    </row>
    <row r="18702" spans="24:25">
      <c r="X18702" s="19"/>
      <c r="Y18702" s="20"/>
    </row>
    <row r="18703" spans="24:25">
      <c r="X18703" s="19"/>
      <c r="Y18703" s="20"/>
    </row>
    <row r="18704" spans="24:25">
      <c r="X18704" s="19"/>
      <c r="Y18704" s="20"/>
    </row>
    <row r="18705" spans="24:25">
      <c r="X18705" s="19"/>
      <c r="Y18705" s="20"/>
    </row>
    <row r="18706" spans="24:25">
      <c r="X18706" s="19"/>
      <c r="Y18706" s="20"/>
    </row>
    <row r="18707" spans="24:25">
      <c r="X18707" s="19"/>
      <c r="Y18707" s="20"/>
    </row>
    <row r="18708" spans="24:25">
      <c r="X18708" s="19"/>
      <c r="Y18708" s="20"/>
    </row>
    <row r="18709" spans="24:25">
      <c r="X18709" s="19"/>
      <c r="Y18709" s="20"/>
    </row>
    <row r="18710" spans="24:25">
      <c r="X18710" s="19"/>
      <c r="Y18710" s="20"/>
    </row>
    <row r="18711" spans="24:25">
      <c r="X18711" s="19"/>
      <c r="Y18711" s="20"/>
    </row>
    <row r="18712" spans="24:25">
      <c r="X18712" s="19"/>
      <c r="Y18712" s="20"/>
    </row>
    <row r="18713" spans="24:25">
      <c r="X18713" s="19"/>
      <c r="Y18713" s="20"/>
    </row>
    <row r="18714" spans="24:25">
      <c r="X18714" s="19"/>
      <c r="Y18714" s="20"/>
    </row>
    <row r="18715" spans="24:25">
      <c r="X18715" s="19"/>
      <c r="Y18715" s="20"/>
    </row>
    <row r="18716" spans="24:25">
      <c r="X18716" s="19"/>
      <c r="Y18716" s="20"/>
    </row>
    <row r="18717" spans="24:25">
      <c r="X18717" s="19"/>
      <c r="Y18717" s="20"/>
    </row>
    <row r="18718" spans="24:25">
      <c r="X18718" s="19"/>
      <c r="Y18718" s="20"/>
    </row>
    <row r="18719" spans="24:25">
      <c r="X18719" s="19"/>
      <c r="Y18719" s="20"/>
    </row>
    <row r="18720" spans="24:25">
      <c r="X18720" s="19"/>
      <c r="Y18720" s="20"/>
    </row>
    <row r="18721" spans="24:25">
      <c r="X18721" s="19"/>
      <c r="Y18721" s="20"/>
    </row>
    <row r="18722" spans="24:25">
      <c r="X18722" s="19"/>
      <c r="Y18722" s="20"/>
    </row>
    <row r="18723" spans="24:25">
      <c r="X18723" s="19"/>
      <c r="Y18723" s="20"/>
    </row>
    <row r="18724" spans="24:25">
      <c r="X18724" s="19"/>
      <c r="Y18724" s="20"/>
    </row>
    <row r="18725" spans="24:25">
      <c r="X18725" s="19"/>
      <c r="Y18725" s="20"/>
    </row>
    <row r="18726" spans="24:25">
      <c r="X18726" s="19"/>
      <c r="Y18726" s="20"/>
    </row>
    <row r="18727" spans="24:25">
      <c r="X18727" s="19"/>
      <c r="Y18727" s="20"/>
    </row>
    <row r="18728" spans="24:25">
      <c r="X18728" s="19"/>
      <c r="Y18728" s="20"/>
    </row>
    <row r="18729" spans="24:25">
      <c r="X18729" s="19"/>
      <c r="Y18729" s="20"/>
    </row>
    <row r="18730" spans="24:25">
      <c r="X18730" s="19"/>
      <c r="Y18730" s="20"/>
    </row>
    <row r="18731" spans="24:25">
      <c r="X18731" s="19"/>
      <c r="Y18731" s="20"/>
    </row>
    <row r="18732" spans="24:25">
      <c r="X18732" s="19"/>
      <c r="Y18732" s="20"/>
    </row>
    <row r="18733" spans="24:25">
      <c r="X18733" s="19"/>
      <c r="Y18733" s="20"/>
    </row>
    <row r="18734" spans="24:25">
      <c r="X18734" s="19"/>
      <c r="Y18734" s="20"/>
    </row>
    <row r="18735" spans="24:25">
      <c r="X18735" s="19"/>
      <c r="Y18735" s="20"/>
    </row>
    <row r="18736" spans="24:25">
      <c r="X18736" s="19"/>
      <c r="Y18736" s="20"/>
    </row>
    <row r="18737" spans="24:25">
      <c r="X18737" s="19"/>
      <c r="Y18737" s="20"/>
    </row>
    <row r="18738" spans="24:25">
      <c r="X18738" s="19"/>
      <c r="Y18738" s="20"/>
    </row>
    <row r="18739" spans="24:25">
      <c r="X18739" s="19"/>
      <c r="Y18739" s="20"/>
    </row>
    <row r="18740" spans="24:25">
      <c r="X18740" s="19"/>
      <c r="Y18740" s="20"/>
    </row>
    <row r="18741" spans="24:25">
      <c r="X18741" s="19"/>
      <c r="Y18741" s="20"/>
    </row>
    <row r="18742" spans="24:25">
      <c r="X18742" s="19"/>
      <c r="Y18742" s="20"/>
    </row>
    <row r="18743" spans="24:25">
      <c r="X18743" s="19"/>
      <c r="Y18743" s="20"/>
    </row>
    <row r="18744" spans="24:25">
      <c r="X18744" s="19"/>
      <c r="Y18744" s="20"/>
    </row>
    <row r="18745" spans="24:25">
      <c r="X18745" s="19"/>
      <c r="Y18745" s="20"/>
    </row>
    <row r="18746" spans="24:25">
      <c r="X18746" s="19"/>
      <c r="Y18746" s="20"/>
    </row>
    <row r="18747" spans="24:25">
      <c r="X18747" s="19"/>
      <c r="Y18747" s="20"/>
    </row>
    <row r="18748" spans="24:25">
      <c r="X18748" s="19"/>
      <c r="Y18748" s="20"/>
    </row>
    <row r="18749" spans="24:25">
      <c r="X18749" s="19"/>
      <c r="Y18749" s="20"/>
    </row>
    <row r="18750" spans="24:25">
      <c r="X18750" s="19"/>
      <c r="Y18750" s="20"/>
    </row>
    <row r="18751" spans="24:25">
      <c r="X18751" s="19"/>
      <c r="Y18751" s="20"/>
    </row>
    <row r="18752" spans="24:25">
      <c r="X18752" s="19"/>
      <c r="Y18752" s="20"/>
    </row>
    <row r="18753" spans="24:25">
      <c r="X18753" s="19"/>
      <c r="Y18753" s="20"/>
    </row>
    <row r="18754" spans="24:25">
      <c r="X18754" s="19"/>
      <c r="Y18754" s="20"/>
    </row>
    <row r="18755" spans="24:25">
      <c r="X18755" s="19"/>
      <c r="Y18755" s="20"/>
    </row>
    <row r="18756" spans="24:25">
      <c r="X18756" s="19"/>
      <c r="Y18756" s="20"/>
    </row>
    <row r="18757" spans="24:25">
      <c r="X18757" s="19"/>
      <c r="Y18757" s="20"/>
    </row>
    <row r="18758" spans="24:25">
      <c r="X18758" s="19"/>
      <c r="Y18758" s="20"/>
    </row>
    <row r="18759" spans="24:25">
      <c r="X18759" s="19"/>
      <c r="Y18759" s="20"/>
    </row>
    <row r="18760" spans="24:25">
      <c r="X18760" s="19"/>
      <c r="Y18760" s="20"/>
    </row>
    <row r="18761" spans="24:25">
      <c r="X18761" s="19"/>
      <c r="Y18761" s="20"/>
    </row>
    <row r="18762" spans="24:25">
      <c r="X18762" s="19"/>
      <c r="Y18762" s="20"/>
    </row>
    <row r="18763" spans="24:25">
      <c r="X18763" s="19"/>
      <c r="Y18763" s="20"/>
    </row>
    <row r="18764" spans="24:25">
      <c r="X18764" s="19"/>
      <c r="Y18764" s="20"/>
    </row>
    <row r="18765" spans="24:25">
      <c r="X18765" s="19"/>
      <c r="Y18765" s="20"/>
    </row>
    <row r="18766" spans="24:25">
      <c r="X18766" s="19"/>
      <c r="Y18766" s="20"/>
    </row>
    <row r="18767" spans="24:25">
      <c r="X18767" s="19"/>
      <c r="Y18767" s="20"/>
    </row>
    <row r="18768" spans="24:25">
      <c r="X18768" s="19"/>
      <c r="Y18768" s="20"/>
    </row>
    <row r="18769" spans="24:25">
      <c r="X18769" s="19"/>
      <c r="Y18769" s="20"/>
    </row>
    <row r="18770" spans="24:25">
      <c r="X18770" s="19"/>
      <c r="Y18770" s="20"/>
    </row>
    <row r="18771" spans="24:25">
      <c r="X18771" s="19"/>
      <c r="Y18771" s="20"/>
    </row>
    <row r="18772" spans="24:25">
      <c r="X18772" s="19"/>
      <c r="Y18772" s="20"/>
    </row>
    <row r="18773" spans="24:25">
      <c r="X18773" s="19"/>
      <c r="Y18773" s="20"/>
    </row>
    <row r="18774" spans="24:25">
      <c r="X18774" s="19"/>
      <c r="Y18774" s="20"/>
    </row>
    <row r="18775" spans="24:25">
      <c r="X18775" s="19"/>
      <c r="Y18775" s="20"/>
    </row>
    <row r="18776" spans="24:25">
      <c r="X18776" s="19"/>
      <c r="Y18776" s="20"/>
    </row>
    <row r="18777" spans="24:25">
      <c r="X18777" s="19"/>
      <c r="Y18777" s="20"/>
    </row>
    <row r="18778" spans="24:25">
      <c r="X18778" s="19"/>
      <c r="Y18778" s="20"/>
    </row>
    <row r="18779" spans="24:25">
      <c r="X18779" s="19"/>
      <c r="Y18779" s="20"/>
    </row>
    <row r="18780" spans="24:25">
      <c r="X18780" s="19"/>
      <c r="Y18780" s="20"/>
    </row>
    <row r="18781" spans="24:25">
      <c r="X18781" s="19"/>
      <c r="Y18781" s="20"/>
    </row>
    <row r="18782" spans="24:25">
      <c r="X18782" s="19"/>
      <c r="Y18782" s="20"/>
    </row>
    <row r="18783" spans="24:25">
      <c r="X18783" s="19"/>
      <c r="Y18783" s="20"/>
    </row>
    <row r="18784" spans="24:25">
      <c r="X18784" s="19"/>
      <c r="Y18784" s="20"/>
    </row>
    <row r="18785" spans="24:25">
      <c r="X18785" s="19"/>
      <c r="Y18785" s="20"/>
    </row>
    <row r="18786" spans="24:25">
      <c r="X18786" s="19"/>
      <c r="Y18786" s="20"/>
    </row>
    <row r="18787" spans="24:25">
      <c r="X18787" s="19"/>
      <c r="Y18787" s="20"/>
    </row>
    <row r="18788" spans="24:25">
      <c r="X18788" s="19"/>
      <c r="Y18788" s="20"/>
    </row>
    <row r="18789" spans="24:25">
      <c r="X18789" s="19"/>
      <c r="Y18789" s="20"/>
    </row>
    <row r="18790" spans="24:25">
      <c r="X18790" s="19"/>
      <c r="Y18790" s="20"/>
    </row>
    <row r="18791" spans="24:25">
      <c r="X18791" s="19"/>
      <c r="Y18791" s="20"/>
    </row>
    <row r="18792" spans="24:25">
      <c r="X18792" s="19"/>
      <c r="Y18792" s="20"/>
    </row>
    <row r="18793" spans="24:25">
      <c r="X18793" s="19"/>
      <c r="Y18793" s="20"/>
    </row>
    <row r="18794" spans="24:25">
      <c r="X18794" s="19"/>
      <c r="Y18794" s="20"/>
    </row>
    <row r="18795" spans="24:25">
      <c r="X18795" s="19"/>
      <c r="Y18795" s="20"/>
    </row>
    <row r="18796" spans="24:25">
      <c r="X18796" s="19"/>
      <c r="Y18796" s="20"/>
    </row>
    <row r="18797" spans="24:25">
      <c r="X18797" s="19"/>
      <c r="Y18797" s="20"/>
    </row>
    <row r="18798" spans="24:25">
      <c r="X18798" s="19"/>
      <c r="Y18798" s="20"/>
    </row>
    <row r="18799" spans="24:25">
      <c r="X18799" s="19"/>
      <c r="Y18799" s="20"/>
    </row>
    <row r="18800" spans="24:25">
      <c r="X18800" s="19"/>
      <c r="Y18800" s="20"/>
    </row>
    <row r="18801" spans="24:25">
      <c r="X18801" s="19"/>
      <c r="Y18801" s="20"/>
    </row>
    <row r="18802" spans="24:25">
      <c r="X18802" s="19"/>
      <c r="Y18802" s="20"/>
    </row>
    <row r="18803" spans="24:25">
      <c r="X18803" s="19"/>
      <c r="Y18803" s="20"/>
    </row>
    <row r="18804" spans="24:25">
      <c r="X18804" s="19"/>
      <c r="Y18804" s="20"/>
    </row>
    <row r="18805" spans="24:25">
      <c r="X18805" s="19"/>
      <c r="Y18805" s="20"/>
    </row>
    <row r="18806" spans="24:25">
      <c r="X18806" s="19"/>
      <c r="Y18806" s="20"/>
    </row>
    <row r="18807" spans="24:25">
      <c r="X18807" s="19"/>
      <c r="Y18807" s="20"/>
    </row>
    <row r="18808" spans="24:25">
      <c r="X18808" s="19"/>
      <c r="Y18808" s="20"/>
    </row>
    <row r="18809" spans="24:25">
      <c r="X18809" s="19"/>
      <c r="Y18809" s="20"/>
    </row>
    <row r="18810" spans="24:25">
      <c r="X18810" s="19"/>
      <c r="Y18810" s="20"/>
    </row>
    <row r="18811" spans="24:25">
      <c r="X18811" s="19"/>
      <c r="Y18811" s="20"/>
    </row>
    <row r="18812" spans="24:25">
      <c r="X18812" s="19"/>
      <c r="Y18812" s="20"/>
    </row>
    <row r="18813" spans="24:25">
      <c r="X18813" s="19"/>
      <c r="Y18813" s="20"/>
    </row>
    <row r="18814" spans="24:25">
      <c r="X18814" s="19"/>
      <c r="Y18814" s="20"/>
    </row>
    <row r="18815" spans="24:25">
      <c r="X18815" s="19"/>
      <c r="Y18815" s="20"/>
    </row>
    <row r="18816" spans="24:25">
      <c r="X18816" s="19"/>
      <c r="Y18816" s="20"/>
    </row>
    <row r="18817" spans="24:25">
      <c r="X18817" s="19"/>
      <c r="Y18817" s="20"/>
    </row>
    <row r="18818" spans="24:25">
      <c r="X18818" s="19"/>
      <c r="Y18818" s="20"/>
    </row>
    <row r="18819" spans="24:25">
      <c r="X18819" s="19"/>
      <c r="Y18819" s="20"/>
    </row>
    <row r="18820" spans="24:25">
      <c r="X18820" s="19"/>
      <c r="Y18820" s="20"/>
    </row>
    <row r="18821" spans="24:25">
      <c r="X18821" s="19"/>
      <c r="Y18821" s="20"/>
    </row>
    <row r="18822" spans="24:25">
      <c r="X18822" s="19"/>
      <c r="Y18822" s="20"/>
    </row>
    <row r="18823" spans="24:25">
      <c r="X18823" s="19"/>
      <c r="Y18823" s="20"/>
    </row>
    <row r="18824" spans="24:25">
      <c r="X18824" s="19"/>
      <c r="Y18824" s="20"/>
    </row>
    <row r="18825" spans="24:25">
      <c r="X18825" s="19"/>
      <c r="Y18825" s="20"/>
    </row>
    <row r="18826" spans="24:25">
      <c r="X18826" s="19"/>
      <c r="Y18826" s="20"/>
    </row>
    <row r="18827" spans="24:25">
      <c r="X18827" s="19"/>
      <c r="Y18827" s="20"/>
    </row>
    <row r="18828" spans="24:25">
      <c r="X18828" s="19"/>
      <c r="Y18828" s="20"/>
    </row>
    <row r="18829" spans="24:25">
      <c r="X18829" s="19"/>
      <c r="Y18829" s="20"/>
    </row>
    <row r="18830" spans="24:25">
      <c r="X18830" s="19"/>
      <c r="Y18830" s="20"/>
    </row>
    <row r="18831" spans="24:25">
      <c r="X18831" s="19"/>
      <c r="Y18831" s="20"/>
    </row>
    <row r="18832" spans="24:25">
      <c r="X18832" s="19"/>
      <c r="Y18832" s="20"/>
    </row>
    <row r="18833" spans="24:25">
      <c r="X18833" s="19"/>
      <c r="Y18833" s="20"/>
    </row>
    <row r="18834" spans="24:25">
      <c r="X18834" s="19"/>
      <c r="Y18834" s="20"/>
    </row>
    <row r="18835" spans="24:25">
      <c r="X18835" s="19"/>
      <c r="Y18835" s="20"/>
    </row>
    <row r="18836" spans="24:25">
      <c r="X18836" s="19"/>
      <c r="Y18836" s="20"/>
    </row>
    <row r="18837" spans="24:25">
      <c r="X18837" s="19"/>
      <c r="Y18837" s="20"/>
    </row>
    <row r="18838" spans="24:25">
      <c r="X18838" s="19"/>
      <c r="Y18838" s="20"/>
    </row>
    <row r="18839" spans="24:25">
      <c r="X18839" s="19"/>
      <c r="Y18839" s="20"/>
    </row>
    <row r="18840" spans="24:25">
      <c r="X18840" s="19"/>
      <c r="Y18840" s="20"/>
    </row>
    <row r="18841" spans="24:25">
      <c r="X18841" s="19"/>
      <c r="Y18841" s="20"/>
    </row>
    <row r="18842" spans="24:25">
      <c r="X18842" s="19"/>
      <c r="Y18842" s="20"/>
    </row>
    <row r="18843" spans="24:25">
      <c r="X18843" s="19"/>
      <c r="Y18843" s="20"/>
    </row>
    <row r="18844" spans="24:25">
      <c r="X18844" s="19"/>
      <c r="Y18844" s="20"/>
    </row>
    <row r="18845" spans="24:25">
      <c r="X18845" s="19"/>
      <c r="Y18845" s="20"/>
    </row>
    <row r="18846" spans="24:25">
      <c r="X18846" s="19"/>
      <c r="Y18846" s="20"/>
    </row>
    <row r="18847" spans="24:25">
      <c r="X18847" s="19"/>
      <c r="Y18847" s="20"/>
    </row>
    <row r="18848" spans="24:25">
      <c r="X18848" s="19"/>
      <c r="Y18848" s="20"/>
    </row>
    <row r="18849" spans="24:25">
      <c r="X18849" s="19"/>
      <c r="Y18849" s="20"/>
    </row>
    <row r="18850" spans="24:25">
      <c r="X18850" s="19"/>
      <c r="Y18850" s="20"/>
    </row>
    <row r="18851" spans="24:25">
      <c r="X18851" s="19"/>
      <c r="Y18851" s="20"/>
    </row>
    <row r="18852" spans="24:25">
      <c r="X18852" s="19"/>
      <c r="Y18852" s="20"/>
    </row>
    <row r="18853" spans="24:25">
      <c r="X18853" s="19"/>
      <c r="Y18853" s="20"/>
    </row>
    <row r="18854" spans="24:25">
      <c r="X18854" s="19"/>
      <c r="Y18854" s="20"/>
    </row>
    <row r="18855" spans="24:25">
      <c r="X18855" s="19"/>
      <c r="Y18855" s="20"/>
    </row>
    <row r="18856" spans="24:25">
      <c r="X18856" s="19"/>
      <c r="Y18856" s="20"/>
    </row>
    <row r="18857" spans="24:25">
      <c r="X18857" s="19"/>
      <c r="Y18857" s="20"/>
    </row>
    <row r="18858" spans="24:25">
      <c r="X18858" s="19"/>
      <c r="Y18858" s="20"/>
    </row>
    <row r="18859" spans="24:25">
      <c r="X18859" s="19"/>
      <c r="Y18859" s="20"/>
    </row>
    <row r="18860" spans="24:25">
      <c r="X18860" s="19"/>
      <c r="Y18860" s="20"/>
    </row>
    <row r="18861" spans="24:25">
      <c r="X18861" s="19"/>
      <c r="Y18861" s="20"/>
    </row>
    <row r="18862" spans="24:25">
      <c r="X18862" s="19"/>
      <c r="Y18862" s="20"/>
    </row>
    <row r="18863" spans="24:25">
      <c r="X18863" s="19"/>
      <c r="Y18863" s="20"/>
    </row>
    <row r="18864" spans="24:25">
      <c r="X18864" s="19"/>
      <c r="Y18864" s="20"/>
    </row>
    <row r="18865" spans="24:25">
      <c r="X18865" s="19"/>
      <c r="Y18865" s="20"/>
    </row>
    <row r="18866" spans="24:25">
      <c r="X18866" s="19"/>
      <c r="Y18866" s="20"/>
    </row>
    <row r="18867" spans="24:25">
      <c r="X18867" s="19"/>
      <c r="Y18867" s="20"/>
    </row>
    <row r="18868" spans="24:25">
      <c r="X18868" s="19"/>
      <c r="Y18868" s="20"/>
    </row>
    <row r="18869" spans="24:25">
      <c r="X18869" s="19"/>
      <c r="Y18869" s="20"/>
    </row>
    <row r="18870" spans="24:25">
      <c r="X18870" s="19"/>
      <c r="Y18870" s="20"/>
    </row>
    <row r="18871" spans="24:25">
      <c r="X18871" s="19"/>
      <c r="Y18871" s="20"/>
    </row>
    <row r="18872" spans="24:25">
      <c r="X18872" s="19"/>
      <c r="Y18872" s="20"/>
    </row>
    <row r="18873" spans="24:25">
      <c r="X18873" s="19"/>
      <c r="Y18873" s="20"/>
    </row>
    <row r="18874" spans="24:25">
      <c r="X18874" s="19"/>
      <c r="Y18874" s="20"/>
    </row>
    <row r="18875" spans="24:25">
      <c r="X18875" s="19"/>
      <c r="Y18875" s="20"/>
    </row>
    <row r="18876" spans="24:25">
      <c r="X18876" s="19"/>
      <c r="Y18876" s="20"/>
    </row>
    <row r="18877" spans="24:25">
      <c r="X18877" s="19"/>
      <c r="Y18877" s="20"/>
    </row>
    <row r="18878" spans="24:25">
      <c r="X18878" s="19"/>
      <c r="Y18878" s="20"/>
    </row>
    <row r="18879" spans="24:25">
      <c r="X18879" s="19"/>
      <c r="Y18879" s="20"/>
    </row>
    <row r="18880" spans="24:25">
      <c r="X18880" s="19"/>
      <c r="Y18880" s="20"/>
    </row>
    <row r="18881" spans="24:25">
      <c r="X18881" s="19"/>
      <c r="Y18881" s="20"/>
    </row>
    <row r="18882" spans="24:25">
      <c r="X18882" s="19"/>
      <c r="Y18882" s="20"/>
    </row>
    <row r="18883" spans="24:25">
      <c r="X18883" s="19"/>
      <c r="Y18883" s="20"/>
    </row>
    <row r="18884" spans="24:25">
      <c r="X18884" s="19"/>
      <c r="Y18884" s="20"/>
    </row>
    <row r="18885" spans="24:25">
      <c r="X18885" s="19"/>
      <c r="Y18885" s="20"/>
    </row>
    <row r="18886" spans="24:25">
      <c r="X18886" s="19"/>
      <c r="Y18886" s="20"/>
    </row>
    <row r="18887" spans="24:25">
      <c r="X18887" s="19"/>
      <c r="Y18887" s="20"/>
    </row>
    <row r="18888" spans="24:25">
      <c r="X18888" s="19"/>
      <c r="Y18888" s="20"/>
    </row>
    <row r="18889" spans="24:25">
      <c r="X18889" s="19"/>
      <c r="Y18889" s="20"/>
    </row>
    <row r="18890" spans="24:25">
      <c r="X18890" s="19"/>
      <c r="Y18890" s="20"/>
    </row>
    <row r="18891" spans="24:25">
      <c r="X18891" s="19"/>
      <c r="Y18891" s="20"/>
    </row>
    <row r="18892" spans="24:25">
      <c r="X18892" s="19"/>
      <c r="Y18892" s="20"/>
    </row>
    <row r="18893" spans="24:25">
      <c r="X18893" s="19"/>
      <c r="Y18893" s="20"/>
    </row>
    <row r="18894" spans="24:25">
      <c r="X18894" s="19"/>
      <c r="Y18894" s="20"/>
    </row>
    <row r="18895" spans="24:25">
      <c r="X18895" s="19"/>
      <c r="Y18895" s="20"/>
    </row>
    <row r="18896" spans="24:25">
      <c r="X18896" s="19"/>
      <c r="Y18896" s="20"/>
    </row>
    <row r="18897" spans="24:25">
      <c r="X18897" s="19"/>
      <c r="Y18897" s="20"/>
    </row>
    <row r="18898" spans="24:25">
      <c r="X18898" s="19"/>
      <c r="Y18898" s="20"/>
    </row>
    <row r="18899" spans="24:25">
      <c r="X18899" s="19"/>
      <c r="Y18899" s="20"/>
    </row>
    <row r="18900" spans="24:25">
      <c r="X18900" s="19"/>
      <c r="Y18900" s="20"/>
    </row>
    <row r="18901" spans="24:25">
      <c r="X18901" s="19"/>
      <c r="Y18901" s="20"/>
    </row>
    <row r="18902" spans="24:25">
      <c r="X18902" s="19"/>
      <c r="Y18902" s="20"/>
    </row>
    <row r="18903" spans="24:25">
      <c r="X18903" s="19"/>
      <c r="Y18903" s="20"/>
    </row>
    <row r="18904" spans="24:25">
      <c r="X18904" s="19"/>
      <c r="Y18904" s="20"/>
    </row>
    <row r="18905" spans="24:25">
      <c r="X18905" s="19"/>
      <c r="Y18905" s="20"/>
    </row>
    <row r="18906" spans="24:25">
      <c r="X18906" s="19"/>
      <c r="Y18906" s="20"/>
    </row>
    <row r="18907" spans="24:25">
      <c r="X18907" s="19"/>
      <c r="Y18907" s="20"/>
    </row>
    <row r="18908" spans="24:25">
      <c r="X18908" s="19"/>
      <c r="Y18908" s="20"/>
    </row>
    <row r="18909" spans="24:25">
      <c r="X18909" s="19"/>
      <c r="Y18909" s="20"/>
    </row>
    <row r="18910" spans="24:25">
      <c r="X18910" s="19"/>
      <c r="Y18910" s="20"/>
    </row>
    <row r="18911" spans="24:25">
      <c r="X18911" s="19"/>
      <c r="Y18911" s="20"/>
    </row>
    <row r="18912" spans="24:25">
      <c r="X18912" s="19"/>
      <c r="Y18912" s="20"/>
    </row>
    <row r="18913" spans="24:25">
      <c r="X18913" s="19"/>
      <c r="Y18913" s="20"/>
    </row>
    <row r="18914" spans="24:25">
      <c r="X18914" s="19"/>
      <c r="Y18914" s="20"/>
    </row>
    <row r="18915" spans="24:25">
      <c r="X18915" s="19"/>
      <c r="Y18915" s="20"/>
    </row>
    <row r="18916" spans="24:25">
      <c r="X18916" s="19"/>
      <c r="Y18916" s="20"/>
    </row>
    <row r="18917" spans="24:25">
      <c r="X18917" s="19"/>
      <c r="Y18917" s="20"/>
    </row>
    <row r="18918" spans="24:25">
      <c r="X18918" s="19"/>
      <c r="Y18918" s="20"/>
    </row>
    <row r="18919" spans="24:25">
      <c r="X18919" s="19"/>
      <c r="Y18919" s="20"/>
    </row>
    <row r="18920" spans="24:25">
      <c r="X18920" s="19"/>
      <c r="Y18920" s="20"/>
    </row>
    <row r="18921" spans="24:25">
      <c r="X18921" s="19"/>
      <c r="Y18921" s="20"/>
    </row>
    <row r="18922" spans="24:25">
      <c r="X18922" s="19"/>
      <c r="Y18922" s="20"/>
    </row>
    <row r="18923" spans="24:25">
      <c r="X18923" s="19"/>
      <c r="Y18923" s="20"/>
    </row>
    <row r="18924" spans="24:25">
      <c r="X18924" s="19"/>
      <c r="Y18924" s="20"/>
    </row>
    <row r="18925" spans="24:25">
      <c r="X18925" s="19"/>
      <c r="Y18925" s="20"/>
    </row>
    <row r="18926" spans="24:25">
      <c r="X18926" s="19"/>
      <c r="Y18926" s="20"/>
    </row>
    <row r="18927" spans="24:25">
      <c r="X18927" s="19"/>
      <c r="Y18927" s="20"/>
    </row>
    <row r="18928" spans="24:25">
      <c r="X18928" s="19"/>
      <c r="Y18928" s="20"/>
    </row>
    <row r="18929" spans="24:25">
      <c r="X18929" s="19"/>
      <c r="Y18929" s="20"/>
    </row>
    <row r="18930" spans="24:25">
      <c r="X18930" s="19"/>
      <c r="Y18930" s="20"/>
    </row>
    <row r="18931" spans="24:25">
      <c r="X18931" s="19"/>
      <c r="Y18931" s="20"/>
    </row>
    <row r="18932" spans="24:25">
      <c r="X18932" s="19"/>
      <c r="Y18932" s="20"/>
    </row>
    <row r="18933" spans="24:25">
      <c r="X18933" s="19"/>
      <c r="Y18933" s="20"/>
    </row>
    <row r="18934" spans="24:25">
      <c r="X18934" s="19"/>
      <c r="Y18934" s="20"/>
    </row>
    <row r="18935" spans="24:25">
      <c r="X18935" s="19"/>
      <c r="Y18935" s="20"/>
    </row>
    <row r="18936" spans="24:25">
      <c r="X18936" s="19"/>
      <c r="Y18936" s="20"/>
    </row>
    <row r="18937" spans="24:25">
      <c r="X18937" s="19"/>
      <c r="Y18937" s="20"/>
    </row>
    <row r="18938" spans="24:25">
      <c r="X18938" s="19"/>
      <c r="Y18938" s="20"/>
    </row>
    <row r="18939" spans="24:25">
      <c r="X18939" s="19"/>
      <c r="Y18939" s="20"/>
    </row>
    <row r="18940" spans="24:25">
      <c r="X18940" s="19"/>
      <c r="Y18940" s="20"/>
    </row>
    <row r="18941" spans="24:25">
      <c r="X18941" s="19"/>
      <c r="Y18941" s="20"/>
    </row>
    <row r="18942" spans="24:25">
      <c r="X18942" s="19"/>
      <c r="Y18942" s="20"/>
    </row>
    <row r="18943" spans="24:25">
      <c r="X18943" s="19"/>
      <c r="Y18943" s="20"/>
    </row>
    <row r="18944" spans="24:25">
      <c r="X18944" s="19"/>
      <c r="Y18944" s="20"/>
    </row>
    <row r="18945" spans="24:25">
      <c r="X18945" s="19"/>
      <c r="Y18945" s="20"/>
    </row>
    <row r="18946" spans="24:25">
      <c r="X18946" s="19"/>
      <c r="Y18946" s="20"/>
    </row>
    <row r="18947" spans="24:25">
      <c r="X18947" s="19"/>
      <c r="Y18947" s="20"/>
    </row>
    <row r="18948" spans="24:25">
      <c r="X18948" s="19"/>
      <c r="Y18948" s="20"/>
    </row>
    <row r="18949" spans="24:25">
      <c r="X18949" s="19"/>
      <c r="Y18949" s="20"/>
    </row>
    <row r="18950" spans="24:25">
      <c r="X18950" s="19"/>
      <c r="Y18950" s="20"/>
    </row>
    <row r="18951" spans="24:25">
      <c r="X18951" s="19"/>
      <c r="Y18951" s="20"/>
    </row>
    <row r="18952" spans="24:25">
      <c r="X18952" s="19"/>
      <c r="Y18952" s="20"/>
    </row>
    <row r="18953" spans="24:25">
      <c r="X18953" s="19"/>
      <c r="Y18953" s="20"/>
    </row>
    <row r="18954" spans="24:25">
      <c r="X18954" s="19"/>
      <c r="Y18954" s="20"/>
    </row>
    <row r="18955" spans="24:25">
      <c r="X18955" s="19"/>
      <c r="Y18955" s="20"/>
    </row>
    <row r="18956" spans="24:25">
      <c r="X18956" s="19"/>
      <c r="Y18956" s="20"/>
    </row>
    <row r="18957" spans="24:25">
      <c r="X18957" s="19"/>
      <c r="Y18957" s="20"/>
    </row>
    <row r="18958" spans="24:25">
      <c r="X18958" s="19"/>
      <c r="Y18958" s="20"/>
    </row>
    <row r="18959" spans="24:25">
      <c r="X18959" s="19"/>
      <c r="Y18959" s="20"/>
    </row>
    <row r="18960" spans="24:25">
      <c r="X18960" s="19"/>
      <c r="Y18960" s="20"/>
    </row>
    <row r="18961" spans="24:25">
      <c r="X18961" s="19"/>
      <c r="Y18961" s="20"/>
    </row>
    <row r="18962" spans="24:25">
      <c r="X18962" s="19"/>
      <c r="Y18962" s="20"/>
    </row>
    <row r="18963" spans="24:25">
      <c r="X18963" s="19"/>
      <c r="Y18963" s="20"/>
    </row>
    <row r="18964" spans="24:25">
      <c r="X18964" s="19"/>
      <c r="Y18964" s="20"/>
    </row>
    <row r="18965" spans="24:25">
      <c r="X18965" s="19"/>
      <c r="Y18965" s="20"/>
    </row>
    <row r="18966" spans="24:25">
      <c r="X18966" s="19"/>
      <c r="Y18966" s="20"/>
    </row>
    <row r="18967" spans="24:25">
      <c r="X18967" s="19"/>
      <c r="Y18967" s="20"/>
    </row>
    <row r="18968" spans="24:25">
      <c r="X18968" s="19"/>
      <c r="Y18968" s="20"/>
    </row>
    <row r="18969" spans="24:25">
      <c r="X18969" s="19"/>
      <c r="Y18969" s="20"/>
    </row>
    <row r="18970" spans="24:25">
      <c r="X18970" s="19"/>
      <c r="Y18970" s="20"/>
    </row>
    <row r="18971" spans="24:25">
      <c r="X18971" s="19"/>
      <c r="Y18971" s="20"/>
    </row>
    <row r="18972" spans="24:25">
      <c r="X18972" s="19"/>
      <c r="Y18972" s="20"/>
    </row>
    <row r="18973" spans="24:25">
      <c r="X18973" s="19"/>
      <c r="Y18973" s="20"/>
    </row>
    <row r="18974" spans="24:25">
      <c r="X18974" s="19"/>
      <c r="Y18974" s="20"/>
    </row>
    <row r="18975" spans="24:25">
      <c r="X18975" s="19"/>
      <c r="Y18975" s="20"/>
    </row>
    <row r="18976" spans="24:25">
      <c r="X18976" s="19"/>
      <c r="Y18976" s="20"/>
    </row>
    <row r="18977" spans="24:25">
      <c r="X18977" s="19"/>
      <c r="Y18977" s="20"/>
    </row>
    <row r="18978" spans="24:25">
      <c r="X18978" s="19"/>
      <c r="Y18978" s="20"/>
    </row>
    <row r="18979" spans="24:25">
      <c r="X18979" s="19"/>
      <c r="Y18979" s="20"/>
    </row>
    <row r="18980" spans="24:25">
      <c r="X18980" s="19"/>
      <c r="Y18980" s="20"/>
    </row>
    <row r="18981" spans="24:25">
      <c r="X18981" s="19"/>
      <c r="Y18981" s="20"/>
    </row>
    <row r="18982" spans="24:25">
      <c r="X18982" s="19"/>
      <c r="Y18982" s="20"/>
    </row>
    <row r="18983" spans="24:25">
      <c r="X18983" s="19"/>
      <c r="Y18983" s="20"/>
    </row>
    <row r="18984" spans="24:25">
      <c r="X18984" s="19"/>
      <c r="Y18984" s="20"/>
    </row>
    <row r="18985" spans="24:25">
      <c r="X18985" s="19"/>
      <c r="Y18985" s="20"/>
    </row>
    <row r="18986" spans="24:25">
      <c r="X18986" s="19"/>
      <c r="Y18986" s="20"/>
    </row>
    <row r="18987" spans="24:25">
      <c r="X18987" s="19"/>
      <c r="Y18987" s="20"/>
    </row>
    <row r="18988" spans="24:25">
      <c r="X18988" s="19"/>
      <c r="Y18988" s="20"/>
    </row>
    <row r="18989" spans="24:25">
      <c r="X18989" s="19"/>
      <c r="Y18989" s="20"/>
    </row>
    <row r="18990" spans="24:25">
      <c r="X18990" s="19"/>
      <c r="Y18990" s="20"/>
    </row>
    <row r="18991" spans="24:25">
      <c r="X18991" s="19"/>
      <c r="Y18991" s="20"/>
    </row>
    <row r="18992" spans="24:25">
      <c r="X18992" s="19"/>
      <c r="Y18992" s="20"/>
    </row>
    <row r="18993" spans="24:25">
      <c r="X18993" s="19"/>
      <c r="Y18993" s="20"/>
    </row>
    <row r="18994" spans="24:25">
      <c r="X18994" s="19"/>
      <c r="Y18994" s="20"/>
    </row>
    <row r="18995" spans="24:25">
      <c r="X18995" s="19"/>
      <c r="Y18995" s="20"/>
    </row>
    <row r="18996" spans="24:25">
      <c r="X18996" s="19"/>
      <c r="Y18996" s="20"/>
    </row>
    <row r="18997" spans="24:25">
      <c r="X18997" s="19"/>
      <c r="Y18997" s="20"/>
    </row>
    <row r="18998" spans="24:25">
      <c r="X18998" s="19"/>
      <c r="Y18998" s="20"/>
    </row>
    <row r="18999" spans="24:25">
      <c r="X18999" s="19"/>
      <c r="Y18999" s="20"/>
    </row>
    <row r="19000" spans="24:25">
      <c r="X19000" s="19"/>
      <c r="Y19000" s="20"/>
    </row>
    <row r="19001" spans="24:25">
      <c r="X19001" s="19"/>
      <c r="Y19001" s="20"/>
    </row>
    <row r="19002" spans="24:25">
      <c r="X19002" s="19"/>
      <c r="Y19002" s="20"/>
    </row>
    <row r="19003" spans="24:25">
      <c r="X19003" s="19"/>
      <c r="Y19003" s="20"/>
    </row>
    <row r="19004" spans="24:25">
      <c r="X19004" s="19"/>
      <c r="Y19004" s="20"/>
    </row>
    <row r="19005" spans="24:25">
      <c r="X19005" s="19"/>
      <c r="Y19005" s="20"/>
    </row>
    <row r="19006" spans="24:25">
      <c r="X19006" s="19"/>
      <c r="Y19006" s="20"/>
    </row>
    <row r="19007" spans="24:25">
      <c r="X19007" s="19"/>
      <c r="Y19007" s="20"/>
    </row>
    <row r="19008" spans="24:25">
      <c r="X19008" s="19"/>
      <c r="Y19008" s="20"/>
    </row>
    <row r="19009" spans="24:25">
      <c r="X19009" s="19"/>
      <c r="Y19009" s="20"/>
    </row>
    <row r="19010" spans="24:25">
      <c r="X19010" s="19"/>
      <c r="Y19010" s="20"/>
    </row>
    <row r="19011" spans="24:25">
      <c r="X19011" s="19"/>
      <c r="Y19011" s="20"/>
    </row>
    <row r="19012" spans="24:25">
      <c r="X19012" s="19"/>
      <c r="Y19012" s="20"/>
    </row>
    <row r="19013" spans="24:25">
      <c r="X19013" s="19"/>
      <c r="Y19013" s="20"/>
    </row>
    <row r="19014" spans="24:25">
      <c r="X19014" s="19"/>
      <c r="Y19014" s="20"/>
    </row>
    <row r="19015" spans="24:25">
      <c r="X19015" s="19"/>
      <c r="Y19015" s="20"/>
    </row>
    <row r="19016" spans="24:25">
      <c r="X19016" s="19"/>
      <c r="Y19016" s="20"/>
    </row>
    <row r="19017" spans="24:25">
      <c r="X19017" s="19"/>
      <c r="Y19017" s="20"/>
    </row>
    <row r="19018" spans="24:25">
      <c r="X19018" s="19"/>
      <c r="Y19018" s="20"/>
    </row>
    <row r="19019" spans="24:25">
      <c r="X19019" s="19"/>
      <c r="Y19019" s="20"/>
    </row>
    <row r="19020" spans="24:25">
      <c r="X19020" s="19"/>
      <c r="Y19020" s="20"/>
    </row>
    <row r="19021" spans="24:25">
      <c r="X19021" s="19"/>
      <c r="Y19021" s="20"/>
    </row>
    <row r="19022" spans="24:25">
      <c r="X19022" s="19"/>
      <c r="Y19022" s="20"/>
    </row>
    <row r="19023" spans="24:25">
      <c r="X19023" s="19"/>
      <c r="Y19023" s="20"/>
    </row>
    <row r="19024" spans="24:25">
      <c r="X19024" s="19"/>
      <c r="Y19024" s="20"/>
    </row>
    <row r="19025" spans="24:25">
      <c r="X19025" s="19"/>
      <c r="Y19025" s="20"/>
    </row>
    <row r="19026" spans="24:25">
      <c r="X19026" s="19"/>
      <c r="Y19026" s="20"/>
    </row>
    <row r="19027" spans="24:25">
      <c r="X19027" s="19"/>
      <c r="Y19027" s="20"/>
    </row>
    <row r="19028" spans="24:25">
      <c r="X19028" s="19"/>
      <c r="Y19028" s="20"/>
    </row>
    <row r="19029" spans="24:25">
      <c r="X19029" s="19"/>
      <c r="Y19029" s="20"/>
    </row>
    <row r="19030" spans="24:25">
      <c r="X19030" s="19"/>
      <c r="Y19030" s="20"/>
    </row>
    <row r="19031" spans="24:25">
      <c r="X19031" s="19"/>
      <c r="Y19031" s="20"/>
    </row>
    <row r="19032" spans="24:25">
      <c r="X19032" s="19"/>
      <c r="Y19032" s="20"/>
    </row>
    <row r="19033" spans="24:25">
      <c r="X19033" s="19"/>
      <c r="Y19033" s="20"/>
    </row>
    <row r="19034" spans="24:25">
      <c r="X19034" s="19"/>
      <c r="Y19034" s="20"/>
    </row>
    <row r="19035" spans="24:25">
      <c r="X19035" s="19"/>
      <c r="Y19035" s="20"/>
    </row>
    <row r="19036" spans="24:25">
      <c r="X19036" s="19"/>
      <c r="Y19036" s="20"/>
    </row>
    <row r="19037" spans="24:25">
      <c r="X19037" s="19"/>
      <c r="Y19037" s="20"/>
    </row>
    <row r="19038" spans="24:25">
      <c r="X19038" s="19"/>
      <c r="Y19038" s="20"/>
    </row>
    <row r="19039" spans="24:25">
      <c r="X19039" s="19"/>
      <c r="Y19039" s="20"/>
    </row>
    <row r="19040" spans="24:25">
      <c r="X19040" s="19"/>
      <c r="Y19040" s="20"/>
    </row>
    <row r="19041" spans="24:25">
      <c r="X19041" s="19"/>
      <c r="Y19041" s="20"/>
    </row>
    <row r="19042" spans="24:25">
      <c r="X19042" s="19"/>
      <c r="Y19042" s="20"/>
    </row>
    <row r="19043" spans="24:25">
      <c r="X19043" s="19"/>
      <c r="Y19043" s="20"/>
    </row>
    <row r="19044" spans="24:25">
      <c r="X19044" s="19"/>
      <c r="Y19044" s="20"/>
    </row>
    <row r="19045" spans="24:25">
      <c r="X19045" s="19"/>
      <c r="Y19045" s="20"/>
    </row>
    <row r="19046" spans="24:25">
      <c r="X19046" s="19"/>
      <c r="Y19046" s="20"/>
    </row>
    <row r="19047" spans="24:25">
      <c r="X19047" s="19"/>
      <c r="Y19047" s="20"/>
    </row>
    <row r="19048" spans="24:25">
      <c r="X19048" s="19"/>
      <c r="Y19048" s="20"/>
    </row>
    <row r="19049" spans="24:25">
      <c r="X19049" s="19"/>
      <c r="Y19049" s="20"/>
    </row>
    <row r="19050" spans="24:25">
      <c r="X19050" s="19"/>
      <c r="Y19050" s="20"/>
    </row>
    <row r="19051" spans="24:25">
      <c r="X19051" s="19"/>
      <c r="Y19051" s="20"/>
    </row>
    <row r="19052" spans="24:25">
      <c r="X19052" s="19"/>
      <c r="Y19052" s="20"/>
    </row>
    <row r="19053" spans="24:25">
      <c r="X19053" s="19"/>
      <c r="Y19053" s="20"/>
    </row>
    <row r="19054" spans="24:25">
      <c r="X19054" s="19"/>
      <c r="Y19054" s="20"/>
    </row>
    <row r="19055" spans="24:25">
      <c r="X19055" s="19"/>
      <c r="Y19055" s="20"/>
    </row>
    <row r="19056" spans="24:25">
      <c r="X19056" s="19"/>
      <c r="Y19056" s="20"/>
    </row>
    <row r="19057" spans="24:25">
      <c r="X19057" s="19"/>
      <c r="Y19057" s="20"/>
    </row>
    <row r="19058" spans="24:25">
      <c r="X19058" s="19"/>
      <c r="Y19058" s="20"/>
    </row>
    <row r="19059" spans="24:25">
      <c r="X19059" s="19"/>
      <c r="Y19059" s="20"/>
    </row>
    <row r="19060" spans="24:25">
      <c r="X19060" s="19"/>
      <c r="Y19060" s="20"/>
    </row>
    <row r="19061" spans="24:25">
      <c r="X19061" s="19"/>
      <c r="Y19061" s="20"/>
    </row>
    <row r="19062" spans="24:25">
      <c r="X19062" s="19"/>
      <c r="Y19062" s="20"/>
    </row>
    <row r="19063" spans="24:25">
      <c r="X19063" s="19"/>
      <c r="Y19063" s="20"/>
    </row>
    <row r="19064" spans="24:25">
      <c r="X19064" s="19"/>
      <c r="Y19064" s="20"/>
    </row>
    <row r="19065" spans="24:25">
      <c r="X19065" s="19"/>
      <c r="Y19065" s="20"/>
    </row>
    <row r="19066" spans="24:25">
      <c r="X19066" s="19"/>
      <c r="Y19066" s="20"/>
    </row>
    <row r="19067" spans="24:25">
      <c r="X19067" s="19"/>
      <c r="Y19067" s="20"/>
    </row>
    <row r="19068" spans="24:25">
      <c r="X19068" s="19"/>
      <c r="Y19068" s="20"/>
    </row>
    <row r="19069" spans="24:25">
      <c r="X19069" s="19"/>
      <c r="Y19069" s="20"/>
    </row>
    <row r="19070" spans="24:25">
      <c r="X19070" s="19"/>
      <c r="Y19070" s="20"/>
    </row>
    <row r="19071" spans="24:25">
      <c r="X19071" s="19"/>
      <c r="Y19071" s="20"/>
    </row>
    <row r="19072" spans="24:25">
      <c r="X19072" s="19"/>
      <c r="Y19072" s="20"/>
    </row>
    <row r="19073" spans="24:25">
      <c r="X19073" s="19"/>
      <c r="Y19073" s="20"/>
    </row>
    <row r="19074" spans="24:25">
      <c r="X19074" s="19"/>
      <c r="Y19074" s="20"/>
    </row>
    <row r="19075" spans="24:25">
      <c r="X19075" s="19"/>
      <c r="Y19075" s="20"/>
    </row>
    <row r="19076" spans="24:25">
      <c r="X19076" s="19"/>
      <c r="Y19076" s="20"/>
    </row>
    <row r="19077" spans="24:25">
      <c r="X19077" s="19"/>
      <c r="Y19077" s="20"/>
    </row>
    <row r="19078" spans="24:25">
      <c r="X19078" s="19"/>
      <c r="Y19078" s="20"/>
    </row>
    <row r="19079" spans="24:25">
      <c r="X19079" s="19"/>
      <c r="Y19079" s="20"/>
    </row>
    <row r="19080" spans="24:25">
      <c r="X19080" s="19"/>
      <c r="Y19080" s="20"/>
    </row>
    <row r="19081" spans="24:25">
      <c r="X19081" s="19"/>
      <c r="Y19081" s="20"/>
    </row>
    <row r="19082" spans="24:25">
      <c r="X19082" s="19"/>
      <c r="Y19082" s="20"/>
    </row>
    <row r="19083" spans="24:25">
      <c r="X19083" s="19"/>
      <c r="Y19083" s="20"/>
    </row>
    <row r="19084" spans="24:25">
      <c r="X19084" s="19"/>
      <c r="Y19084" s="20"/>
    </row>
    <row r="19085" spans="24:25">
      <c r="X19085" s="19"/>
      <c r="Y19085" s="20"/>
    </row>
    <row r="19086" spans="24:25">
      <c r="X19086" s="19"/>
      <c r="Y19086" s="20"/>
    </row>
    <row r="19087" spans="24:25">
      <c r="X19087" s="19"/>
      <c r="Y19087" s="20"/>
    </row>
    <row r="19088" spans="24:25">
      <c r="X19088" s="19"/>
      <c r="Y19088" s="20"/>
    </row>
    <row r="19089" spans="24:25">
      <c r="X19089" s="19"/>
      <c r="Y19089" s="20"/>
    </row>
    <row r="19090" spans="24:25">
      <c r="X19090" s="19"/>
      <c r="Y19090" s="20"/>
    </row>
    <row r="19091" spans="24:25">
      <c r="X19091" s="19"/>
      <c r="Y19091" s="20"/>
    </row>
    <row r="19092" spans="24:25">
      <c r="X19092" s="19"/>
      <c r="Y19092" s="20"/>
    </row>
    <row r="19093" spans="24:25">
      <c r="X19093" s="19"/>
      <c r="Y19093" s="20"/>
    </row>
    <row r="19094" spans="24:25">
      <c r="X19094" s="19"/>
      <c r="Y19094" s="20"/>
    </row>
    <row r="19095" spans="24:25">
      <c r="X19095" s="19"/>
      <c r="Y19095" s="20"/>
    </row>
    <row r="19096" spans="24:25">
      <c r="X19096" s="19"/>
      <c r="Y19096" s="20"/>
    </row>
    <row r="19097" spans="24:25">
      <c r="X19097" s="19"/>
      <c r="Y19097" s="20"/>
    </row>
    <row r="19098" spans="24:25">
      <c r="X19098" s="19"/>
      <c r="Y19098" s="20"/>
    </row>
    <row r="19099" spans="24:25">
      <c r="X19099" s="19"/>
      <c r="Y19099" s="20"/>
    </row>
    <row r="19100" spans="24:25">
      <c r="X19100" s="19"/>
      <c r="Y19100" s="20"/>
    </row>
    <row r="19101" spans="24:25">
      <c r="X19101" s="19"/>
      <c r="Y19101" s="20"/>
    </row>
    <row r="19102" spans="24:25">
      <c r="X19102" s="19"/>
      <c r="Y19102" s="20"/>
    </row>
    <row r="19103" spans="24:25">
      <c r="X19103" s="19"/>
      <c r="Y19103" s="20"/>
    </row>
    <row r="19104" spans="24:25">
      <c r="X19104" s="19"/>
      <c r="Y19104" s="20"/>
    </row>
    <row r="19105" spans="24:25">
      <c r="X19105" s="19"/>
      <c r="Y19105" s="20"/>
    </row>
    <row r="19106" spans="24:25">
      <c r="X19106" s="19"/>
      <c r="Y19106" s="20"/>
    </row>
    <row r="19107" spans="24:25">
      <c r="X19107" s="19"/>
      <c r="Y19107" s="20"/>
    </row>
    <row r="19108" spans="24:25">
      <c r="X19108" s="19"/>
      <c r="Y19108" s="20"/>
    </row>
    <row r="19109" spans="24:25">
      <c r="X19109" s="19"/>
      <c r="Y19109" s="20"/>
    </row>
    <row r="19110" spans="24:25">
      <c r="X19110" s="19"/>
      <c r="Y19110" s="20"/>
    </row>
    <row r="19111" spans="24:25">
      <c r="X19111" s="19"/>
      <c r="Y19111" s="20"/>
    </row>
    <row r="19112" spans="24:25">
      <c r="X19112" s="19"/>
      <c r="Y19112" s="20"/>
    </row>
    <row r="19113" spans="24:25">
      <c r="X19113" s="19"/>
      <c r="Y19113" s="20"/>
    </row>
    <row r="19114" spans="24:25">
      <c r="X19114" s="19"/>
      <c r="Y19114" s="20"/>
    </row>
    <row r="19115" spans="24:25">
      <c r="X19115" s="19"/>
      <c r="Y19115" s="20"/>
    </row>
    <row r="19116" spans="24:25">
      <c r="X19116" s="19"/>
      <c r="Y19116" s="20"/>
    </row>
    <row r="19117" spans="24:25">
      <c r="X19117" s="19"/>
      <c r="Y19117" s="20"/>
    </row>
    <row r="19118" spans="24:25">
      <c r="X19118" s="19"/>
      <c r="Y19118" s="20"/>
    </row>
    <row r="19119" spans="24:25">
      <c r="X19119" s="19"/>
      <c r="Y19119" s="20"/>
    </row>
    <row r="19120" spans="24:25">
      <c r="X19120" s="19"/>
      <c r="Y19120" s="20"/>
    </row>
    <row r="19121" spans="24:25">
      <c r="X19121" s="19"/>
      <c r="Y19121" s="20"/>
    </row>
    <row r="19122" spans="24:25">
      <c r="X19122" s="19"/>
      <c r="Y19122" s="20"/>
    </row>
    <row r="19123" spans="24:25">
      <c r="X19123" s="19"/>
      <c r="Y19123" s="20"/>
    </row>
    <row r="19124" spans="24:25">
      <c r="X19124" s="19"/>
      <c r="Y19124" s="20"/>
    </row>
    <row r="19125" spans="24:25">
      <c r="X19125" s="19"/>
      <c r="Y19125" s="20"/>
    </row>
    <row r="19126" spans="24:25">
      <c r="X19126" s="19"/>
      <c r="Y19126" s="20"/>
    </row>
    <row r="19127" spans="24:25">
      <c r="X19127" s="19"/>
      <c r="Y19127" s="20"/>
    </row>
    <row r="19128" spans="24:25">
      <c r="X19128" s="19"/>
      <c r="Y19128" s="20"/>
    </row>
    <row r="19129" spans="24:25">
      <c r="X19129" s="19"/>
      <c r="Y19129" s="20"/>
    </row>
    <row r="19130" spans="24:25">
      <c r="X19130" s="19"/>
      <c r="Y19130" s="20"/>
    </row>
    <row r="19131" spans="24:25">
      <c r="X19131" s="19"/>
      <c r="Y19131" s="20"/>
    </row>
    <row r="19132" spans="24:25">
      <c r="X19132" s="19"/>
      <c r="Y19132" s="20"/>
    </row>
    <row r="19133" spans="24:25">
      <c r="X19133" s="19"/>
      <c r="Y19133" s="20"/>
    </row>
    <row r="19134" spans="24:25">
      <c r="X19134" s="19"/>
      <c r="Y19134" s="20"/>
    </row>
    <row r="19135" spans="24:25">
      <c r="X19135" s="19"/>
      <c r="Y19135" s="20"/>
    </row>
    <row r="19136" spans="24:25">
      <c r="X19136" s="19"/>
      <c r="Y19136" s="20"/>
    </row>
    <row r="19137" spans="24:25">
      <c r="X19137" s="19"/>
      <c r="Y19137" s="20"/>
    </row>
    <row r="19138" spans="24:25">
      <c r="X19138" s="19"/>
      <c r="Y19138" s="20"/>
    </row>
    <row r="19139" spans="24:25">
      <c r="X19139" s="19"/>
      <c r="Y19139" s="20"/>
    </row>
    <row r="19140" spans="24:25">
      <c r="X19140" s="19"/>
      <c r="Y19140" s="20"/>
    </row>
    <row r="19141" spans="24:25">
      <c r="X19141" s="19"/>
      <c r="Y19141" s="20"/>
    </row>
    <row r="19142" spans="24:25">
      <c r="X19142" s="19"/>
      <c r="Y19142" s="20"/>
    </row>
    <row r="19143" spans="24:25">
      <c r="X19143" s="19"/>
      <c r="Y19143" s="20"/>
    </row>
    <row r="19144" spans="24:25">
      <c r="X19144" s="19"/>
      <c r="Y19144" s="20"/>
    </row>
    <row r="19145" spans="24:25">
      <c r="X19145" s="19"/>
      <c r="Y19145" s="20"/>
    </row>
    <row r="19146" spans="24:25">
      <c r="X19146" s="19"/>
      <c r="Y19146" s="20"/>
    </row>
    <row r="19147" spans="24:25">
      <c r="X19147" s="19"/>
      <c r="Y19147" s="20"/>
    </row>
    <row r="19148" spans="24:25">
      <c r="X19148" s="19"/>
      <c r="Y19148" s="20"/>
    </row>
    <row r="19149" spans="24:25">
      <c r="X19149" s="19"/>
      <c r="Y19149" s="20"/>
    </row>
    <row r="19150" spans="24:25">
      <c r="X19150" s="19"/>
      <c r="Y19150" s="20"/>
    </row>
    <row r="19151" spans="24:25">
      <c r="X19151" s="19"/>
      <c r="Y19151" s="20"/>
    </row>
    <row r="19152" spans="24:25">
      <c r="X19152" s="19"/>
      <c r="Y19152" s="20"/>
    </row>
    <row r="19153" spans="24:25">
      <c r="X19153" s="19"/>
      <c r="Y19153" s="20"/>
    </row>
    <row r="19154" spans="24:25">
      <c r="X19154" s="19"/>
      <c r="Y19154" s="20"/>
    </row>
    <row r="19155" spans="24:25">
      <c r="X19155" s="19"/>
      <c r="Y19155" s="20"/>
    </row>
    <row r="19156" spans="24:25">
      <c r="X19156" s="19"/>
      <c r="Y19156" s="20"/>
    </row>
    <row r="19157" spans="24:25">
      <c r="X19157" s="19"/>
      <c r="Y19157" s="20"/>
    </row>
    <row r="19158" spans="24:25">
      <c r="X19158" s="19"/>
      <c r="Y19158" s="20"/>
    </row>
    <row r="19159" spans="24:25">
      <c r="X19159" s="19"/>
      <c r="Y19159" s="20"/>
    </row>
    <row r="19160" spans="24:25">
      <c r="X19160" s="19"/>
      <c r="Y19160" s="20"/>
    </row>
    <row r="19161" spans="24:25">
      <c r="X19161" s="19"/>
      <c r="Y19161" s="20"/>
    </row>
    <row r="19162" spans="24:25">
      <c r="X19162" s="19"/>
      <c r="Y19162" s="20"/>
    </row>
    <row r="19163" spans="24:25">
      <c r="X19163" s="19"/>
      <c r="Y19163" s="20"/>
    </row>
    <row r="19164" spans="24:25">
      <c r="X19164" s="19"/>
      <c r="Y19164" s="20"/>
    </row>
    <row r="19165" spans="24:25">
      <c r="X19165" s="19"/>
      <c r="Y19165" s="20"/>
    </row>
    <row r="19166" spans="24:25">
      <c r="X19166" s="19"/>
      <c r="Y19166" s="20"/>
    </row>
    <row r="19167" spans="24:25">
      <c r="X19167" s="19"/>
      <c r="Y19167" s="20"/>
    </row>
    <row r="19168" spans="24:25">
      <c r="X19168" s="19"/>
      <c r="Y19168" s="20"/>
    </row>
    <row r="19169" spans="24:25">
      <c r="X19169" s="19"/>
      <c r="Y19169" s="20"/>
    </row>
    <row r="19170" spans="24:25">
      <c r="X19170" s="19"/>
      <c r="Y19170" s="20"/>
    </row>
    <row r="19171" spans="24:25">
      <c r="X19171" s="19"/>
      <c r="Y19171" s="20"/>
    </row>
    <row r="19172" spans="24:25">
      <c r="X19172" s="19"/>
      <c r="Y19172" s="20"/>
    </row>
    <row r="19173" spans="24:25">
      <c r="X19173" s="19"/>
      <c r="Y19173" s="20"/>
    </row>
    <row r="19174" spans="24:25">
      <c r="X19174" s="19"/>
      <c r="Y19174" s="20"/>
    </row>
    <row r="19175" spans="24:25">
      <c r="X19175" s="19"/>
      <c r="Y19175" s="20"/>
    </row>
    <row r="19176" spans="24:25">
      <c r="X19176" s="19"/>
      <c r="Y19176" s="20"/>
    </row>
    <row r="19177" spans="24:25">
      <c r="X19177" s="19"/>
      <c r="Y19177" s="20"/>
    </row>
    <row r="19178" spans="24:25">
      <c r="X19178" s="19"/>
      <c r="Y19178" s="20"/>
    </row>
    <row r="19179" spans="24:25">
      <c r="X19179" s="19"/>
      <c r="Y19179" s="20"/>
    </row>
    <row r="19180" spans="24:25">
      <c r="X19180" s="19"/>
      <c r="Y19180" s="20"/>
    </row>
    <row r="19181" spans="24:25">
      <c r="X19181" s="19"/>
      <c r="Y19181" s="20"/>
    </row>
    <row r="19182" spans="24:25">
      <c r="X19182" s="19"/>
      <c r="Y19182" s="20"/>
    </row>
    <row r="19183" spans="24:25">
      <c r="X19183" s="19"/>
      <c r="Y19183" s="20"/>
    </row>
    <row r="19184" spans="24:25">
      <c r="X19184" s="19"/>
      <c r="Y19184" s="20"/>
    </row>
    <row r="19185" spans="24:25">
      <c r="X19185" s="19"/>
      <c r="Y19185" s="20"/>
    </row>
    <row r="19186" spans="24:25">
      <c r="X19186" s="19"/>
      <c r="Y19186" s="20"/>
    </row>
    <row r="19187" spans="24:25">
      <c r="X19187" s="19"/>
      <c r="Y19187" s="20"/>
    </row>
    <row r="19188" spans="24:25">
      <c r="X19188" s="19"/>
      <c r="Y19188" s="20"/>
    </row>
    <row r="19189" spans="24:25">
      <c r="X19189" s="19"/>
      <c r="Y19189" s="20"/>
    </row>
    <row r="19190" spans="24:25">
      <c r="X19190" s="19"/>
      <c r="Y19190" s="20"/>
    </row>
    <row r="19191" spans="24:25">
      <c r="X19191" s="19"/>
      <c r="Y19191" s="20"/>
    </row>
    <row r="19192" spans="24:25">
      <c r="X19192" s="19"/>
      <c r="Y19192" s="20"/>
    </row>
    <row r="19193" spans="24:25">
      <c r="X19193" s="19"/>
      <c r="Y19193" s="20"/>
    </row>
    <row r="19194" spans="24:25">
      <c r="X19194" s="19"/>
      <c r="Y19194" s="20"/>
    </row>
    <row r="19195" spans="24:25">
      <c r="X19195" s="19"/>
      <c r="Y19195" s="20"/>
    </row>
    <row r="19196" spans="24:25">
      <c r="X19196" s="19"/>
      <c r="Y19196" s="20"/>
    </row>
    <row r="19197" spans="24:25">
      <c r="X19197" s="19"/>
      <c r="Y19197" s="20"/>
    </row>
    <row r="19198" spans="24:25">
      <c r="X19198" s="19"/>
      <c r="Y19198" s="20"/>
    </row>
    <row r="19199" spans="24:25">
      <c r="X19199" s="19"/>
      <c r="Y19199" s="20"/>
    </row>
    <row r="19200" spans="24:25">
      <c r="X19200" s="19"/>
      <c r="Y19200" s="20"/>
    </row>
    <row r="19201" spans="24:25">
      <c r="X19201" s="19"/>
      <c r="Y19201" s="20"/>
    </row>
    <row r="19202" spans="24:25">
      <c r="X19202" s="19"/>
      <c r="Y19202" s="20"/>
    </row>
    <row r="19203" spans="24:25">
      <c r="X19203" s="19"/>
      <c r="Y19203" s="20"/>
    </row>
    <row r="19204" spans="24:25">
      <c r="X19204" s="19"/>
      <c r="Y19204" s="20"/>
    </row>
    <row r="19205" spans="24:25">
      <c r="X19205" s="19"/>
      <c r="Y19205" s="20"/>
    </row>
    <row r="19206" spans="24:25">
      <c r="X19206" s="19"/>
      <c r="Y19206" s="20"/>
    </row>
    <row r="19207" spans="24:25">
      <c r="X19207" s="19"/>
      <c r="Y19207" s="20"/>
    </row>
    <row r="19208" spans="24:25">
      <c r="X19208" s="19"/>
      <c r="Y19208" s="20"/>
    </row>
    <row r="19209" spans="24:25">
      <c r="X19209" s="19"/>
      <c r="Y19209" s="20"/>
    </row>
    <row r="19210" spans="24:25">
      <c r="X19210" s="19"/>
      <c r="Y19210" s="20"/>
    </row>
    <row r="19211" spans="24:25">
      <c r="X19211" s="19"/>
      <c r="Y19211" s="20"/>
    </row>
    <row r="19212" spans="24:25">
      <c r="X19212" s="19"/>
      <c r="Y19212" s="20"/>
    </row>
    <row r="19213" spans="24:25">
      <c r="X19213" s="19"/>
      <c r="Y19213" s="20"/>
    </row>
    <row r="19214" spans="24:25">
      <c r="X19214" s="19"/>
      <c r="Y19214" s="20"/>
    </row>
    <row r="19215" spans="24:25">
      <c r="X19215" s="19"/>
      <c r="Y19215" s="20"/>
    </row>
    <row r="19216" spans="24:25">
      <c r="X19216" s="19"/>
      <c r="Y19216" s="20"/>
    </row>
    <row r="19217" spans="24:25">
      <c r="X19217" s="19"/>
      <c r="Y19217" s="20"/>
    </row>
    <row r="19218" spans="24:25">
      <c r="X19218" s="19"/>
      <c r="Y19218" s="20"/>
    </row>
    <row r="19219" spans="24:25">
      <c r="X19219" s="19"/>
      <c r="Y19219" s="20"/>
    </row>
    <row r="19220" spans="24:25">
      <c r="X19220" s="19"/>
      <c r="Y19220" s="20"/>
    </row>
    <row r="19221" spans="24:25">
      <c r="X19221" s="19"/>
      <c r="Y19221" s="20"/>
    </row>
    <row r="19222" spans="24:25">
      <c r="X19222" s="19"/>
      <c r="Y19222" s="20"/>
    </row>
    <row r="19223" spans="24:25">
      <c r="X19223" s="19"/>
      <c r="Y19223" s="20"/>
    </row>
    <row r="19224" spans="24:25">
      <c r="X19224" s="19"/>
      <c r="Y19224" s="20"/>
    </row>
    <row r="19225" spans="24:25">
      <c r="X19225" s="19"/>
      <c r="Y19225" s="20"/>
    </row>
    <row r="19226" spans="24:25">
      <c r="X19226" s="19"/>
      <c r="Y19226" s="20"/>
    </row>
    <row r="19227" spans="24:25">
      <c r="X19227" s="19"/>
      <c r="Y19227" s="20"/>
    </row>
    <row r="19228" spans="24:25">
      <c r="X19228" s="19"/>
      <c r="Y19228" s="20"/>
    </row>
    <row r="19229" spans="24:25">
      <c r="X19229" s="19"/>
      <c r="Y19229" s="20"/>
    </row>
    <row r="19230" spans="24:25">
      <c r="X19230" s="19"/>
      <c r="Y19230" s="20"/>
    </row>
    <row r="19231" spans="24:25">
      <c r="X19231" s="19"/>
      <c r="Y19231" s="20"/>
    </row>
    <row r="19232" spans="24:25">
      <c r="X19232" s="19"/>
      <c r="Y19232" s="20"/>
    </row>
    <row r="19233" spans="24:25">
      <c r="X19233" s="19"/>
      <c r="Y19233" s="20"/>
    </row>
    <row r="19234" spans="24:25">
      <c r="X19234" s="19"/>
      <c r="Y19234" s="20"/>
    </row>
    <row r="19235" spans="24:25">
      <c r="X19235" s="19"/>
      <c r="Y19235" s="20"/>
    </row>
    <row r="19236" spans="24:25">
      <c r="X19236" s="19"/>
      <c r="Y19236" s="20"/>
    </row>
    <row r="19237" spans="24:25">
      <c r="X19237" s="19"/>
      <c r="Y19237" s="20"/>
    </row>
    <row r="19238" spans="24:25">
      <c r="X19238" s="19"/>
      <c r="Y19238" s="20"/>
    </row>
    <row r="19239" spans="24:25">
      <c r="X19239" s="19"/>
      <c r="Y19239" s="20"/>
    </row>
    <row r="19240" spans="24:25">
      <c r="X19240" s="19"/>
      <c r="Y19240" s="20"/>
    </row>
    <row r="19241" spans="24:25">
      <c r="X19241" s="19"/>
      <c r="Y19241" s="20"/>
    </row>
    <row r="19242" spans="24:25">
      <c r="X19242" s="19"/>
      <c r="Y19242" s="20"/>
    </row>
    <row r="19243" spans="24:25">
      <c r="X19243" s="19"/>
      <c r="Y19243" s="20"/>
    </row>
    <row r="19244" spans="24:25">
      <c r="X19244" s="19"/>
      <c r="Y19244" s="20"/>
    </row>
    <row r="19245" spans="24:25">
      <c r="X19245" s="19"/>
      <c r="Y19245" s="20"/>
    </row>
    <row r="19246" spans="24:25">
      <c r="X19246" s="19"/>
      <c r="Y19246" s="20"/>
    </row>
    <row r="19247" spans="24:25">
      <c r="X19247" s="19"/>
      <c r="Y19247" s="20"/>
    </row>
    <row r="19248" spans="24:25">
      <c r="X19248" s="19"/>
      <c r="Y19248" s="20"/>
    </row>
    <row r="19249" spans="24:25">
      <c r="X19249" s="19"/>
      <c r="Y19249" s="20"/>
    </row>
    <row r="19250" spans="24:25">
      <c r="X19250" s="19"/>
      <c r="Y19250" s="20"/>
    </row>
    <row r="19251" spans="24:25">
      <c r="X19251" s="19"/>
      <c r="Y19251" s="20"/>
    </row>
    <row r="19252" spans="24:25">
      <c r="X19252" s="19"/>
      <c r="Y19252" s="20"/>
    </row>
    <row r="19253" spans="24:25">
      <c r="X19253" s="19"/>
      <c r="Y19253" s="20"/>
    </row>
    <row r="19254" spans="24:25">
      <c r="X19254" s="19"/>
      <c r="Y19254" s="20"/>
    </row>
    <row r="19255" spans="24:25">
      <c r="X19255" s="19"/>
      <c r="Y19255" s="20"/>
    </row>
    <row r="19256" spans="24:25">
      <c r="X19256" s="19"/>
      <c r="Y19256" s="20"/>
    </row>
    <row r="19257" spans="24:25">
      <c r="X19257" s="19"/>
      <c r="Y19257" s="20"/>
    </row>
    <row r="19258" spans="24:25">
      <c r="X19258" s="19"/>
      <c r="Y19258" s="20"/>
    </row>
    <row r="19259" spans="24:25">
      <c r="X19259" s="19"/>
      <c r="Y19259" s="20"/>
    </row>
    <row r="19260" spans="24:25">
      <c r="X19260" s="19"/>
      <c r="Y19260" s="20"/>
    </row>
    <row r="19261" spans="24:25">
      <c r="X19261" s="19"/>
      <c r="Y19261" s="20"/>
    </row>
    <row r="19262" spans="24:25">
      <c r="X19262" s="19"/>
      <c r="Y19262" s="20"/>
    </row>
    <row r="19263" spans="24:25">
      <c r="X19263" s="19"/>
      <c r="Y19263" s="20"/>
    </row>
    <row r="19264" spans="24:25">
      <c r="X19264" s="19"/>
      <c r="Y19264" s="20"/>
    </row>
    <row r="19265" spans="24:25">
      <c r="X19265" s="19"/>
      <c r="Y19265" s="20"/>
    </row>
    <row r="19266" spans="24:25">
      <c r="X19266" s="19"/>
      <c r="Y19266" s="20"/>
    </row>
    <row r="19267" spans="24:25">
      <c r="X19267" s="19"/>
      <c r="Y19267" s="20"/>
    </row>
    <row r="19268" spans="24:25">
      <c r="X19268" s="19"/>
      <c r="Y19268" s="20"/>
    </row>
    <row r="19269" spans="24:25">
      <c r="X19269" s="19"/>
      <c r="Y19269" s="20"/>
    </row>
    <row r="19270" spans="24:25">
      <c r="X19270" s="19"/>
      <c r="Y19270" s="20"/>
    </row>
    <row r="19271" spans="24:25">
      <c r="X19271" s="19"/>
      <c r="Y19271" s="20"/>
    </row>
    <row r="19272" spans="24:25">
      <c r="X19272" s="19"/>
      <c r="Y19272" s="20"/>
    </row>
    <row r="19273" spans="24:25">
      <c r="X19273" s="19"/>
      <c r="Y19273" s="20"/>
    </row>
    <row r="19274" spans="24:25">
      <c r="X19274" s="19"/>
      <c r="Y19274" s="20"/>
    </row>
    <row r="19275" spans="24:25">
      <c r="X19275" s="19"/>
      <c r="Y19275" s="20"/>
    </row>
    <row r="19276" spans="24:25">
      <c r="X19276" s="19"/>
      <c r="Y19276" s="20"/>
    </row>
    <row r="19277" spans="24:25">
      <c r="X19277" s="19"/>
      <c r="Y19277" s="20"/>
    </row>
    <row r="19278" spans="24:25">
      <c r="X19278" s="19"/>
      <c r="Y19278" s="20"/>
    </row>
    <row r="19279" spans="24:25">
      <c r="X19279" s="19"/>
      <c r="Y19279" s="20"/>
    </row>
    <row r="19280" spans="24:25">
      <c r="X19280" s="19"/>
      <c r="Y19280" s="20"/>
    </row>
    <row r="19281" spans="24:25">
      <c r="X19281" s="19"/>
      <c r="Y19281" s="20"/>
    </row>
    <row r="19282" spans="24:25">
      <c r="X19282" s="19"/>
      <c r="Y19282" s="20"/>
    </row>
    <row r="19283" spans="24:25">
      <c r="X19283" s="19"/>
      <c r="Y19283" s="20"/>
    </row>
    <row r="19284" spans="24:25">
      <c r="X19284" s="19"/>
      <c r="Y19284" s="20"/>
    </row>
    <row r="19285" spans="24:25">
      <c r="X19285" s="19"/>
      <c r="Y19285" s="20"/>
    </row>
    <row r="19286" spans="24:25">
      <c r="X19286" s="19"/>
      <c r="Y19286" s="20"/>
    </row>
    <row r="19287" spans="24:25">
      <c r="X19287" s="19"/>
      <c r="Y19287" s="20"/>
    </row>
    <row r="19288" spans="24:25">
      <c r="X19288" s="19"/>
      <c r="Y19288" s="20"/>
    </row>
    <row r="19289" spans="24:25">
      <c r="X19289" s="19"/>
      <c r="Y19289" s="20"/>
    </row>
    <row r="19290" spans="24:25">
      <c r="X19290" s="19"/>
      <c r="Y19290" s="20"/>
    </row>
    <row r="19291" spans="24:25">
      <c r="X19291" s="19"/>
      <c r="Y19291" s="20"/>
    </row>
    <row r="19292" spans="24:25">
      <c r="X19292" s="19"/>
      <c r="Y19292" s="20"/>
    </row>
    <row r="19293" spans="24:25">
      <c r="X19293" s="19"/>
      <c r="Y19293" s="20"/>
    </row>
    <row r="19294" spans="24:25">
      <c r="X19294" s="19"/>
      <c r="Y19294" s="20"/>
    </row>
    <row r="19295" spans="24:25">
      <c r="X19295" s="19"/>
      <c r="Y19295" s="20"/>
    </row>
    <row r="19296" spans="24:25">
      <c r="X19296" s="19"/>
      <c r="Y19296" s="20"/>
    </row>
    <row r="19297" spans="24:25">
      <c r="X19297" s="19"/>
      <c r="Y19297" s="20"/>
    </row>
    <row r="19298" spans="24:25">
      <c r="X19298" s="19"/>
      <c r="Y19298" s="20"/>
    </row>
    <row r="19299" spans="24:25">
      <c r="X19299" s="19"/>
      <c r="Y19299" s="20"/>
    </row>
    <row r="19300" spans="24:25">
      <c r="X19300" s="19"/>
      <c r="Y19300" s="20"/>
    </row>
    <row r="19301" spans="24:25">
      <c r="X19301" s="19"/>
      <c r="Y19301" s="20"/>
    </row>
    <row r="19302" spans="24:25">
      <c r="X19302" s="19"/>
      <c r="Y19302" s="20"/>
    </row>
    <row r="19303" spans="24:25">
      <c r="X19303" s="19"/>
      <c r="Y19303" s="20"/>
    </row>
    <row r="19304" spans="24:25">
      <c r="X19304" s="19"/>
      <c r="Y19304" s="20"/>
    </row>
    <row r="19305" spans="24:25">
      <c r="X19305" s="19"/>
      <c r="Y19305" s="20"/>
    </row>
    <row r="19306" spans="24:25">
      <c r="X19306" s="19"/>
      <c r="Y19306" s="20"/>
    </row>
    <row r="19307" spans="24:25">
      <c r="X19307" s="19"/>
      <c r="Y19307" s="20"/>
    </row>
    <row r="19308" spans="24:25">
      <c r="X19308" s="19"/>
      <c r="Y19308" s="20"/>
    </row>
    <row r="19309" spans="24:25">
      <c r="X19309" s="19"/>
      <c r="Y19309" s="20"/>
    </row>
    <row r="19310" spans="24:25">
      <c r="X19310" s="19"/>
      <c r="Y19310" s="20"/>
    </row>
    <row r="19311" spans="24:25">
      <c r="X19311" s="19"/>
      <c r="Y19311" s="20"/>
    </row>
    <row r="19312" spans="24:25">
      <c r="X19312" s="19"/>
      <c r="Y19312" s="20"/>
    </row>
    <row r="19313" spans="24:25">
      <c r="X19313" s="19"/>
      <c r="Y19313" s="20"/>
    </row>
    <row r="19314" spans="24:25">
      <c r="X19314" s="19"/>
      <c r="Y19314" s="20"/>
    </row>
    <row r="19315" spans="24:25">
      <c r="X19315" s="19"/>
      <c r="Y19315" s="20"/>
    </row>
    <row r="19316" spans="24:25">
      <c r="X19316" s="19"/>
      <c r="Y19316" s="20"/>
    </row>
    <row r="19317" spans="24:25">
      <c r="X19317" s="19"/>
      <c r="Y19317" s="20"/>
    </row>
    <row r="19318" spans="24:25">
      <c r="X19318" s="19"/>
      <c r="Y19318" s="20"/>
    </row>
    <row r="19319" spans="24:25">
      <c r="X19319" s="19"/>
      <c r="Y19319" s="20"/>
    </row>
    <row r="19320" spans="24:25">
      <c r="X19320" s="19"/>
      <c r="Y19320" s="20"/>
    </row>
    <row r="19321" spans="24:25">
      <c r="X19321" s="19"/>
      <c r="Y19321" s="20"/>
    </row>
    <row r="19322" spans="24:25">
      <c r="X19322" s="19"/>
      <c r="Y19322" s="20"/>
    </row>
    <row r="19323" spans="24:25">
      <c r="X19323" s="19"/>
      <c r="Y19323" s="20"/>
    </row>
    <row r="19324" spans="24:25">
      <c r="X19324" s="19"/>
      <c r="Y19324" s="20"/>
    </row>
    <row r="19325" spans="24:25">
      <c r="X19325" s="19"/>
      <c r="Y19325" s="20"/>
    </row>
    <row r="19326" spans="24:25">
      <c r="X19326" s="19"/>
      <c r="Y19326" s="20"/>
    </row>
    <row r="19327" spans="24:25">
      <c r="X19327" s="19"/>
      <c r="Y19327" s="20"/>
    </row>
    <row r="19328" spans="24:25">
      <c r="X19328" s="19"/>
      <c r="Y19328" s="20"/>
    </row>
    <row r="19329" spans="24:25">
      <c r="X19329" s="19"/>
      <c r="Y19329" s="20"/>
    </row>
    <row r="19330" spans="24:25">
      <c r="X19330" s="19"/>
      <c r="Y19330" s="20"/>
    </row>
    <row r="19331" spans="24:25">
      <c r="X19331" s="19"/>
      <c r="Y19331" s="20"/>
    </row>
    <row r="19332" spans="24:25">
      <c r="X19332" s="19"/>
      <c r="Y19332" s="20"/>
    </row>
    <row r="19333" spans="24:25">
      <c r="X19333" s="19"/>
      <c r="Y19333" s="20"/>
    </row>
    <row r="19334" spans="24:25">
      <c r="X19334" s="19"/>
      <c r="Y19334" s="20"/>
    </row>
    <row r="19335" spans="24:25">
      <c r="X19335" s="19"/>
      <c r="Y19335" s="20"/>
    </row>
    <row r="19336" spans="24:25">
      <c r="X19336" s="19"/>
      <c r="Y19336" s="20"/>
    </row>
    <row r="19337" spans="24:25">
      <c r="X19337" s="19"/>
      <c r="Y19337" s="20"/>
    </row>
    <row r="19338" spans="24:25">
      <c r="X19338" s="19"/>
      <c r="Y19338" s="20"/>
    </row>
    <row r="19339" spans="24:25">
      <c r="X19339" s="19"/>
      <c r="Y19339" s="20"/>
    </row>
    <row r="19340" spans="24:25">
      <c r="X19340" s="19"/>
      <c r="Y19340" s="20"/>
    </row>
    <row r="19341" spans="24:25">
      <c r="X19341" s="19"/>
      <c r="Y19341" s="20"/>
    </row>
    <row r="19342" spans="24:25">
      <c r="X19342" s="19"/>
      <c r="Y19342" s="20"/>
    </row>
    <row r="19343" spans="24:25">
      <c r="X19343" s="19"/>
      <c r="Y19343" s="20"/>
    </row>
    <row r="19344" spans="24:25">
      <c r="X19344" s="19"/>
      <c r="Y19344" s="20"/>
    </row>
    <row r="19345" spans="24:25">
      <c r="X19345" s="19"/>
      <c r="Y19345" s="20"/>
    </row>
    <row r="19346" spans="24:25">
      <c r="X19346" s="19"/>
      <c r="Y19346" s="20"/>
    </row>
    <row r="19347" spans="24:25">
      <c r="X19347" s="19"/>
      <c r="Y19347" s="20"/>
    </row>
    <row r="19348" spans="24:25">
      <c r="X19348" s="19"/>
      <c r="Y19348" s="20"/>
    </row>
    <row r="19349" spans="24:25">
      <c r="X19349" s="19"/>
      <c r="Y19349" s="20"/>
    </row>
    <row r="19350" spans="24:25">
      <c r="X19350" s="19"/>
      <c r="Y19350" s="20"/>
    </row>
    <row r="19351" spans="24:25">
      <c r="X19351" s="19"/>
      <c r="Y19351" s="20"/>
    </row>
    <row r="19352" spans="24:25">
      <c r="X19352" s="19"/>
      <c r="Y19352" s="20"/>
    </row>
    <row r="19353" spans="24:25">
      <c r="X19353" s="19"/>
      <c r="Y19353" s="20"/>
    </row>
    <row r="19354" spans="24:25">
      <c r="X19354" s="19"/>
      <c r="Y19354" s="20"/>
    </row>
    <row r="19355" spans="24:25">
      <c r="X19355" s="19"/>
      <c r="Y19355" s="20"/>
    </row>
    <row r="19356" spans="24:25">
      <c r="X19356" s="19"/>
      <c r="Y19356" s="20"/>
    </row>
    <row r="19357" spans="24:25">
      <c r="X19357" s="19"/>
      <c r="Y19357" s="20"/>
    </row>
    <row r="19358" spans="24:25">
      <c r="X19358" s="19"/>
      <c r="Y19358" s="20"/>
    </row>
    <row r="19359" spans="24:25">
      <c r="X19359" s="19"/>
      <c r="Y19359" s="20"/>
    </row>
    <row r="19360" spans="24:25">
      <c r="X19360" s="19"/>
      <c r="Y19360" s="20"/>
    </row>
    <row r="19361" spans="24:25">
      <c r="X19361" s="19"/>
      <c r="Y19361" s="20"/>
    </row>
    <row r="19362" spans="24:25">
      <c r="X19362" s="19"/>
      <c r="Y19362" s="20"/>
    </row>
    <row r="19363" spans="24:25">
      <c r="X19363" s="19"/>
      <c r="Y19363" s="20"/>
    </row>
    <row r="19364" spans="24:25">
      <c r="X19364" s="19"/>
      <c r="Y19364" s="20"/>
    </row>
    <row r="19365" spans="24:25">
      <c r="X19365" s="19"/>
      <c r="Y19365" s="20"/>
    </row>
    <row r="19366" spans="24:25">
      <c r="X19366" s="19"/>
      <c r="Y19366" s="20"/>
    </row>
    <row r="19367" spans="24:25">
      <c r="X19367" s="19"/>
      <c r="Y19367" s="20"/>
    </row>
    <row r="19368" spans="24:25">
      <c r="X19368" s="19"/>
      <c r="Y19368" s="20"/>
    </row>
    <row r="19369" spans="24:25">
      <c r="X19369" s="19"/>
      <c r="Y19369" s="20"/>
    </row>
    <row r="19370" spans="24:25">
      <c r="X19370" s="19"/>
      <c r="Y19370" s="20"/>
    </row>
    <row r="19371" spans="24:25">
      <c r="X19371" s="19"/>
      <c r="Y19371" s="20"/>
    </row>
    <row r="19372" spans="24:25">
      <c r="X19372" s="19"/>
      <c r="Y19372" s="20"/>
    </row>
    <row r="19373" spans="24:25">
      <c r="X19373" s="19"/>
      <c r="Y19373" s="20"/>
    </row>
    <row r="19374" spans="24:25">
      <c r="X19374" s="19"/>
      <c r="Y19374" s="20"/>
    </row>
    <row r="19375" spans="24:25">
      <c r="X19375" s="19"/>
      <c r="Y19375" s="20"/>
    </row>
    <row r="19376" spans="24:25">
      <c r="X19376" s="19"/>
      <c r="Y19376" s="20"/>
    </row>
    <row r="19377" spans="24:25">
      <c r="X19377" s="19"/>
      <c r="Y19377" s="20"/>
    </row>
    <row r="19378" spans="24:25">
      <c r="X19378" s="19"/>
      <c r="Y19378" s="20"/>
    </row>
    <row r="19379" spans="24:25">
      <c r="X19379" s="19"/>
      <c r="Y19379" s="20"/>
    </row>
    <row r="19380" spans="24:25">
      <c r="X19380" s="19"/>
      <c r="Y19380" s="20"/>
    </row>
    <row r="19381" spans="24:25">
      <c r="X19381" s="19"/>
      <c r="Y19381" s="20"/>
    </row>
    <row r="19382" spans="24:25">
      <c r="X19382" s="19"/>
      <c r="Y19382" s="20"/>
    </row>
    <row r="19383" spans="24:25">
      <c r="X19383" s="19"/>
      <c r="Y19383" s="20"/>
    </row>
    <row r="19384" spans="24:25">
      <c r="X19384" s="19"/>
      <c r="Y19384" s="20"/>
    </row>
    <row r="19385" spans="24:25">
      <c r="X19385" s="19"/>
      <c r="Y19385" s="20"/>
    </row>
    <row r="19386" spans="24:25">
      <c r="X19386" s="19"/>
      <c r="Y19386" s="20"/>
    </row>
    <row r="19387" spans="24:25">
      <c r="X19387" s="19"/>
      <c r="Y19387" s="20"/>
    </row>
    <row r="19388" spans="24:25">
      <c r="X19388" s="19"/>
      <c r="Y19388" s="20"/>
    </row>
    <row r="19389" spans="24:25">
      <c r="X19389" s="19"/>
      <c r="Y19389" s="20"/>
    </row>
    <row r="19390" spans="24:25">
      <c r="X19390" s="19"/>
      <c r="Y19390" s="20"/>
    </row>
    <row r="19391" spans="24:25">
      <c r="X19391" s="19"/>
      <c r="Y19391" s="20"/>
    </row>
    <row r="19392" spans="24:25">
      <c r="X19392" s="19"/>
      <c r="Y19392" s="20"/>
    </row>
    <row r="19393" spans="24:25">
      <c r="X19393" s="19"/>
      <c r="Y19393" s="20"/>
    </row>
    <row r="19394" spans="24:25">
      <c r="X19394" s="19"/>
      <c r="Y19394" s="20"/>
    </row>
    <row r="19395" spans="24:25">
      <c r="X19395" s="19"/>
      <c r="Y19395" s="20"/>
    </row>
    <row r="19396" spans="24:25">
      <c r="X19396" s="19"/>
      <c r="Y19396" s="20"/>
    </row>
    <row r="19397" spans="24:25">
      <c r="X19397" s="19"/>
      <c r="Y19397" s="20"/>
    </row>
    <row r="19398" spans="24:25">
      <c r="X19398" s="19"/>
      <c r="Y19398" s="20"/>
    </row>
    <row r="19399" spans="24:25">
      <c r="X19399" s="19"/>
      <c r="Y19399" s="20"/>
    </row>
    <row r="19400" spans="24:25">
      <c r="X19400" s="19"/>
      <c r="Y19400" s="20"/>
    </row>
    <row r="19401" spans="24:25">
      <c r="X19401" s="19"/>
      <c r="Y19401" s="20"/>
    </row>
    <row r="19402" spans="24:25">
      <c r="X19402" s="19"/>
      <c r="Y19402" s="20"/>
    </row>
    <row r="19403" spans="24:25">
      <c r="X19403" s="19"/>
      <c r="Y19403" s="20"/>
    </row>
    <row r="19404" spans="24:25">
      <c r="X19404" s="19"/>
      <c r="Y19404" s="20"/>
    </row>
    <row r="19405" spans="24:25">
      <c r="X19405" s="19"/>
      <c r="Y19405" s="20"/>
    </row>
    <row r="19406" spans="24:25">
      <c r="X19406" s="19"/>
      <c r="Y19406" s="20"/>
    </row>
    <row r="19407" spans="24:25">
      <c r="X19407" s="19"/>
      <c r="Y19407" s="20"/>
    </row>
    <row r="19408" spans="24:25">
      <c r="X19408" s="19"/>
      <c r="Y19408" s="20"/>
    </row>
    <row r="19409" spans="24:25">
      <c r="X19409" s="19"/>
      <c r="Y19409" s="20"/>
    </row>
    <row r="19410" spans="24:25">
      <c r="X19410" s="19"/>
      <c r="Y19410" s="20"/>
    </row>
    <row r="19411" spans="24:25">
      <c r="X19411" s="19"/>
      <c r="Y19411" s="20"/>
    </row>
    <row r="19412" spans="24:25">
      <c r="X19412" s="19"/>
      <c r="Y19412" s="20"/>
    </row>
    <row r="19413" spans="24:25">
      <c r="X19413" s="19"/>
      <c r="Y19413" s="20"/>
    </row>
    <row r="19414" spans="24:25">
      <c r="X19414" s="19"/>
      <c r="Y19414" s="20"/>
    </row>
    <row r="19415" spans="24:25">
      <c r="X19415" s="19"/>
      <c r="Y19415" s="20"/>
    </row>
    <row r="19416" spans="24:25">
      <c r="X19416" s="19"/>
      <c r="Y19416" s="20"/>
    </row>
    <row r="19417" spans="24:25">
      <c r="X19417" s="19"/>
      <c r="Y19417" s="20"/>
    </row>
    <row r="19418" spans="24:25">
      <c r="X19418" s="19"/>
      <c r="Y19418" s="20"/>
    </row>
    <row r="19419" spans="24:25">
      <c r="X19419" s="19"/>
      <c r="Y19419" s="20"/>
    </row>
    <row r="19420" spans="24:25">
      <c r="X19420" s="19"/>
      <c r="Y19420" s="20"/>
    </row>
    <row r="19421" spans="24:25">
      <c r="X19421" s="19"/>
      <c r="Y19421" s="20"/>
    </row>
    <row r="19422" spans="24:25">
      <c r="X19422" s="19"/>
      <c r="Y19422" s="20"/>
    </row>
    <row r="19423" spans="24:25">
      <c r="X19423" s="19"/>
      <c r="Y19423" s="20"/>
    </row>
    <row r="19424" spans="24:25">
      <c r="X19424" s="19"/>
      <c r="Y19424" s="20"/>
    </row>
    <row r="19425" spans="24:25">
      <c r="X19425" s="19"/>
      <c r="Y19425" s="20"/>
    </row>
    <row r="19426" spans="24:25">
      <c r="X19426" s="19"/>
      <c r="Y19426" s="20"/>
    </row>
    <row r="19427" spans="24:25">
      <c r="X19427" s="19"/>
      <c r="Y19427" s="20"/>
    </row>
    <row r="19428" spans="24:25">
      <c r="X19428" s="19"/>
      <c r="Y19428" s="20"/>
    </row>
    <row r="19429" spans="24:25">
      <c r="X19429" s="19"/>
      <c r="Y19429" s="20"/>
    </row>
    <row r="19430" spans="24:25">
      <c r="X19430" s="19"/>
      <c r="Y19430" s="20"/>
    </row>
    <row r="19431" spans="24:25">
      <c r="X19431" s="19"/>
      <c r="Y19431" s="20"/>
    </row>
    <row r="19432" spans="24:25">
      <c r="X19432" s="19"/>
      <c r="Y19432" s="20"/>
    </row>
    <row r="19433" spans="24:25">
      <c r="X19433" s="19"/>
      <c r="Y19433" s="20"/>
    </row>
    <row r="19434" spans="24:25">
      <c r="X19434" s="19"/>
      <c r="Y19434" s="20"/>
    </row>
    <row r="19435" spans="24:25">
      <c r="X19435" s="19"/>
      <c r="Y19435" s="20"/>
    </row>
    <row r="19436" spans="24:25">
      <c r="X19436" s="19"/>
      <c r="Y19436" s="20"/>
    </row>
    <row r="19437" spans="24:25">
      <c r="X19437" s="19"/>
      <c r="Y19437" s="20"/>
    </row>
    <row r="19438" spans="24:25">
      <c r="X19438" s="19"/>
      <c r="Y19438" s="20"/>
    </row>
    <row r="19439" spans="24:25">
      <c r="X19439" s="19"/>
      <c r="Y19439" s="20"/>
    </row>
    <row r="19440" spans="24:25">
      <c r="X19440" s="19"/>
      <c r="Y19440" s="20"/>
    </row>
    <row r="19441" spans="24:25">
      <c r="X19441" s="19"/>
      <c r="Y19441" s="20"/>
    </row>
    <row r="19442" spans="24:25">
      <c r="X19442" s="19"/>
      <c r="Y19442" s="20"/>
    </row>
    <row r="19443" spans="24:25">
      <c r="X19443" s="19"/>
      <c r="Y19443" s="20"/>
    </row>
    <row r="19444" spans="24:25">
      <c r="X19444" s="19"/>
      <c r="Y19444" s="20"/>
    </row>
    <row r="19445" spans="24:25">
      <c r="X19445" s="19"/>
      <c r="Y19445" s="20"/>
    </row>
    <row r="19446" spans="24:25">
      <c r="X19446" s="19"/>
      <c r="Y19446" s="20"/>
    </row>
    <row r="19447" spans="24:25">
      <c r="X19447" s="19"/>
      <c r="Y19447" s="20"/>
    </row>
    <row r="19448" spans="24:25">
      <c r="X19448" s="19"/>
      <c r="Y19448" s="20"/>
    </row>
    <row r="19449" spans="24:25">
      <c r="X19449" s="19"/>
      <c r="Y19449" s="20"/>
    </row>
    <row r="19450" spans="24:25">
      <c r="X19450" s="19"/>
      <c r="Y19450" s="20"/>
    </row>
    <row r="19451" spans="24:25">
      <c r="X19451" s="19"/>
      <c r="Y19451" s="20"/>
    </row>
    <row r="19452" spans="24:25">
      <c r="X19452" s="19"/>
      <c r="Y19452" s="20"/>
    </row>
    <row r="19453" spans="24:25">
      <c r="X19453" s="19"/>
      <c r="Y19453" s="20"/>
    </row>
    <row r="19454" spans="24:25">
      <c r="X19454" s="19"/>
      <c r="Y19454" s="20"/>
    </row>
    <row r="19455" spans="24:25">
      <c r="X19455" s="19"/>
      <c r="Y19455" s="20"/>
    </row>
    <row r="19456" spans="24:25">
      <c r="X19456" s="19"/>
      <c r="Y19456" s="20"/>
    </row>
    <row r="19457" spans="24:25">
      <c r="X19457" s="19"/>
      <c r="Y19457" s="20"/>
    </row>
    <row r="19458" spans="24:25">
      <c r="X19458" s="19"/>
      <c r="Y19458" s="20"/>
    </row>
    <row r="19459" spans="24:25">
      <c r="X19459" s="19"/>
      <c r="Y19459" s="20"/>
    </row>
    <row r="19460" spans="24:25">
      <c r="X19460" s="19"/>
      <c r="Y19460" s="20"/>
    </row>
    <row r="19461" spans="24:25">
      <c r="X19461" s="19"/>
      <c r="Y19461" s="20"/>
    </row>
    <row r="19462" spans="24:25">
      <c r="X19462" s="19"/>
      <c r="Y19462" s="20"/>
    </row>
    <row r="19463" spans="24:25">
      <c r="X19463" s="19"/>
      <c r="Y19463" s="20"/>
    </row>
    <row r="19464" spans="24:25">
      <c r="X19464" s="19"/>
      <c r="Y19464" s="20"/>
    </row>
    <row r="19465" spans="24:25">
      <c r="X19465" s="19"/>
      <c r="Y19465" s="20"/>
    </row>
    <row r="19466" spans="24:25">
      <c r="X19466" s="19"/>
      <c r="Y19466" s="20"/>
    </row>
    <row r="19467" spans="24:25">
      <c r="X19467" s="19"/>
      <c r="Y19467" s="20"/>
    </row>
    <row r="19468" spans="24:25">
      <c r="X19468" s="19"/>
      <c r="Y19468" s="20"/>
    </row>
    <row r="19469" spans="24:25">
      <c r="X19469" s="19"/>
      <c r="Y19469" s="20"/>
    </row>
    <row r="19470" spans="24:25">
      <c r="X19470" s="19"/>
      <c r="Y19470" s="20"/>
    </row>
    <row r="19471" spans="24:25">
      <c r="X19471" s="19"/>
      <c r="Y19471" s="20"/>
    </row>
    <row r="19472" spans="24:25">
      <c r="X19472" s="19"/>
      <c r="Y19472" s="20"/>
    </row>
    <row r="19473" spans="24:25">
      <c r="X19473" s="19"/>
      <c r="Y19473" s="20"/>
    </row>
    <row r="19474" spans="24:25">
      <c r="X19474" s="19"/>
      <c r="Y19474" s="20"/>
    </row>
    <row r="19475" spans="24:25">
      <c r="X19475" s="19"/>
      <c r="Y19475" s="20"/>
    </row>
    <row r="19476" spans="24:25">
      <c r="X19476" s="19"/>
      <c r="Y19476" s="20"/>
    </row>
    <row r="19477" spans="24:25">
      <c r="X19477" s="19"/>
      <c r="Y19477" s="20"/>
    </row>
    <row r="19478" spans="24:25">
      <c r="X19478" s="19"/>
      <c r="Y19478" s="20"/>
    </row>
    <row r="19479" spans="24:25">
      <c r="X19479" s="19"/>
      <c r="Y19479" s="20"/>
    </row>
    <row r="19480" spans="24:25">
      <c r="X19480" s="19"/>
      <c r="Y19480" s="20"/>
    </row>
    <row r="19481" spans="24:25">
      <c r="X19481" s="19"/>
      <c r="Y19481" s="20"/>
    </row>
    <row r="19482" spans="24:25">
      <c r="X19482" s="19"/>
      <c r="Y19482" s="20"/>
    </row>
    <row r="19483" spans="24:25">
      <c r="X19483" s="19"/>
      <c r="Y19483" s="20"/>
    </row>
    <row r="19484" spans="24:25">
      <c r="X19484" s="19"/>
      <c r="Y19484" s="20"/>
    </row>
    <row r="19485" spans="24:25">
      <c r="X19485" s="19"/>
      <c r="Y19485" s="20"/>
    </row>
    <row r="19486" spans="24:25">
      <c r="X19486" s="19"/>
      <c r="Y19486" s="20"/>
    </row>
    <row r="19487" spans="24:25">
      <c r="X19487" s="19"/>
      <c r="Y19487" s="20"/>
    </row>
    <row r="19488" spans="24:25">
      <c r="X19488" s="19"/>
      <c r="Y19488" s="20"/>
    </row>
    <row r="19489" spans="24:25">
      <c r="X19489" s="19"/>
      <c r="Y19489" s="20"/>
    </row>
    <row r="19490" spans="24:25">
      <c r="X19490" s="19"/>
      <c r="Y19490" s="20"/>
    </row>
    <row r="19491" spans="24:25">
      <c r="X19491" s="19"/>
      <c r="Y19491" s="20"/>
    </row>
    <row r="19492" spans="24:25">
      <c r="X19492" s="19"/>
      <c r="Y19492" s="20"/>
    </row>
    <row r="19493" spans="24:25">
      <c r="X19493" s="19"/>
      <c r="Y19493" s="20"/>
    </row>
    <row r="19494" spans="24:25">
      <c r="X19494" s="19"/>
      <c r="Y19494" s="20"/>
    </row>
    <row r="19495" spans="24:25">
      <c r="X19495" s="19"/>
      <c r="Y19495" s="20"/>
    </row>
    <row r="19496" spans="24:25">
      <c r="X19496" s="19"/>
      <c r="Y19496" s="20"/>
    </row>
    <row r="19497" spans="24:25">
      <c r="X19497" s="19"/>
      <c r="Y19497" s="20"/>
    </row>
    <row r="19498" spans="24:25">
      <c r="X19498" s="19"/>
      <c r="Y19498" s="20"/>
    </row>
    <row r="19499" spans="24:25">
      <c r="X19499" s="19"/>
      <c r="Y19499" s="20"/>
    </row>
    <row r="19500" spans="24:25">
      <c r="X19500" s="19"/>
      <c r="Y19500" s="20"/>
    </row>
    <row r="19501" spans="24:25">
      <c r="X19501" s="19"/>
      <c r="Y19501" s="20"/>
    </row>
    <row r="19502" spans="24:25">
      <c r="X19502" s="19"/>
      <c r="Y19502" s="20"/>
    </row>
    <row r="19503" spans="24:25">
      <c r="X19503" s="19"/>
      <c r="Y19503" s="20"/>
    </row>
    <row r="19504" spans="24:25">
      <c r="X19504" s="19"/>
      <c r="Y19504" s="20"/>
    </row>
    <row r="19505" spans="24:25">
      <c r="X19505" s="19"/>
      <c r="Y19505" s="20"/>
    </row>
    <row r="19506" spans="24:25">
      <c r="X19506" s="19"/>
      <c r="Y19506" s="20"/>
    </row>
    <row r="19507" spans="24:25">
      <c r="X19507" s="19"/>
      <c r="Y19507" s="20"/>
    </row>
    <row r="19508" spans="24:25">
      <c r="X19508" s="19"/>
      <c r="Y19508" s="20"/>
    </row>
    <row r="19509" spans="24:25">
      <c r="X19509" s="19"/>
      <c r="Y19509" s="20"/>
    </row>
    <row r="19510" spans="24:25">
      <c r="X19510" s="19"/>
      <c r="Y19510" s="20"/>
    </row>
    <row r="19511" spans="24:25">
      <c r="X19511" s="19"/>
      <c r="Y19511" s="20"/>
    </row>
    <row r="19512" spans="24:25">
      <c r="X19512" s="19"/>
      <c r="Y19512" s="20"/>
    </row>
    <row r="19513" spans="24:25">
      <c r="X19513" s="19"/>
      <c r="Y19513" s="20"/>
    </row>
    <row r="19514" spans="24:25">
      <c r="X19514" s="19"/>
      <c r="Y19514" s="20"/>
    </row>
    <row r="19515" spans="24:25">
      <c r="X19515" s="19"/>
      <c r="Y19515" s="20"/>
    </row>
    <row r="19516" spans="24:25">
      <c r="X19516" s="19"/>
      <c r="Y19516" s="20"/>
    </row>
    <row r="19517" spans="24:25">
      <c r="X19517" s="19"/>
      <c r="Y19517" s="20"/>
    </row>
    <row r="19518" spans="24:25">
      <c r="X19518" s="19"/>
      <c r="Y19518" s="20"/>
    </row>
    <row r="19519" spans="24:25">
      <c r="X19519" s="19"/>
      <c r="Y19519" s="20"/>
    </row>
    <row r="19520" spans="24:25">
      <c r="X19520" s="19"/>
      <c r="Y19520" s="20"/>
    </row>
    <row r="19521" spans="24:25">
      <c r="X19521" s="19"/>
      <c r="Y19521" s="20"/>
    </row>
    <row r="19522" spans="24:25">
      <c r="X19522" s="19"/>
      <c r="Y19522" s="20"/>
    </row>
    <row r="19523" spans="24:25">
      <c r="X19523" s="19"/>
      <c r="Y19523" s="20"/>
    </row>
    <row r="19524" spans="24:25">
      <c r="X19524" s="19"/>
      <c r="Y19524" s="20"/>
    </row>
    <row r="19525" spans="24:25">
      <c r="X19525" s="19"/>
      <c r="Y19525" s="20"/>
    </row>
    <row r="19526" spans="24:25">
      <c r="X19526" s="19"/>
      <c r="Y19526" s="20"/>
    </row>
    <row r="19527" spans="24:25">
      <c r="X19527" s="19"/>
      <c r="Y19527" s="20"/>
    </row>
    <row r="19528" spans="24:25">
      <c r="X19528" s="19"/>
      <c r="Y19528" s="20"/>
    </row>
    <row r="19529" spans="24:25">
      <c r="X19529" s="19"/>
      <c r="Y19529" s="20"/>
    </row>
    <row r="19530" spans="24:25">
      <c r="X19530" s="19"/>
      <c r="Y19530" s="20"/>
    </row>
    <row r="19531" spans="24:25">
      <c r="X19531" s="19"/>
      <c r="Y19531" s="20"/>
    </row>
    <row r="19532" spans="24:25">
      <c r="X19532" s="19"/>
      <c r="Y19532" s="20"/>
    </row>
    <row r="19533" spans="24:25">
      <c r="X19533" s="19"/>
      <c r="Y19533" s="20"/>
    </row>
    <row r="19534" spans="24:25">
      <c r="X19534" s="19"/>
      <c r="Y19534" s="20"/>
    </row>
    <row r="19535" spans="24:25">
      <c r="X19535" s="19"/>
      <c r="Y19535" s="20"/>
    </row>
    <row r="19536" spans="24:25">
      <c r="X19536" s="19"/>
      <c r="Y19536" s="20"/>
    </row>
    <row r="19537" spans="24:25">
      <c r="X19537" s="19"/>
      <c r="Y19537" s="20"/>
    </row>
    <row r="19538" spans="24:25">
      <c r="X19538" s="19"/>
      <c r="Y19538" s="20"/>
    </row>
    <row r="19539" spans="24:25">
      <c r="X19539" s="19"/>
      <c r="Y19539" s="20"/>
    </row>
    <row r="19540" spans="24:25">
      <c r="X19540" s="19"/>
      <c r="Y19540" s="20"/>
    </row>
    <row r="19541" spans="24:25">
      <c r="X19541" s="19"/>
      <c r="Y19541" s="20"/>
    </row>
    <row r="19542" spans="24:25">
      <c r="X19542" s="19"/>
      <c r="Y19542" s="20"/>
    </row>
    <row r="19543" spans="24:25">
      <c r="X19543" s="19"/>
      <c r="Y19543" s="20"/>
    </row>
    <row r="19544" spans="24:25">
      <c r="X19544" s="19"/>
      <c r="Y19544" s="20"/>
    </row>
    <row r="19545" spans="24:25">
      <c r="X19545" s="19"/>
      <c r="Y19545" s="20"/>
    </row>
    <row r="19546" spans="24:25">
      <c r="X19546" s="19"/>
      <c r="Y19546" s="20"/>
    </row>
    <row r="19547" spans="24:25">
      <c r="X19547" s="19"/>
      <c r="Y19547" s="20"/>
    </row>
    <row r="19548" spans="24:25">
      <c r="X19548" s="19"/>
      <c r="Y19548" s="20"/>
    </row>
    <row r="19549" spans="24:25">
      <c r="X19549" s="19"/>
      <c r="Y19549" s="20"/>
    </row>
    <row r="19550" spans="24:25">
      <c r="X19550" s="19"/>
      <c r="Y19550" s="20"/>
    </row>
    <row r="19551" spans="24:25">
      <c r="X19551" s="19"/>
      <c r="Y19551" s="20"/>
    </row>
    <row r="19552" spans="24:25">
      <c r="X19552" s="19"/>
      <c r="Y19552" s="20"/>
    </row>
    <row r="19553" spans="24:25">
      <c r="X19553" s="19"/>
      <c r="Y19553" s="20"/>
    </row>
    <row r="19554" spans="24:25">
      <c r="X19554" s="19"/>
      <c r="Y19554" s="20"/>
    </row>
    <row r="19555" spans="24:25">
      <c r="X19555" s="19"/>
      <c r="Y19555" s="20"/>
    </row>
    <row r="19556" spans="24:25">
      <c r="X19556" s="19"/>
      <c r="Y19556" s="20"/>
    </row>
    <row r="19557" spans="24:25">
      <c r="X19557" s="19"/>
      <c r="Y19557" s="20"/>
    </row>
    <row r="19558" spans="24:25">
      <c r="X19558" s="19"/>
      <c r="Y19558" s="20"/>
    </row>
    <row r="19559" spans="24:25">
      <c r="X19559" s="19"/>
      <c r="Y19559" s="20"/>
    </row>
    <row r="19560" spans="24:25">
      <c r="X19560" s="19"/>
      <c r="Y19560" s="20"/>
    </row>
    <row r="19561" spans="24:25">
      <c r="X19561" s="19"/>
      <c r="Y19561" s="20"/>
    </row>
    <row r="19562" spans="24:25">
      <c r="X19562" s="19"/>
      <c r="Y19562" s="20"/>
    </row>
    <row r="19563" spans="24:25">
      <c r="X19563" s="19"/>
      <c r="Y19563" s="20"/>
    </row>
    <row r="19564" spans="24:25">
      <c r="X19564" s="19"/>
      <c r="Y19564" s="20"/>
    </row>
    <row r="19565" spans="24:25">
      <c r="X19565" s="19"/>
      <c r="Y19565" s="20"/>
    </row>
    <row r="19566" spans="24:25">
      <c r="X19566" s="19"/>
      <c r="Y19566" s="20"/>
    </row>
    <row r="19567" spans="24:25">
      <c r="X19567" s="19"/>
      <c r="Y19567" s="20"/>
    </row>
    <row r="19568" spans="24:25">
      <c r="X19568" s="19"/>
      <c r="Y19568" s="20"/>
    </row>
    <row r="19569" spans="24:25">
      <c r="X19569" s="19"/>
      <c r="Y19569" s="20"/>
    </row>
    <row r="19570" spans="24:25">
      <c r="X19570" s="19"/>
      <c r="Y19570" s="20"/>
    </row>
    <row r="19571" spans="24:25">
      <c r="X19571" s="19"/>
      <c r="Y19571" s="20"/>
    </row>
    <row r="19572" spans="24:25">
      <c r="X19572" s="19"/>
      <c r="Y19572" s="20"/>
    </row>
    <row r="19573" spans="24:25">
      <c r="X19573" s="19"/>
      <c r="Y19573" s="20"/>
    </row>
    <row r="19574" spans="24:25">
      <c r="X19574" s="19"/>
      <c r="Y19574" s="20"/>
    </row>
    <row r="19575" spans="24:25">
      <c r="X19575" s="19"/>
      <c r="Y19575" s="20"/>
    </row>
    <row r="19576" spans="24:25">
      <c r="X19576" s="19"/>
      <c r="Y19576" s="20"/>
    </row>
    <row r="19577" spans="24:25">
      <c r="X19577" s="19"/>
      <c r="Y19577" s="20"/>
    </row>
    <row r="19578" spans="24:25">
      <c r="X19578" s="19"/>
      <c r="Y19578" s="20"/>
    </row>
    <row r="19579" spans="24:25">
      <c r="X19579" s="19"/>
      <c r="Y19579" s="20"/>
    </row>
    <row r="19580" spans="24:25">
      <c r="X19580" s="19"/>
      <c r="Y19580" s="20"/>
    </row>
    <row r="19581" spans="24:25">
      <c r="X19581" s="19"/>
      <c r="Y19581" s="20"/>
    </row>
    <row r="19582" spans="24:25">
      <c r="X19582" s="19"/>
      <c r="Y19582" s="20"/>
    </row>
    <row r="19583" spans="24:25">
      <c r="X19583" s="19"/>
      <c r="Y19583" s="20"/>
    </row>
    <row r="19584" spans="24:25">
      <c r="X19584" s="19"/>
      <c r="Y19584" s="20"/>
    </row>
    <row r="19585" spans="24:25">
      <c r="X19585" s="19"/>
      <c r="Y19585" s="20"/>
    </row>
    <row r="19586" spans="24:25">
      <c r="X19586" s="19"/>
      <c r="Y19586" s="20"/>
    </row>
    <row r="19587" spans="24:25">
      <c r="X19587" s="19"/>
      <c r="Y19587" s="20"/>
    </row>
    <row r="19588" spans="24:25">
      <c r="X19588" s="19"/>
      <c r="Y19588" s="20"/>
    </row>
    <row r="19589" spans="24:25">
      <c r="X19589" s="19"/>
      <c r="Y19589" s="20"/>
    </row>
    <row r="19590" spans="24:25">
      <c r="X19590" s="19"/>
      <c r="Y19590" s="20"/>
    </row>
    <row r="19591" spans="24:25">
      <c r="X19591" s="19"/>
      <c r="Y19591" s="20"/>
    </row>
    <row r="19592" spans="24:25">
      <c r="X19592" s="19"/>
      <c r="Y19592" s="20"/>
    </row>
    <row r="19593" spans="24:25">
      <c r="X19593" s="19"/>
      <c r="Y19593" s="20"/>
    </row>
    <row r="19594" spans="24:25">
      <c r="X19594" s="19"/>
      <c r="Y19594" s="20"/>
    </row>
    <row r="19595" spans="24:25">
      <c r="X19595" s="19"/>
      <c r="Y19595" s="20"/>
    </row>
    <row r="19596" spans="24:25">
      <c r="X19596" s="19"/>
      <c r="Y19596" s="20"/>
    </row>
    <row r="19597" spans="24:25">
      <c r="X19597" s="19"/>
      <c r="Y19597" s="20"/>
    </row>
    <row r="19598" spans="24:25">
      <c r="X19598" s="19"/>
      <c r="Y19598" s="20"/>
    </row>
    <row r="19599" spans="24:25">
      <c r="X19599" s="19"/>
      <c r="Y19599" s="20"/>
    </row>
    <row r="19600" spans="24:25">
      <c r="X19600" s="19"/>
      <c r="Y19600" s="20"/>
    </row>
    <row r="19601" spans="24:25">
      <c r="X19601" s="19"/>
      <c r="Y19601" s="20"/>
    </row>
    <row r="19602" spans="24:25">
      <c r="X19602" s="19"/>
      <c r="Y19602" s="20"/>
    </row>
    <row r="19603" spans="24:25">
      <c r="X19603" s="19"/>
      <c r="Y19603" s="20"/>
    </row>
    <row r="19604" spans="24:25">
      <c r="X19604" s="19"/>
      <c r="Y19604" s="20"/>
    </row>
    <row r="19605" spans="24:25">
      <c r="X19605" s="19"/>
      <c r="Y19605" s="20"/>
    </row>
    <row r="19606" spans="24:25">
      <c r="X19606" s="19"/>
      <c r="Y19606" s="20"/>
    </row>
    <row r="19607" spans="24:25">
      <c r="X19607" s="19"/>
      <c r="Y19607" s="20"/>
    </row>
    <row r="19608" spans="24:25">
      <c r="X19608" s="19"/>
      <c r="Y19608" s="20"/>
    </row>
    <row r="19609" spans="24:25">
      <c r="X19609" s="19"/>
      <c r="Y19609" s="20"/>
    </row>
    <row r="19610" spans="24:25">
      <c r="X19610" s="19"/>
      <c r="Y19610" s="20"/>
    </row>
    <row r="19611" spans="24:25">
      <c r="X19611" s="19"/>
      <c r="Y19611" s="20"/>
    </row>
    <row r="19612" spans="24:25">
      <c r="X19612" s="19"/>
      <c r="Y19612" s="20"/>
    </row>
    <row r="19613" spans="24:25">
      <c r="X19613" s="19"/>
      <c r="Y19613" s="20"/>
    </row>
    <row r="19614" spans="24:25">
      <c r="X19614" s="19"/>
      <c r="Y19614" s="20"/>
    </row>
    <row r="19615" spans="24:25">
      <c r="X19615" s="19"/>
      <c r="Y19615" s="20"/>
    </row>
    <row r="19616" spans="24:25">
      <c r="X19616" s="19"/>
      <c r="Y19616" s="20"/>
    </row>
    <row r="19617" spans="24:25">
      <c r="X19617" s="19"/>
      <c r="Y19617" s="20"/>
    </row>
    <row r="19618" spans="24:25">
      <c r="X19618" s="19"/>
      <c r="Y19618" s="20"/>
    </row>
    <row r="19619" spans="24:25">
      <c r="X19619" s="19"/>
      <c r="Y19619" s="20"/>
    </row>
    <row r="19620" spans="24:25">
      <c r="X19620" s="19"/>
      <c r="Y19620" s="20"/>
    </row>
    <row r="19621" spans="24:25">
      <c r="X19621" s="19"/>
      <c r="Y19621" s="20"/>
    </row>
    <row r="19622" spans="24:25">
      <c r="X19622" s="19"/>
      <c r="Y19622" s="20"/>
    </row>
    <row r="19623" spans="24:25">
      <c r="X19623" s="19"/>
      <c r="Y19623" s="20"/>
    </row>
    <row r="19624" spans="24:25">
      <c r="X19624" s="19"/>
      <c r="Y19624" s="20"/>
    </row>
    <row r="19625" spans="24:25">
      <c r="X19625" s="19"/>
      <c r="Y19625" s="20"/>
    </row>
    <row r="19626" spans="24:25">
      <c r="X19626" s="19"/>
      <c r="Y19626" s="20"/>
    </row>
    <row r="19627" spans="24:25">
      <c r="X19627" s="19"/>
      <c r="Y19627" s="20"/>
    </row>
    <row r="19628" spans="24:25">
      <c r="X19628" s="19"/>
      <c r="Y19628" s="20"/>
    </row>
    <row r="19629" spans="24:25">
      <c r="X19629" s="19"/>
      <c r="Y19629" s="20"/>
    </row>
    <row r="19630" spans="24:25">
      <c r="X19630" s="19"/>
      <c r="Y19630" s="20"/>
    </row>
    <row r="19631" spans="24:25">
      <c r="X19631" s="19"/>
      <c r="Y19631" s="20"/>
    </row>
    <row r="19632" spans="24:25">
      <c r="X19632" s="19"/>
      <c r="Y19632" s="20"/>
    </row>
    <row r="19633" spans="24:25">
      <c r="X19633" s="19"/>
      <c r="Y19633" s="20"/>
    </row>
    <row r="19634" spans="24:25">
      <c r="X19634" s="19"/>
      <c r="Y19634" s="20"/>
    </row>
    <row r="19635" spans="24:25">
      <c r="X19635" s="19"/>
      <c r="Y19635" s="20"/>
    </row>
    <row r="19636" spans="24:25">
      <c r="X19636" s="19"/>
      <c r="Y19636" s="20"/>
    </row>
    <row r="19637" spans="24:25">
      <c r="X19637" s="19"/>
      <c r="Y19637" s="20"/>
    </row>
    <row r="19638" spans="24:25">
      <c r="X19638" s="19"/>
      <c r="Y19638" s="20"/>
    </row>
    <row r="19639" spans="24:25">
      <c r="X19639" s="19"/>
      <c r="Y19639" s="20"/>
    </row>
    <row r="19640" spans="24:25">
      <c r="X19640" s="19"/>
      <c r="Y19640" s="20"/>
    </row>
    <row r="19641" spans="24:25">
      <c r="X19641" s="19"/>
      <c r="Y19641" s="20"/>
    </row>
    <row r="19642" spans="24:25">
      <c r="X19642" s="19"/>
      <c r="Y19642" s="20"/>
    </row>
    <row r="19643" spans="24:25">
      <c r="X19643" s="19"/>
      <c r="Y19643" s="20"/>
    </row>
    <row r="19644" spans="24:25">
      <c r="X19644" s="19"/>
      <c r="Y19644" s="20"/>
    </row>
    <row r="19645" spans="24:25">
      <c r="X19645" s="19"/>
      <c r="Y19645" s="20"/>
    </row>
    <row r="19646" spans="24:25">
      <c r="X19646" s="19"/>
      <c r="Y19646" s="20"/>
    </row>
    <row r="19647" spans="24:25">
      <c r="X19647" s="19"/>
      <c r="Y19647" s="20"/>
    </row>
    <row r="19648" spans="24:25">
      <c r="X19648" s="19"/>
      <c r="Y19648" s="20"/>
    </row>
    <row r="19649" spans="24:25">
      <c r="X19649" s="19"/>
      <c r="Y19649" s="20"/>
    </row>
    <row r="19650" spans="24:25">
      <c r="X19650" s="19"/>
      <c r="Y19650" s="20"/>
    </row>
    <row r="19651" spans="24:25">
      <c r="X19651" s="19"/>
      <c r="Y19651" s="20"/>
    </row>
    <row r="19652" spans="24:25">
      <c r="X19652" s="19"/>
      <c r="Y19652" s="20"/>
    </row>
    <row r="19653" spans="24:25">
      <c r="X19653" s="19"/>
      <c r="Y19653" s="20"/>
    </row>
    <row r="19654" spans="24:25">
      <c r="X19654" s="19"/>
      <c r="Y19654" s="20"/>
    </row>
    <row r="19655" spans="24:25">
      <c r="X19655" s="19"/>
      <c r="Y19655" s="20"/>
    </row>
    <row r="19656" spans="24:25">
      <c r="X19656" s="19"/>
      <c r="Y19656" s="20"/>
    </row>
    <row r="19657" spans="24:25">
      <c r="X19657" s="19"/>
      <c r="Y19657" s="20"/>
    </row>
    <row r="19658" spans="24:25">
      <c r="X19658" s="19"/>
      <c r="Y19658" s="20"/>
    </row>
    <row r="19659" spans="24:25">
      <c r="X19659" s="19"/>
      <c r="Y19659" s="20"/>
    </row>
    <row r="19660" spans="24:25">
      <c r="X19660" s="19"/>
      <c r="Y19660" s="20"/>
    </row>
    <row r="19661" spans="24:25">
      <c r="X19661" s="19"/>
      <c r="Y19661" s="20"/>
    </row>
    <row r="19662" spans="24:25">
      <c r="X19662" s="19"/>
      <c r="Y19662" s="20"/>
    </row>
    <row r="19663" spans="24:25">
      <c r="X19663" s="19"/>
      <c r="Y19663" s="20"/>
    </row>
    <row r="19664" spans="24:25">
      <c r="X19664" s="19"/>
      <c r="Y19664" s="20"/>
    </row>
    <row r="19665" spans="24:25">
      <c r="X19665" s="19"/>
      <c r="Y19665" s="20"/>
    </row>
    <row r="19666" spans="24:25">
      <c r="X19666" s="19"/>
      <c r="Y19666" s="20"/>
    </row>
    <row r="19667" spans="24:25">
      <c r="X19667" s="19"/>
      <c r="Y19667" s="20"/>
    </row>
    <row r="19668" spans="24:25">
      <c r="X19668" s="19"/>
      <c r="Y19668" s="20"/>
    </row>
    <row r="19669" spans="24:25">
      <c r="X19669" s="19"/>
      <c r="Y19669" s="20"/>
    </row>
    <row r="19670" spans="24:25">
      <c r="X19670" s="19"/>
      <c r="Y19670" s="20"/>
    </row>
    <row r="19671" spans="24:25">
      <c r="X19671" s="19"/>
      <c r="Y19671" s="20"/>
    </row>
    <row r="19672" spans="24:25">
      <c r="X19672" s="19"/>
      <c r="Y19672" s="20"/>
    </row>
    <row r="19673" spans="24:25">
      <c r="X19673" s="19"/>
      <c r="Y19673" s="20"/>
    </row>
    <row r="19674" spans="24:25">
      <c r="X19674" s="19"/>
      <c r="Y19674" s="20"/>
    </row>
    <row r="19675" spans="24:25">
      <c r="X19675" s="19"/>
      <c r="Y19675" s="20"/>
    </row>
    <row r="19676" spans="24:25">
      <c r="X19676" s="19"/>
      <c r="Y19676" s="20"/>
    </row>
    <row r="19677" spans="24:25">
      <c r="X19677" s="19"/>
      <c r="Y19677" s="20"/>
    </row>
    <row r="19678" spans="24:25">
      <c r="X19678" s="19"/>
      <c r="Y19678" s="20"/>
    </row>
    <row r="19679" spans="24:25">
      <c r="X19679" s="19"/>
      <c r="Y19679" s="20"/>
    </row>
    <row r="19680" spans="24:25">
      <c r="X19680" s="19"/>
      <c r="Y19680" s="20"/>
    </row>
    <row r="19681" spans="24:25">
      <c r="X19681" s="19"/>
      <c r="Y19681" s="20"/>
    </row>
    <row r="19682" spans="24:25">
      <c r="X19682" s="19"/>
      <c r="Y19682" s="20"/>
    </row>
    <row r="19683" spans="24:25">
      <c r="X19683" s="19"/>
      <c r="Y19683" s="20"/>
    </row>
    <row r="19684" spans="24:25">
      <c r="X19684" s="19"/>
      <c r="Y19684" s="20"/>
    </row>
    <row r="19685" spans="24:25">
      <c r="X19685" s="19"/>
      <c r="Y19685" s="20"/>
    </row>
    <row r="19686" spans="24:25">
      <c r="X19686" s="19"/>
      <c r="Y19686" s="20"/>
    </row>
    <row r="19687" spans="24:25">
      <c r="X19687" s="19"/>
      <c r="Y19687" s="20"/>
    </row>
    <row r="19688" spans="24:25">
      <c r="X19688" s="19"/>
      <c r="Y19688" s="20"/>
    </row>
    <row r="19689" spans="24:25">
      <c r="X19689" s="19"/>
      <c r="Y19689" s="20"/>
    </row>
    <row r="19690" spans="24:25">
      <c r="X19690" s="19"/>
      <c r="Y19690" s="20"/>
    </row>
    <row r="19691" spans="24:25">
      <c r="X19691" s="19"/>
      <c r="Y19691" s="20"/>
    </row>
    <row r="19692" spans="24:25">
      <c r="X19692" s="19"/>
      <c r="Y19692" s="20"/>
    </row>
    <row r="19693" spans="24:25">
      <c r="X19693" s="19"/>
      <c r="Y19693" s="20"/>
    </row>
    <row r="19694" spans="24:25">
      <c r="X19694" s="19"/>
      <c r="Y19694" s="20"/>
    </row>
    <row r="19695" spans="24:25">
      <c r="X19695" s="19"/>
      <c r="Y19695" s="20"/>
    </row>
    <row r="19696" spans="24:25">
      <c r="X19696" s="19"/>
      <c r="Y19696" s="20"/>
    </row>
    <row r="19697" spans="24:25">
      <c r="X19697" s="19"/>
      <c r="Y19697" s="20"/>
    </row>
    <row r="19698" spans="24:25">
      <c r="X19698" s="19"/>
      <c r="Y19698" s="20"/>
    </row>
    <row r="19699" spans="24:25">
      <c r="X19699" s="19"/>
      <c r="Y19699" s="20"/>
    </row>
    <row r="19700" spans="24:25">
      <c r="X19700" s="19"/>
      <c r="Y19700" s="20"/>
    </row>
    <row r="19701" spans="24:25">
      <c r="X19701" s="19"/>
      <c r="Y19701" s="20"/>
    </row>
    <row r="19702" spans="24:25">
      <c r="X19702" s="19"/>
      <c r="Y19702" s="20"/>
    </row>
    <row r="19703" spans="24:25">
      <c r="X19703" s="19"/>
      <c r="Y19703" s="20"/>
    </row>
    <row r="19704" spans="24:25">
      <c r="X19704" s="19"/>
      <c r="Y19704" s="20"/>
    </row>
    <row r="19705" spans="24:25">
      <c r="X19705" s="19"/>
      <c r="Y19705" s="20"/>
    </row>
    <row r="19706" spans="24:25">
      <c r="X19706" s="19"/>
      <c r="Y19706" s="20"/>
    </row>
    <row r="19707" spans="24:25">
      <c r="X19707" s="19"/>
      <c r="Y19707" s="20"/>
    </row>
    <row r="19708" spans="24:25">
      <c r="X19708" s="19"/>
      <c r="Y19708" s="20"/>
    </row>
    <row r="19709" spans="24:25">
      <c r="X19709" s="19"/>
      <c r="Y19709" s="20"/>
    </row>
    <row r="19710" spans="24:25">
      <c r="X19710" s="19"/>
      <c r="Y19710" s="20"/>
    </row>
    <row r="19711" spans="24:25">
      <c r="X19711" s="19"/>
      <c r="Y19711" s="20"/>
    </row>
    <row r="19712" spans="24:25">
      <c r="X19712" s="19"/>
      <c r="Y19712" s="20"/>
    </row>
    <row r="19713" spans="24:25">
      <c r="X19713" s="19"/>
      <c r="Y19713" s="20"/>
    </row>
    <row r="19714" spans="24:25">
      <c r="X19714" s="19"/>
      <c r="Y19714" s="20"/>
    </row>
    <row r="19715" spans="24:25">
      <c r="X19715" s="19"/>
      <c r="Y19715" s="20"/>
    </row>
    <row r="19716" spans="24:25">
      <c r="X19716" s="19"/>
      <c r="Y19716" s="20"/>
    </row>
    <row r="19717" spans="24:25">
      <c r="X19717" s="19"/>
      <c r="Y19717" s="20"/>
    </row>
    <row r="19718" spans="24:25">
      <c r="X19718" s="19"/>
      <c r="Y19718" s="20"/>
    </row>
    <row r="19719" spans="24:25">
      <c r="X19719" s="19"/>
      <c r="Y19719" s="20"/>
    </row>
    <row r="19720" spans="24:25">
      <c r="X19720" s="19"/>
      <c r="Y19720" s="20"/>
    </row>
    <row r="19721" spans="24:25">
      <c r="X19721" s="19"/>
      <c r="Y19721" s="20"/>
    </row>
    <row r="19722" spans="24:25">
      <c r="X19722" s="19"/>
      <c r="Y19722" s="20"/>
    </row>
    <row r="19723" spans="24:25">
      <c r="X19723" s="19"/>
      <c r="Y19723" s="20"/>
    </row>
    <row r="19724" spans="24:25">
      <c r="X19724" s="19"/>
      <c r="Y19724" s="20"/>
    </row>
    <row r="19725" spans="24:25">
      <c r="X19725" s="19"/>
      <c r="Y19725" s="20"/>
    </row>
    <row r="19726" spans="24:25">
      <c r="X19726" s="19"/>
      <c r="Y19726" s="20"/>
    </row>
    <row r="19727" spans="24:25">
      <c r="X19727" s="19"/>
      <c r="Y19727" s="20"/>
    </row>
    <row r="19728" spans="24:25">
      <c r="X19728" s="19"/>
      <c r="Y19728" s="20"/>
    </row>
    <row r="19729" spans="24:25">
      <c r="X19729" s="19"/>
      <c r="Y19729" s="20"/>
    </row>
    <row r="19730" spans="24:25">
      <c r="X19730" s="19"/>
      <c r="Y19730" s="20"/>
    </row>
    <row r="19731" spans="24:25">
      <c r="X19731" s="19"/>
      <c r="Y19731" s="20"/>
    </row>
    <row r="19732" spans="24:25">
      <c r="X19732" s="19"/>
      <c r="Y19732" s="20"/>
    </row>
    <row r="19733" spans="24:25">
      <c r="X19733" s="19"/>
      <c r="Y19733" s="20"/>
    </row>
    <row r="19734" spans="24:25">
      <c r="X19734" s="19"/>
      <c r="Y19734" s="20"/>
    </row>
    <row r="19735" spans="24:25">
      <c r="X19735" s="19"/>
      <c r="Y19735" s="20"/>
    </row>
    <row r="19736" spans="24:25">
      <c r="X19736" s="19"/>
      <c r="Y19736" s="20"/>
    </row>
    <row r="19737" spans="24:25">
      <c r="X19737" s="19"/>
      <c r="Y19737" s="20"/>
    </row>
    <row r="19738" spans="24:25">
      <c r="X19738" s="19"/>
      <c r="Y19738" s="20"/>
    </row>
    <row r="19739" spans="24:25">
      <c r="X19739" s="19"/>
      <c r="Y19739" s="20"/>
    </row>
    <row r="19740" spans="24:25">
      <c r="X19740" s="19"/>
      <c r="Y19740" s="20"/>
    </row>
    <row r="19741" spans="24:25">
      <c r="X19741" s="19"/>
      <c r="Y19741" s="20"/>
    </row>
    <row r="19742" spans="24:25">
      <c r="X19742" s="19"/>
      <c r="Y19742" s="20"/>
    </row>
    <row r="19743" spans="24:25">
      <c r="X19743" s="19"/>
      <c r="Y19743" s="20"/>
    </row>
    <row r="19744" spans="24:25">
      <c r="X19744" s="19"/>
      <c r="Y19744" s="20"/>
    </row>
    <row r="19745" spans="24:25">
      <c r="X19745" s="19"/>
      <c r="Y19745" s="20"/>
    </row>
    <row r="19746" spans="24:25">
      <c r="X19746" s="19"/>
      <c r="Y19746" s="20"/>
    </row>
    <row r="19747" spans="24:25">
      <c r="X19747" s="19"/>
      <c r="Y19747" s="20"/>
    </row>
    <row r="19748" spans="24:25">
      <c r="X19748" s="19"/>
      <c r="Y19748" s="20"/>
    </row>
    <row r="19749" spans="24:25">
      <c r="X19749" s="19"/>
      <c r="Y19749" s="20"/>
    </row>
    <row r="19750" spans="24:25">
      <c r="X19750" s="19"/>
      <c r="Y19750" s="20"/>
    </row>
    <row r="19751" spans="24:25">
      <c r="X19751" s="19"/>
      <c r="Y19751" s="20"/>
    </row>
    <row r="19752" spans="24:25">
      <c r="X19752" s="19"/>
      <c r="Y19752" s="20"/>
    </row>
    <row r="19753" spans="24:25">
      <c r="X19753" s="19"/>
      <c r="Y19753" s="20"/>
    </row>
    <row r="19754" spans="24:25">
      <c r="X19754" s="19"/>
      <c r="Y19754" s="20"/>
    </row>
    <row r="19755" spans="24:25">
      <c r="X19755" s="19"/>
      <c r="Y19755" s="20"/>
    </row>
    <row r="19756" spans="24:25">
      <c r="X19756" s="19"/>
      <c r="Y19756" s="20"/>
    </row>
    <row r="19757" spans="24:25">
      <c r="X19757" s="19"/>
      <c r="Y19757" s="20"/>
    </row>
    <row r="19758" spans="24:25">
      <c r="X19758" s="19"/>
      <c r="Y19758" s="20"/>
    </row>
    <row r="19759" spans="24:25">
      <c r="X19759" s="19"/>
      <c r="Y19759" s="20"/>
    </row>
    <row r="19760" spans="24:25">
      <c r="X19760" s="19"/>
      <c r="Y19760" s="20"/>
    </row>
    <row r="19761" spans="24:25">
      <c r="X19761" s="19"/>
      <c r="Y19761" s="20"/>
    </row>
    <row r="19762" spans="24:25">
      <c r="X19762" s="19"/>
      <c r="Y19762" s="20"/>
    </row>
    <row r="19763" spans="24:25">
      <c r="X19763" s="19"/>
      <c r="Y19763" s="20"/>
    </row>
    <row r="19764" spans="24:25">
      <c r="X19764" s="19"/>
      <c r="Y19764" s="20"/>
    </row>
    <row r="19765" spans="24:25">
      <c r="X19765" s="19"/>
      <c r="Y19765" s="20"/>
    </row>
    <row r="19766" spans="24:25">
      <c r="X19766" s="19"/>
      <c r="Y19766" s="20"/>
    </row>
    <row r="19767" spans="24:25">
      <c r="X19767" s="19"/>
      <c r="Y19767" s="20"/>
    </row>
    <row r="19768" spans="24:25">
      <c r="X19768" s="19"/>
      <c r="Y19768" s="20"/>
    </row>
    <row r="19769" spans="24:25">
      <c r="X19769" s="19"/>
      <c r="Y19769" s="20"/>
    </row>
    <row r="19770" spans="24:25">
      <c r="X19770" s="19"/>
      <c r="Y19770" s="20"/>
    </row>
    <row r="19771" spans="24:25">
      <c r="X19771" s="19"/>
      <c r="Y19771" s="20"/>
    </row>
    <row r="19772" spans="24:25">
      <c r="X19772" s="19"/>
      <c r="Y19772" s="20"/>
    </row>
    <row r="19773" spans="24:25">
      <c r="X19773" s="19"/>
      <c r="Y19773" s="20"/>
    </row>
    <row r="19774" spans="24:25">
      <c r="X19774" s="19"/>
      <c r="Y19774" s="20"/>
    </row>
    <row r="19775" spans="24:25">
      <c r="X19775" s="19"/>
      <c r="Y19775" s="20"/>
    </row>
    <row r="19776" spans="24:25">
      <c r="X19776" s="19"/>
      <c r="Y19776" s="20"/>
    </row>
    <row r="19777" spans="24:25">
      <c r="X19777" s="19"/>
      <c r="Y19777" s="20"/>
    </row>
    <row r="19778" spans="24:25">
      <c r="X19778" s="19"/>
      <c r="Y19778" s="20"/>
    </row>
    <row r="19779" spans="24:25">
      <c r="X19779" s="19"/>
      <c r="Y19779" s="20"/>
    </row>
    <row r="19780" spans="24:25">
      <c r="X19780" s="19"/>
      <c r="Y19780" s="20"/>
    </row>
    <row r="19781" spans="24:25">
      <c r="X19781" s="19"/>
      <c r="Y19781" s="20"/>
    </row>
    <row r="19782" spans="24:25">
      <c r="X19782" s="19"/>
      <c r="Y19782" s="20"/>
    </row>
    <row r="19783" spans="24:25">
      <c r="X19783" s="19"/>
      <c r="Y19783" s="20"/>
    </row>
    <row r="19784" spans="24:25">
      <c r="X19784" s="19"/>
      <c r="Y19784" s="20"/>
    </row>
    <row r="19785" spans="24:25">
      <c r="X19785" s="19"/>
      <c r="Y19785" s="20"/>
    </row>
    <row r="19786" spans="24:25">
      <c r="X19786" s="19"/>
      <c r="Y19786" s="20"/>
    </row>
    <row r="19787" spans="24:25">
      <c r="X19787" s="19"/>
      <c r="Y19787" s="20"/>
    </row>
    <row r="19788" spans="24:25">
      <c r="X19788" s="19"/>
      <c r="Y19788" s="20"/>
    </row>
    <row r="19789" spans="24:25">
      <c r="X19789" s="19"/>
      <c r="Y19789" s="20"/>
    </row>
    <row r="19790" spans="24:25">
      <c r="X19790" s="19"/>
      <c r="Y19790" s="20"/>
    </row>
    <row r="19791" spans="24:25">
      <c r="X19791" s="19"/>
      <c r="Y19791" s="20"/>
    </row>
    <row r="19792" spans="24:25">
      <c r="X19792" s="19"/>
      <c r="Y19792" s="20"/>
    </row>
    <row r="19793" spans="24:25">
      <c r="X19793" s="19"/>
      <c r="Y19793" s="20"/>
    </row>
    <row r="19794" spans="24:25">
      <c r="X19794" s="19"/>
      <c r="Y19794" s="20"/>
    </row>
    <row r="19795" spans="24:25">
      <c r="X19795" s="19"/>
      <c r="Y19795" s="20"/>
    </row>
    <row r="19796" spans="24:25">
      <c r="X19796" s="19"/>
      <c r="Y19796" s="20"/>
    </row>
    <row r="19797" spans="24:25">
      <c r="X19797" s="19"/>
      <c r="Y19797" s="20"/>
    </row>
    <row r="19798" spans="24:25">
      <c r="X19798" s="19"/>
      <c r="Y19798" s="20"/>
    </row>
    <row r="19799" spans="24:25">
      <c r="X19799" s="19"/>
      <c r="Y19799" s="20"/>
    </row>
    <row r="19800" spans="24:25">
      <c r="X19800" s="19"/>
      <c r="Y19800" s="20"/>
    </row>
    <row r="19801" spans="24:25">
      <c r="X19801" s="19"/>
      <c r="Y19801" s="20"/>
    </row>
    <row r="19802" spans="24:25">
      <c r="X19802" s="19"/>
      <c r="Y19802" s="20"/>
    </row>
    <row r="19803" spans="24:25">
      <c r="X19803" s="19"/>
      <c r="Y19803" s="20"/>
    </row>
    <row r="19804" spans="24:25">
      <c r="X19804" s="19"/>
      <c r="Y19804" s="20"/>
    </row>
    <row r="19805" spans="24:25">
      <c r="X19805" s="19"/>
      <c r="Y19805" s="20"/>
    </row>
    <row r="19806" spans="24:25">
      <c r="X19806" s="19"/>
      <c r="Y19806" s="20"/>
    </row>
    <row r="19807" spans="24:25">
      <c r="X19807" s="19"/>
      <c r="Y19807" s="20"/>
    </row>
    <row r="19808" spans="24:25">
      <c r="X19808" s="19"/>
      <c r="Y19808" s="20"/>
    </row>
    <row r="19809" spans="24:25">
      <c r="X19809" s="19"/>
      <c r="Y19809" s="20"/>
    </row>
    <row r="19810" spans="24:25">
      <c r="X19810" s="19"/>
      <c r="Y19810" s="20"/>
    </row>
    <row r="19811" spans="24:25">
      <c r="X19811" s="19"/>
      <c r="Y19811" s="20"/>
    </row>
    <row r="19812" spans="24:25">
      <c r="X19812" s="19"/>
      <c r="Y19812" s="20"/>
    </row>
    <row r="19813" spans="24:25">
      <c r="X19813" s="19"/>
      <c r="Y19813" s="20"/>
    </row>
    <row r="19814" spans="24:25">
      <c r="X19814" s="19"/>
      <c r="Y19814" s="20"/>
    </row>
    <row r="19815" spans="24:25">
      <c r="X19815" s="19"/>
      <c r="Y19815" s="20"/>
    </row>
    <row r="19816" spans="24:25">
      <c r="X19816" s="19"/>
      <c r="Y19816" s="20"/>
    </row>
    <row r="19817" spans="24:25">
      <c r="X19817" s="19"/>
      <c r="Y19817" s="20"/>
    </row>
    <row r="19818" spans="24:25">
      <c r="X19818" s="19"/>
      <c r="Y19818" s="20"/>
    </row>
    <row r="19819" spans="24:25">
      <c r="X19819" s="19"/>
      <c r="Y19819" s="20"/>
    </row>
    <row r="19820" spans="24:25">
      <c r="X19820" s="19"/>
      <c r="Y19820" s="20"/>
    </row>
    <row r="19821" spans="24:25">
      <c r="X19821" s="19"/>
      <c r="Y19821" s="20"/>
    </row>
    <row r="19822" spans="24:25">
      <c r="X19822" s="19"/>
      <c r="Y19822" s="20"/>
    </row>
    <row r="19823" spans="24:25">
      <c r="X19823" s="19"/>
      <c r="Y19823" s="20"/>
    </row>
    <row r="19824" spans="24:25">
      <c r="X19824" s="19"/>
      <c r="Y19824" s="20"/>
    </row>
    <row r="19825" spans="24:25">
      <c r="X19825" s="19"/>
      <c r="Y19825" s="20"/>
    </row>
    <row r="19826" spans="24:25">
      <c r="X19826" s="19"/>
      <c r="Y19826" s="20"/>
    </row>
    <row r="19827" spans="24:25">
      <c r="X19827" s="19"/>
      <c r="Y19827" s="20"/>
    </row>
    <row r="19828" spans="24:25">
      <c r="X19828" s="19"/>
      <c r="Y19828" s="20"/>
    </row>
    <row r="19829" spans="24:25">
      <c r="X19829" s="19"/>
      <c r="Y19829" s="20"/>
    </row>
    <row r="19830" spans="24:25">
      <c r="X19830" s="19"/>
      <c r="Y19830" s="20"/>
    </row>
    <row r="19831" spans="24:25">
      <c r="X19831" s="19"/>
      <c r="Y19831" s="20"/>
    </row>
    <row r="19832" spans="24:25">
      <c r="X19832" s="19"/>
      <c r="Y19832" s="20"/>
    </row>
    <row r="19833" spans="24:25">
      <c r="X19833" s="19"/>
      <c r="Y19833" s="20"/>
    </row>
    <row r="19834" spans="24:25">
      <c r="X19834" s="19"/>
      <c r="Y19834" s="20"/>
    </row>
    <row r="19835" spans="24:25">
      <c r="X19835" s="19"/>
      <c r="Y19835" s="20"/>
    </row>
    <row r="19836" spans="24:25">
      <c r="X19836" s="19"/>
      <c r="Y19836" s="20"/>
    </row>
    <row r="19837" spans="24:25">
      <c r="X19837" s="19"/>
      <c r="Y19837" s="20"/>
    </row>
    <row r="19838" spans="24:25">
      <c r="X19838" s="19"/>
      <c r="Y19838" s="20"/>
    </row>
    <row r="19839" spans="24:25">
      <c r="X19839" s="19"/>
      <c r="Y19839" s="20"/>
    </row>
    <row r="19840" spans="24:25">
      <c r="X19840" s="19"/>
      <c r="Y19840" s="20"/>
    </row>
    <row r="19841" spans="24:25">
      <c r="X19841" s="19"/>
      <c r="Y19841" s="20"/>
    </row>
    <row r="19842" spans="24:25">
      <c r="X19842" s="19"/>
      <c r="Y19842" s="20"/>
    </row>
    <row r="19843" spans="24:25">
      <c r="X19843" s="19"/>
      <c r="Y19843" s="20"/>
    </row>
    <row r="19844" spans="24:25">
      <c r="X19844" s="19"/>
      <c r="Y19844" s="20"/>
    </row>
    <row r="19845" spans="24:25">
      <c r="X19845" s="19"/>
      <c r="Y19845" s="20"/>
    </row>
    <row r="19846" spans="24:25">
      <c r="X19846" s="19"/>
      <c r="Y19846" s="20"/>
    </row>
    <row r="19847" spans="24:25">
      <c r="X19847" s="19"/>
      <c r="Y19847" s="20"/>
    </row>
    <row r="19848" spans="24:25">
      <c r="X19848" s="19"/>
      <c r="Y19848" s="20"/>
    </row>
    <row r="19849" spans="24:25">
      <c r="X19849" s="19"/>
      <c r="Y19849" s="20"/>
    </row>
    <row r="19850" spans="24:25">
      <c r="X19850" s="19"/>
      <c r="Y19850" s="20"/>
    </row>
    <row r="19851" spans="24:25">
      <c r="X19851" s="19"/>
      <c r="Y19851" s="20"/>
    </row>
    <row r="19852" spans="24:25">
      <c r="X19852" s="19"/>
      <c r="Y19852" s="20"/>
    </row>
    <row r="19853" spans="24:25">
      <c r="X19853" s="19"/>
      <c r="Y19853" s="20"/>
    </row>
    <row r="19854" spans="24:25">
      <c r="X19854" s="19"/>
      <c r="Y19854" s="20"/>
    </row>
    <row r="19855" spans="24:25">
      <c r="X19855" s="19"/>
      <c r="Y19855" s="20"/>
    </row>
    <row r="19856" spans="24:25">
      <c r="X19856" s="19"/>
      <c r="Y19856" s="20"/>
    </row>
    <row r="19857" spans="24:25">
      <c r="X19857" s="19"/>
      <c r="Y19857" s="20"/>
    </row>
    <row r="19858" spans="24:25">
      <c r="X19858" s="19"/>
      <c r="Y19858" s="20"/>
    </row>
    <row r="19859" spans="24:25">
      <c r="X19859" s="19"/>
      <c r="Y19859" s="20"/>
    </row>
    <row r="19860" spans="24:25">
      <c r="X19860" s="19"/>
      <c r="Y19860" s="20"/>
    </row>
    <row r="19861" spans="24:25">
      <c r="X19861" s="19"/>
      <c r="Y19861" s="20"/>
    </row>
    <row r="19862" spans="24:25">
      <c r="X19862" s="19"/>
      <c r="Y19862" s="20"/>
    </row>
    <row r="19863" spans="24:25">
      <c r="X19863" s="19"/>
      <c r="Y19863" s="20"/>
    </row>
    <row r="19864" spans="24:25">
      <c r="X19864" s="19"/>
      <c r="Y19864" s="20"/>
    </row>
    <row r="19865" spans="24:25">
      <c r="X19865" s="19"/>
      <c r="Y19865" s="20"/>
    </row>
    <row r="19866" spans="24:25">
      <c r="X19866" s="19"/>
      <c r="Y19866" s="20"/>
    </row>
    <row r="19867" spans="24:25">
      <c r="X19867" s="19"/>
      <c r="Y19867" s="20"/>
    </row>
    <row r="19868" spans="24:25">
      <c r="X19868" s="19"/>
      <c r="Y19868" s="20"/>
    </row>
    <row r="19869" spans="24:25">
      <c r="X19869" s="19"/>
      <c r="Y19869" s="20"/>
    </row>
    <row r="19870" spans="24:25">
      <c r="X19870" s="19"/>
      <c r="Y19870" s="20"/>
    </row>
    <row r="19871" spans="24:25">
      <c r="X19871" s="19"/>
      <c r="Y19871" s="20"/>
    </row>
    <row r="19872" spans="24:25">
      <c r="X19872" s="19"/>
      <c r="Y19872" s="20"/>
    </row>
    <row r="19873" spans="24:25">
      <c r="X19873" s="19"/>
      <c r="Y19873" s="20"/>
    </row>
    <row r="19874" spans="24:25">
      <c r="X19874" s="19"/>
      <c r="Y19874" s="20"/>
    </row>
    <row r="19875" spans="24:25">
      <c r="X19875" s="19"/>
      <c r="Y19875" s="20"/>
    </row>
    <row r="19876" spans="24:25">
      <c r="X19876" s="19"/>
      <c r="Y19876" s="20"/>
    </row>
    <row r="19877" spans="24:25">
      <c r="X19877" s="19"/>
      <c r="Y19877" s="20"/>
    </row>
    <row r="19878" spans="24:25">
      <c r="X19878" s="19"/>
      <c r="Y19878" s="20"/>
    </row>
    <row r="19879" spans="24:25">
      <c r="X19879" s="19"/>
      <c r="Y19879" s="20"/>
    </row>
    <row r="19880" spans="24:25">
      <c r="X19880" s="19"/>
      <c r="Y19880" s="20"/>
    </row>
    <row r="19881" spans="24:25">
      <c r="X19881" s="19"/>
      <c r="Y19881" s="20"/>
    </row>
    <row r="19882" spans="24:25">
      <c r="X19882" s="19"/>
      <c r="Y19882" s="20"/>
    </row>
    <row r="19883" spans="24:25">
      <c r="X19883" s="19"/>
      <c r="Y19883" s="20"/>
    </row>
    <row r="19884" spans="24:25">
      <c r="X19884" s="19"/>
      <c r="Y19884" s="20"/>
    </row>
    <row r="19885" spans="24:25">
      <c r="X19885" s="19"/>
      <c r="Y19885" s="20"/>
    </row>
    <row r="19886" spans="24:25">
      <c r="X19886" s="19"/>
      <c r="Y19886" s="20"/>
    </row>
    <row r="19887" spans="24:25">
      <c r="X19887" s="19"/>
      <c r="Y19887" s="20"/>
    </row>
    <row r="19888" spans="24:25">
      <c r="X19888" s="19"/>
      <c r="Y19888" s="20"/>
    </row>
    <row r="19889" spans="24:25">
      <c r="X19889" s="19"/>
      <c r="Y19889" s="20"/>
    </row>
    <row r="19890" spans="24:25">
      <c r="X19890" s="19"/>
      <c r="Y19890" s="20"/>
    </row>
    <row r="19891" spans="24:25">
      <c r="X19891" s="19"/>
      <c r="Y19891" s="20"/>
    </row>
    <row r="19892" spans="24:25">
      <c r="X19892" s="19"/>
      <c r="Y19892" s="20"/>
    </row>
    <row r="19893" spans="24:25">
      <c r="X19893" s="19"/>
      <c r="Y19893" s="20"/>
    </row>
    <row r="19894" spans="24:25">
      <c r="X19894" s="19"/>
      <c r="Y19894" s="20"/>
    </row>
    <row r="19895" spans="24:25">
      <c r="X19895" s="19"/>
      <c r="Y19895" s="20"/>
    </row>
    <row r="19896" spans="24:25">
      <c r="X19896" s="19"/>
      <c r="Y19896" s="20"/>
    </row>
    <row r="19897" spans="24:25">
      <c r="X19897" s="19"/>
      <c r="Y19897" s="20"/>
    </row>
    <row r="19898" spans="24:25">
      <c r="X19898" s="19"/>
      <c r="Y19898" s="20"/>
    </row>
    <row r="19899" spans="24:25">
      <c r="X19899" s="19"/>
      <c r="Y19899" s="20"/>
    </row>
    <row r="19900" spans="24:25">
      <c r="X19900" s="19"/>
      <c r="Y19900" s="20"/>
    </row>
    <row r="19901" spans="24:25">
      <c r="X19901" s="19"/>
      <c r="Y19901" s="20"/>
    </row>
    <row r="19902" spans="24:25">
      <c r="X19902" s="19"/>
      <c r="Y19902" s="20"/>
    </row>
    <row r="19903" spans="24:25">
      <c r="X19903" s="19"/>
      <c r="Y19903" s="20"/>
    </row>
    <row r="19904" spans="24:25">
      <c r="X19904" s="19"/>
      <c r="Y19904" s="20"/>
    </row>
    <row r="19905" spans="24:25">
      <c r="X19905" s="19"/>
      <c r="Y19905" s="20"/>
    </row>
    <row r="19906" spans="24:25">
      <c r="X19906" s="19"/>
      <c r="Y19906" s="20"/>
    </row>
    <row r="19907" spans="24:25">
      <c r="X19907" s="19"/>
      <c r="Y19907" s="20"/>
    </row>
    <row r="19908" spans="24:25">
      <c r="X19908" s="19"/>
      <c r="Y19908" s="20"/>
    </row>
    <row r="19909" spans="24:25">
      <c r="X19909" s="19"/>
      <c r="Y19909" s="20"/>
    </row>
    <row r="19910" spans="24:25">
      <c r="X19910" s="19"/>
      <c r="Y19910" s="20"/>
    </row>
    <row r="19911" spans="24:25">
      <c r="X19911" s="19"/>
      <c r="Y19911" s="20"/>
    </row>
    <row r="19912" spans="24:25">
      <c r="X19912" s="19"/>
      <c r="Y19912" s="20"/>
    </row>
    <row r="19913" spans="24:25">
      <c r="X19913" s="19"/>
      <c r="Y19913" s="20"/>
    </row>
    <row r="19914" spans="24:25">
      <c r="X19914" s="19"/>
      <c r="Y19914" s="20"/>
    </row>
    <row r="19915" spans="24:25">
      <c r="X19915" s="19"/>
      <c r="Y19915" s="20"/>
    </row>
    <row r="19916" spans="24:25">
      <c r="X19916" s="19"/>
      <c r="Y19916" s="20"/>
    </row>
    <row r="19917" spans="24:25">
      <c r="X19917" s="19"/>
      <c r="Y19917" s="20"/>
    </row>
    <row r="19918" spans="24:25">
      <c r="X19918" s="19"/>
      <c r="Y19918" s="20"/>
    </row>
    <row r="19919" spans="24:25">
      <c r="X19919" s="19"/>
      <c r="Y19919" s="20"/>
    </row>
    <row r="19920" spans="24:25">
      <c r="X19920" s="19"/>
      <c r="Y19920" s="20"/>
    </row>
    <row r="19921" spans="24:25">
      <c r="X19921" s="19"/>
      <c r="Y19921" s="20"/>
    </row>
    <row r="19922" spans="24:25">
      <c r="X19922" s="19"/>
      <c r="Y19922" s="20"/>
    </row>
    <row r="19923" spans="24:25">
      <c r="X19923" s="19"/>
      <c r="Y19923" s="20"/>
    </row>
    <row r="19924" spans="24:25">
      <c r="X19924" s="19"/>
      <c r="Y19924" s="20"/>
    </row>
    <row r="19925" spans="24:25">
      <c r="X19925" s="19"/>
      <c r="Y19925" s="20"/>
    </row>
    <row r="19926" spans="24:25">
      <c r="X19926" s="19"/>
      <c r="Y19926" s="20"/>
    </row>
    <row r="19927" spans="24:25">
      <c r="X19927" s="19"/>
      <c r="Y19927" s="20"/>
    </row>
    <row r="19928" spans="24:25">
      <c r="X19928" s="19"/>
      <c r="Y19928" s="20"/>
    </row>
    <row r="19929" spans="24:25">
      <c r="X19929" s="19"/>
      <c r="Y19929" s="20"/>
    </row>
    <row r="19930" spans="24:25">
      <c r="X19930" s="19"/>
      <c r="Y19930" s="20"/>
    </row>
    <row r="19931" spans="24:25">
      <c r="X19931" s="19"/>
      <c r="Y19931" s="20"/>
    </row>
    <row r="19932" spans="24:25">
      <c r="X19932" s="19"/>
      <c r="Y19932" s="20"/>
    </row>
    <row r="19933" spans="24:25">
      <c r="X19933" s="19"/>
      <c r="Y19933" s="20"/>
    </row>
    <row r="19934" spans="24:25">
      <c r="X19934" s="19"/>
      <c r="Y19934" s="20"/>
    </row>
    <row r="19935" spans="24:25">
      <c r="X19935" s="19"/>
      <c r="Y19935" s="20"/>
    </row>
    <row r="19936" spans="24:25">
      <c r="X19936" s="19"/>
      <c r="Y19936" s="20"/>
    </row>
    <row r="19937" spans="24:25">
      <c r="X19937" s="19"/>
      <c r="Y19937" s="20"/>
    </row>
    <row r="19938" spans="24:25">
      <c r="X19938" s="19"/>
      <c r="Y19938" s="20"/>
    </row>
    <row r="19939" spans="24:25">
      <c r="X19939" s="19"/>
      <c r="Y19939" s="20"/>
    </row>
    <row r="19940" spans="24:25">
      <c r="X19940" s="19"/>
      <c r="Y19940" s="20"/>
    </row>
    <row r="19941" spans="24:25">
      <c r="X19941" s="19"/>
      <c r="Y19941" s="20"/>
    </row>
    <row r="19942" spans="24:25">
      <c r="X19942" s="19"/>
      <c r="Y19942" s="20"/>
    </row>
    <row r="19943" spans="24:25">
      <c r="X19943" s="19"/>
      <c r="Y19943" s="20"/>
    </row>
    <row r="19944" spans="24:25">
      <c r="X19944" s="19"/>
      <c r="Y19944" s="20"/>
    </row>
    <row r="19945" spans="24:25">
      <c r="X19945" s="19"/>
      <c r="Y19945" s="20"/>
    </row>
    <row r="19946" spans="24:25">
      <c r="X19946" s="19"/>
      <c r="Y19946" s="20"/>
    </row>
    <row r="19947" spans="24:25">
      <c r="X19947" s="19"/>
      <c r="Y19947" s="20"/>
    </row>
    <row r="19948" spans="24:25">
      <c r="X19948" s="19"/>
      <c r="Y19948" s="20"/>
    </row>
    <row r="19949" spans="24:25">
      <c r="X19949" s="19"/>
      <c r="Y19949" s="20"/>
    </row>
    <row r="19950" spans="24:25">
      <c r="X19950" s="19"/>
      <c r="Y19950" s="20"/>
    </row>
    <row r="19951" spans="24:25">
      <c r="X19951" s="19"/>
      <c r="Y19951" s="20"/>
    </row>
    <row r="19952" spans="24:25">
      <c r="X19952" s="19"/>
      <c r="Y19952" s="20"/>
    </row>
    <row r="19953" spans="24:25">
      <c r="X19953" s="19"/>
      <c r="Y19953" s="20"/>
    </row>
    <row r="19954" spans="24:25">
      <c r="X19954" s="19"/>
      <c r="Y19954" s="20"/>
    </row>
    <row r="19955" spans="24:25">
      <c r="X19955" s="19"/>
      <c r="Y19955" s="20"/>
    </row>
    <row r="19956" spans="24:25">
      <c r="X19956" s="19"/>
      <c r="Y19956" s="20"/>
    </row>
    <row r="19957" spans="24:25">
      <c r="X19957" s="19"/>
      <c r="Y19957" s="20"/>
    </row>
    <row r="19958" spans="24:25">
      <c r="X19958" s="19"/>
      <c r="Y19958" s="20"/>
    </row>
    <row r="19959" spans="24:25">
      <c r="X19959" s="19"/>
      <c r="Y19959" s="20"/>
    </row>
    <row r="19960" spans="24:25">
      <c r="X19960" s="19"/>
      <c r="Y19960" s="20"/>
    </row>
    <row r="19961" spans="24:25">
      <c r="X19961" s="19"/>
      <c r="Y19961" s="20"/>
    </row>
    <row r="19962" spans="24:25">
      <c r="X19962" s="19"/>
      <c r="Y19962" s="20"/>
    </row>
    <row r="19963" spans="24:25">
      <c r="X19963" s="19"/>
      <c r="Y19963" s="20"/>
    </row>
    <row r="19964" spans="24:25">
      <c r="X19964" s="19"/>
      <c r="Y19964" s="20"/>
    </row>
    <row r="19965" spans="24:25">
      <c r="X19965" s="19"/>
      <c r="Y19965" s="20"/>
    </row>
    <row r="19966" spans="24:25">
      <c r="X19966" s="19"/>
      <c r="Y19966" s="20"/>
    </row>
    <row r="19967" spans="24:25">
      <c r="X19967" s="19"/>
      <c r="Y19967" s="20"/>
    </row>
    <row r="19968" spans="24:25">
      <c r="X19968" s="19"/>
      <c r="Y19968" s="20"/>
    </row>
    <row r="19969" spans="24:25">
      <c r="X19969" s="19"/>
      <c r="Y19969" s="20"/>
    </row>
    <row r="19970" spans="24:25">
      <c r="X19970" s="19"/>
      <c r="Y19970" s="20"/>
    </row>
    <row r="19971" spans="24:25">
      <c r="X19971" s="19"/>
      <c r="Y19971" s="20"/>
    </row>
    <row r="19972" spans="24:25">
      <c r="X19972" s="19"/>
      <c r="Y19972" s="20"/>
    </row>
    <row r="19973" spans="24:25">
      <c r="X19973" s="19"/>
      <c r="Y19973" s="20"/>
    </row>
    <row r="19974" spans="24:25">
      <c r="X19974" s="19"/>
      <c r="Y19974" s="20"/>
    </row>
    <row r="19975" spans="24:25">
      <c r="X19975" s="19"/>
      <c r="Y19975" s="20"/>
    </row>
    <row r="19976" spans="24:25">
      <c r="X19976" s="19"/>
      <c r="Y19976" s="20"/>
    </row>
    <row r="19977" spans="24:25">
      <c r="X19977" s="19"/>
      <c r="Y19977" s="20"/>
    </row>
    <row r="19978" spans="24:25">
      <c r="X19978" s="19"/>
      <c r="Y19978" s="20"/>
    </row>
    <row r="19979" spans="24:25">
      <c r="X19979" s="19"/>
      <c r="Y19979" s="20"/>
    </row>
    <row r="19980" spans="24:25">
      <c r="X19980" s="19"/>
      <c r="Y19980" s="20"/>
    </row>
    <row r="19981" spans="24:25">
      <c r="X19981" s="19"/>
      <c r="Y19981" s="20"/>
    </row>
    <row r="19982" spans="24:25">
      <c r="X19982" s="19"/>
      <c r="Y19982" s="20"/>
    </row>
    <row r="19983" spans="24:25">
      <c r="X19983" s="19"/>
      <c r="Y19983" s="20"/>
    </row>
    <row r="19984" spans="24:25">
      <c r="X19984" s="19"/>
      <c r="Y19984" s="20"/>
    </row>
    <row r="19985" spans="24:25">
      <c r="X19985" s="19"/>
      <c r="Y19985" s="20"/>
    </row>
    <row r="19986" spans="24:25">
      <c r="X19986" s="19"/>
      <c r="Y19986" s="20"/>
    </row>
    <row r="19987" spans="24:25">
      <c r="X19987" s="19"/>
      <c r="Y19987" s="20"/>
    </row>
    <row r="19988" spans="24:25">
      <c r="X19988" s="19"/>
      <c r="Y19988" s="20"/>
    </row>
    <row r="19989" spans="24:25">
      <c r="X19989" s="19"/>
      <c r="Y19989" s="20"/>
    </row>
    <row r="19990" spans="24:25">
      <c r="X19990" s="19"/>
      <c r="Y19990" s="20"/>
    </row>
    <row r="19991" spans="24:25">
      <c r="X19991" s="19"/>
      <c r="Y19991" s="20"/>
    </row>
    <row r="19992" spans="24:25">
      <c r="X19992" s="19"/>
      <c r="Y19992" s="20"/>
    </row>
    <row r="19993" spans="24:25">
      <c r="X19993" s="19"/>
      <c r="Y19993" s="20"/>
    </row>
    <row r="19994" spans="24:25">
      <c r="X19994" s="19"/>
      <c r="Y19994" s="20"/>
    </row>
    <row r="19995" spans="24:25">
      <c r="X19995" s="19"/>
      <c r="Y19995" s="20"/>
    </row>
    <row r="19996" spans="24:25">
      <c r="X19996" s="19"/>
      <c r="Y19996" s="20"/>
    </row>
    <row r="19997" spans="24:25">
      <c r="X19997" s="19"/>
      <c r="Y19997" s="20"/>
    </row>
    <row r="19998" spans="24:25">
      <c r="X19998" s="19"/>
      <c r="Y19998" s="20"/>
    </row>
    <row r="19999" spans="24:25">
      <c r="X19999" s="19"/>
      <c r="Y19999" s="20"/>
    </row>
    <row r="20000" spans="24:25">
      <c r="X20000" s="19"/>
      <c r="Y20000" s="20"/>
    </row>
    <row r="20001" spans="24:25">
      <c r="X20001" s="19"/>
      <c r="Y20001" s="20"/>
    </row>
    <row r="20002" spans="24:25">
      <c r="X20002" s="19"/>
      <c r="Y20002" s="20"/>
    </row>
    <row r="20003" spans="24:25">
      <c r="X20003" s="19"/>
      <c r="Y20003" s="20"/>
    </row>
    <row r="20004" spans="24:25">
      <c r="X20004" s="19"/>
      <c r="Y20004" s="20"/>
    </row>
    <row r="20005" spans="24:25">
      <c r="X20005" s="19"/>
      <c r="Y20005" s="20"/>
    </row>
    <row r="20006" spans="24:25">
      <c r="X20006" s="19"/>
      <c r="Y20006" s="20"/>
    </row>
    <row r="20007" spans="24:25">
      <c r="X20007" s="19"/>
      <c r="Y20007" s="20"/>
    </row>
    <row r="20008" spans="24:25">
      <c r="X20008" s="19"/>
      <c r="Y20008" s="20"/>
    </row>
    <row r="20009" spans="24:25">
      <c r="X20009" s="19"/>
      <c r="Y20009" s="20"/>
    </row>
    <row r="20010" spans="24:25">
      <c r="X20010" s="19"/>
      <c r="Y20010" s="20"/>
    </row>
    <row r="20011" spans="24:25">
      <c r="X20011" s="19"/>
      <c r="Y20011" s="20"/>
    </row>
    <row r="20012" spans="24:25">
      <c r="X20012" s="19"/>
      <c r="Y20012" s="20"/>
    </row>
    <row r="20013" spans="24:25">
      <c r="X20013" s="19"/>
      <c r="Y20013" s="20"/>
    </row>
    <row r="20014" spans="24:25">
      <c r="X20014" s="19"/>
      <c r="Y20014" s="20"/>
    </row>
    <row r="20015" spans="24:25">
      <c r="X20015" s="19"/>
      <c r="Y20015" s="20"/>
    </row>
    <row r="20016" spans="24:25">
      <c r="X20016" s="19"/>
      <c r="Y20016" s="20"/>
    </row>
    <row r="20017" spans="24:25">
      <c r="X20017" s="19"/>
      <c r="Y20017" s="20"/>
    </row>
    <row r="20018" spans="24:25">
      <c r="X20018" s="19"/>
      <c r="Y20018" s="20"/>
    </row>
    <row r="20019" spans="24:25">
      <c r="X20019" s="19"/>
      <c r="Y20019" s="20"/>
    </row>
    <row r="20020" spans="24:25">
      <c r="X20020" s="19"/>
      <c r="Y20020" s="20"/>
    </row>
    <row r="20021" spans="24:25">
      <c r="X20021" s="19"/>
      <c r="Y20021" s="20"/>
    </row>
    <row r="20022" spans="24:25">
      <c r="X20022" s="19"/>
      <c r="Y20022" s="20"/>
    </row>
    <row r="20023" spans="24:25">
      <c r="X20023" s="19"/>
      <c r="Y20023" s="20"/>
    </row>
    <row r="20024" spans="24:25">
      <c r="X20024" s="19"/>
      <c r="Y20024" s="20"/>
    </row>
    <row r="20025" spans="24:25">
      <c r="X20025" s="19"/>
      <c r="Y20025" s="20"/>
    </row>
    <row r="20026" spans="24:25">
      <c r="X20026" s="19"/>
      <c r="Y20026" s="20"/>
    </row>
    <row r="20027" spans="24:25">
      <c r="X20027" s="19"/>
      <c r="Y20027" s="20"/>
    </row>
    <row r="20028" spans="24:25">
      <c r="X20028" s="19"/>
      <c r="Y20028" s="20"/>
    </row>
    <row r="20029" spans="24:25">
      <c r="X20029" s="19"/>
      <c r="Y20029" s="20"/>
    </row>
    <row r="20030" spans="24:25">
      <c r="X20030" s="19"/>
      <c r="Y20030" s="20"/>
    </row>
    <row r="20031" spans="24:25">
      <c r="X20031" s="19"/>
      <c r="Y20031" s="20"/>
    </row>
    <row r="20032" spans="24:25">
      <c r="X20032" s="19"/>
      <c r="Y20032" s="20"/>
    </row>
    <row r="20033" spans="24:25">
      <c r="X20033" s="19"/>
      <c r="Y20033" s="20"/>
    </row>
    <row r="20034" spans="24:25">
      <c r="X20034" s="19"/>
      <c r="Y20034" s="20"/>
    </row>
    <row r="20035" spans="24:25">
      <c r="X20035" s="19"/>
      <c r="Y20035" s="20"/>
    </row>
    <row r="20036" spans="24:25">
      <c r="X20036" s="19"/>
      <c r="Y20036" s="20"/>
    </row>
    <row r="20037" spans="24:25">
      <c r="X20037" s="19"/>
      <c r="Y20037" s="20"/>
    </row>
    <row r="20038" spans="24:25">
      <c r="X20038" s="19"/>
      <c r="Y20038" s="20"/>
    </row>
    <row r="20039" spans="24:25">
      <c r="X20039" s="19"/>
      <c r="Y20039" s="20"/>
    </row>
    <row r="20040" spans="24:25">
      <c r="X20040" s="19"/>
      <c r="Y20040" s="20"/>
    </row>
    <row r="20041" spans="24:25">
      <c r="X20041" s="19"/>
      <c r="Y20041" s="20"/>
    </row>
    <row r="20042" spans="24:25">
      <c r="X20042" s="19"/>
      <c r="Y20042" s="20"/>
    </row>
    <row r="20043" spans="24:25">
      <c r="X20043" s="19"/>
      <c r="Y20043" s="20"/>
    </row>
    <row r="20044" spans="24:25">
      <c r="X20044" s="19"/>
      <c r="Y20044" s="20"/>
    </row>
    <row r="20045" spans="24:25">
      <c r="X20045" s="19"/>
      <c r="Y20045" s="20"/>
    </row>
    <row r="20046" spans="24:25">
      <c r="X20046" s="19"/>
      <c r="Y20046" s="20"/>
    </row>
    <row r="20047" spans="24:25">
      <c r="X20047" s="19"/>
      <c r="Y20047" s="20"/>
    </row>
    <row r="20048" spans="24:25">
      <c r="X20048" s="19"/>
      <c r="Y20048" s="20"/>
    </row>
    <row r="20049" spans="24:25">
      <c r="X20049" s="19"/>
      <c r="Y20049" s="20"/>
    </row>
    <row r="20050" spans="24:25">
      <c r="X20050" s="19"/>
      <c r="Y20050" s="20"/>
    </row>
    <row r="20051" spans="24:25">
      <c r="X20051" s="19"/>
      <c r="Y20051" s="20"/>
    </row>
    <row r="20052" spans="24:25">
      <c r="X20052" s="19"/>
      <c r="Y20052" s="20"/>
    </row>
    <row r="20053" spans="24:25">
      <c r="X20053" s="19"/>
      <c r="Y20053" s="20"/>
    </row>
    <row r="20054" spans="24:25">
      <c r="X20054" s="19"/>
      <c r="Y20054" s="20"/>
    </row>
    <row r="20055" spans="24:25">
      <c r="X20055" s="19"/>
      <c r="Y20055" s="20"/>
    </row>
    <row r="20056" spans="24:25">
      <c r="X20056" s="19"/>
      <c r="Y20056" s="20"/>
    </row>
    <row r="20057" spans="24:25">
      <c r="X20057" s="19"/>
      <c r="Y20057" s="20"/>
    </row>
    <row r="20058" spans="24:25">
      <c r="X20058" s="19"/>
      <c r="Y20058" s="20"/>
    </row>
    <row r="20059" spans="24:25">
      <c r="X20059" s="19"/>
      <c r="Y20059" s="20"/>
    </row>
    <row r="20060" spans="24:25">
      <c r="X20060" s="19"/>
      <c r="Y20060" s="20"/>
    </row>
    <row r="20061" spans="24:25">
      <c r="X20061" s="19"/>
      <c r="Y20061" s="20"/>
    </row>
    <row r="20062" spans="24:25">
      <c r="X20062" s="19"/>
      <c r="Y20062" s="20"/>
    </row>
    <row r="20063" spans="24:25">
      <c r="X20063" s="19"/>
      <c r="Y20063" s="20"/>
    </row>
    <row r="20064" spans="24:25">
      <c r="X20064" s="19"/>
      <c r="Y20064" s="20"/>
    </row>
    <row r="20065" spans="24:25">
      <c r="X20065" s="19"/>
      <c r="Y20065" s="20"/>
    </row>
    <row r="20066" spans="24:25">
      <c r="X20066" s="19"/>
      <c r="Y20066" s="20"/>
    </row>
    <row r="20067" spans="24:25">
      <c r="X20067" s="19"/>
      <c r="Y20067" s="20"/>
    </row>
    <row r="20068" spans="24:25">
      <c r="X20068" s="19"/>
      <c r="Y20068" s="20"/>
    </row>
    <row r="20069" spans="24:25">
      <c r="X20069" s="19"/>
      <c r="Y20069" s="20"/>
    </row>
    <row r="20070" spans="24:25">
      <c r="X20070" s="19"/>
      <c r="Y20070" s="20"/>
    </row>
    <row r="20071" spans="24:25">
      <c r="X20071" s="19"/>
      <c r="Y20071" s="20"/>
    </row>
    <row r="20072" spans="24:25">
      <c r="X20072" s="19"/>
      <c r="Y20072" s="20"/>
    </row>
    <row r="20073" spans="24:25">
      <c r="X20073" s="19"/>
      <c r="Y20073" s="20"/>
    </row>
    <row r="20074" spans="24:25">
      <c r="X20074" s="19"/>
      <c r="Y20074" s="20"/>
    </row>
    <row r="20075" spans="24:25">
      <c r="X20075" s="19"/>
      <c r="Y20075" s="20"/>
    </row>
    <row r="20076" spans="24:25">
      <c r="X20076" s="19"/>
      <c r="Y20076" s="20"/>
    </row>
    <row r="20077" spans="24:25">
      <c r="X20077" s="19"/>
      <c r="Y20077" s="20"/>
    </row>
    <row r="20078" spans="24:25">
      <c r="X20078" s="19"/>
      <c r="Y20078" s="20"/>
    </row>
    <row r="20079" spans="24:25">
      <c r="X20079" s="19"/>
      <c r="Y20079" s="20"/>
    </row>
    <row r="20080" spans="24:25">
      <c r="X20080" s="19"/>
      <c r="Y20080" s="20"/>
    </row>
    <row r="20081" spans="24:25">
      <c r="X20081" s="19"/>
      <c r="Y20081" s="20"/>
    </row>
    <row r="20082" spans="24:25">
      <c r="X20082" s="19"/>
      <c r="Y20082" s="20"/>
    </row>
    <row r="20083" spans="24:25">
      <c r="X20083" s="19"/>
      <c r="Y20083" s="20"/>
    </row>
    <row r="20084" spans="24:25">
      <c r="X20084" s="19"/>
      <c r="Y20084" s="20"/>
    </row>
    <row r="20085" spans="24:25">
      <c r="X20085" s="19"/>
      <c r="Y20085" s="20"/>
    </row>
    <row r="20086" spans="24:25">
      <c r="X20086" s="19"/>
      <c r="Y20086" s="20"/>
    </row>
    <row r="20087" spans="24:25">
      <c r="X20087" s="19"/>
      <c r="Y20087" s="20"/>
    </row>
    <row r="20088" spans="24:25">
      <c r="X20088" s="19"/>
      <c r="Y20088" s="20"/>
    </row>
    <row r="20089" spans="24:25">
      <c r="X20089" s="19"/>
      <c r="Y20089" s="20"/>
    </row>
    <row r="20090" spans="24:25">
      <c r="X20090" s="19"/>
      <c r="Y20090" s="20"/>
    </row>
    <row r="20091" spans="24:25">
      <c r="X20091" s="19"/>
      <c r="Y20091" s="20"/>
    </row>
    <row r="20092" spans="24:25">
      <c r="X20092" s="19"/>
      <c r="Y20092" s="20"/>
    </row>
    <row r="20093" spans="24:25">
      <c r="X20093" s="19"/>
      <c r="Y20093" s="20"/>
    </row>
    <row r="20094" spans="24:25">
      <c r="X20094" s="19"/>
      <c r="Y20094" s="20"/>
    </row>
    <row r="20095" spans="24:25">
      <c r="X20095" s="19"/>
      <c r="Y20095" s="20"/>
    </row>
    <row r="20096" spans="24:25">
      <c r="X20096" s="19"/>
      <c r="Y20096" s="20"/>
    </row>
    <row r="20097" spans="24:25">
      <c r="X20097" s="19"/>
      <c r="Y20097" s="20"/>
    </row>
    <row r="20098" spans="24:25">
      <c r="X20098" s="19"/>
      <c r="Y20098" s="20"/>
    </row>
    <row r="20099" spans="24:25">
      <c r="X20099" s="19"/>
      <c r="Y20099" s="20"/>
    </row>
    <row r="20100" spans="24:25">
      <c r="X20100" s="19"/>
      <c r="Y20100" s="20"/>
    </row>
    <row r="20101" spans="24:25">
      <c r="X20101" s="19"/>
      <c r="Y20101" s="20"/>
    </row>
    <row r="20102" spans="24:25">
      <c r="X20102" s="19"/>
      <c r="Y20102" s="20"/>
    </row>
    <row r="20103" spans="24:25">
      <c r="X20103" s="19"/>
      <c r="Y20103" s="20"/>
    </row>
    <row r="20104" spans="24:25">
      <c r="X20104" s="19"/>
      <c r="Y20104" s="20"/>
    </row>
    <row r="20105" spans="24:25">
      <c r="X20105" s="19"/>
      <c r="Y20105" s="20"/>
    </row>
    <row r="20106" spans="24:25">
      <c r="X20106" s="19"/>
      <c r="Y20106" s="20"/>
    </row>
    <row r="20107" spans="24:25">
      <c r="X20107" s="19"/>
      <c r="Y20107" s="20"/>
    </row>
    <row r="20108" spans="24:25">
      <c r="X20108" s="19"/>
      <c r="Y20108" s="20"/>
    </row>
    <row r="20109" spans="24:25">
      <c r="X20109" s="19"/>
      <c r="Y20109" s="20"/>
    </row>
    <row r="20110" spans="24:25">
      <c r="X20110" s="19"/>
      <c r="Y20110" s="20"/>
    </row>
    <row r="20111" spans="24:25">
      <c r="X20111" s="19"/>
      <c r="Y20111" s="20"/>
    </row>
    <row r="20112" spans="24:25">
      <c r="X20112" s="19"/>
      <c r="Y20112" s="20"/>
    </row>
    <row r="20113" spans="24:25">
      <c r="X20113" s="19"/>
      <c r="Y20113" s="20"/>
    </row>
    <row r="20114" spans="24:25">
      <c r="X20114" s="19"/>
      <c r="Y20114" s="20"/>
    </row>
    <row r="20115" spans="24:25">
      <c r="X20115" s="19"/>
      <c r="Y20115" s="20"/>
    </row>
    <row r="20116" spans="24:25">
      <c r="X20116" s="19"/>
      <c r="Y20116" s="20"/>
    </row>
    <row r="20117" spans="24:25">
      <c r="X20117" s="19"/>
      <c r="Y20117" s="20"/>
    </row>
    <row r="20118" spans="24:25">
      <c r="X20118" s="19"/>
      <c r="Y20118" s="20"/>
    </row>
    <row r="20119" spans="24:25">
      <c r="X20119" s="19"/>
      <c r="Y20119" s="20"/>
    </row>
    <row r="20120" spans="24:25">
      <c r="X20120" s="19"/>
      <c r="Y20120" s="20"/>
    </row>
    <row r="20121" spans="24:25">
      <c r="X20121" s="19"/>
      <c r="Y20121" s="20"/>
    </row>
    <row r="20122" spans="24:25">
      <c r="X20122" s="19"/>
      <c r="Y20122" s="20"/>
    </row>
    <row r="20123" spans="24:25">
      <c r="X20123" s="19"/>
      <c r="Y20123" s="20"/>
    </row>
    <row r="20124" spans="24:25">
      <c r="X20124" s="19"/>
      <c r="Y20124" s="20"/>
    </row>
    <row r="20125" spans="24:25">
      <c r="X20125" s="19"/>
      <c r="Y20125" s="20"/>
    </row>
    <row r="20126" spans="24:25">
      <c r="X20126" s="19"/>
      <c r="Y20126" s="20"/>
    </row>
    <row r="20127" spans="24:25">
      <c r="X20127" s="19"/>
      <c r="Y20127" s="20"/>
    </row>
    <row r="20128" spans="24:25">
      <c r="X20128" s="19"/>
      <c r="Y20128" s="20"/>
    </row>
    <row r="20129" spans="24:25">
      <c r="X20129" s="19"/>
      <c r="Y20129" s="20"/>
    </row>
    <row r="20130" spans="24:25">
      <c r="X20130" s="19"/>
      <c r="Y20130" s="20"/>
    </row>
    <row r="20131" spans="24:25">
      <c r="X20131" s="19"/>
      <c r="Y20131" s="20"/>
    </row>
    <row r="20132" spans="24:25">
      <c r="X20132" s="19"/>
      <c r="Y20132" s="20"/>
    </row>
    <row r="20133" spans="24:25">
      <c r="X20133" s="19"/>
      <c r="Y20133" s="20"/>
    </row>
    <row r="20134" spans="24:25">
      <c r="X20134" s="19"/>
      <c r="Y20134" s="20"/>
    </row>
    <row r="20135" spans="24:25">
      <c r="X20135" s="19"/>
      <c r="Y20135" s="20"/>
    </row>
    <row r="20136" spans="24:25">
      <c r="X20136" s="19"/>
      <c r="Y20136" s="20"/>
    </row>
    <row r="20137" spans="24:25">
      <c r="X20137" s="19"/>
      <c r="Y20137" s="20"/>
    </row>
    <row r="20138" spans="24:25">
      <c r="X20138" s="19"/>
      <c r="Y20138" s="20"/>
    </row>
    <row r="20139" spans="24:25">
      <c r="X20139" s="19"/>
      <c r="Y20139" s="20"/>
    </row>
    <row r="20140" spans="24:25">
      <c r="X20140" s="19"/>
      <c r="Y20140" s="20"/>
    </row>
    <row r="20141" spans="24:25">
      <c r="X20141" s="19"/>
      <c r="Y20141" s="20"/>
    </row>
    <row r="20142" spans="24:25">
      <c r="X20142" s="19"/>
      <c r="Y20142" s="20"/>
    </row>
    <row r="20143" spans="24:25">
      <c r="X20143" s="19"/>
      <c r="Y20143" s="20"/>
    </row>
    <row r="20144" spans="24:25">
      <c r="X20144" s="19"/>
      <c r="Y20144" s="20"/>
    </row>
    <row r="20145" spans="24:25">
      <c r="X20145" s="19"/>
      <c r="Y20145" s="20"/>
    </row>
    <row r="20146" spans="24:25">
      <c r="X20146" s="19"/>
      <c r="Y20146" s="20"/>
    </row>
    <row r="20147" spans="24:25">
      <c r="X20147" s="19"/>
      <c r="Y20147" s="20"/>
    </row>
    <row r="20148" spans="24:25">
      <c r="X20148" s="19"/>
      <c r="Y20148" s="20"/>
    </row>
    <row r="20149" spans="24:25">
      <c r="X20149" s="19"/>
      <c r="Y20149" s="20"/>
    </row>
    <row r="20150" spans="24:25">
      <c r="X20150" s="19"/>
      <c r="Y20150" s="20"/>
    </row>
    <row r="20151" spans="24:25">
      <c r="X20151" s="19"/>
      <c r="Y20151" s="20"/>
    </row>
    <row r="20152" spans="24:25">
      <c r="X20152" s="19"/>
      <c r="Y20152" s="20"/>
    </row>
    <row r="20153" spans="24:25">
      <c r="X20153" s="19"/>
      <c r="Y20153" s="20"/>
    </row>
    <row r="20154" spans="24:25">
      <c r="X20154" s="19"/>
      <c r="Y20154" s="20"/>
    </row>
    <row r="20155" spans="24:25">
      <c r="X20155" s="19"/>
      <c r="Y20155" s="20"/>
    </row>
    <row r="20156" spans="24:25">
      <c r="X20156" s="19"/>
      <c r="Y20156" s="20"/>
    </row>
    <row r="20157" spans="24:25">
      <c r="X20157" s="19"/>
      <c r="Y20157" s="20"/>
    </row>
    <row r="20158" spans="24:25">
      <c r="X20158" s="19"/>
      <c r="Y20158" s="20"/>
    </row>
    <row r="20159" spans="24:25">
      <c r="X20159" s="19"/>
      <c r="Y20159" s="20"/>
    </row>
    <row r="20160" spans="24:25">
      <c r="X20160" s="19"/>
      <c r="Y20160" s="20"/>
    </row>
    <row r="20161" spans="24:25">
      <c r="X20161" s="19"/>
      <c r="Y20161" s="20"/>
    </row>
    <row r="20162" spans="24:25">
      <c r="X20162" s="19"/>
      <c r="Y20162" s="20"/>
    </row>
    <row r="20163" spans="24:25">
      <c r="X20163" s="19"/>
      <c r="Y20163" s="20"/>
    </row>
    <row r="20164" spans="24:25">
      <c r="X20164" s="19"/>
      <c r="Y20164" s="20"/>
    </row>
    <row r="20165" spans="24:25">
      <c r="X20165" s="19"/>
      <c r="Y20165" s="20"/>
    </row>
    <row r="20166" spans="24:25">
      <c r="X20166" s="19"/>
      <c r="Y20166" s="20"/>
    </row>
    <row r="20167" spans="24:25">
      <c r="X20167" s="19"/>
      <c r="Y20167" s="20"/>
    </row>
    <row r="20168" spans="24:25">
      <c r="X20168" s="19"/>
      <c r="Y20168" s="20"/>
    </row>
    <row r="20169" spans="24:25">
      <c r="X20169" s="19"/>
      <c r="Y20169" s="20"/>
    </row>
    <row r="20170" spans="24:25">
      <c r="X20170" s="19"/>
      <c r="Y20170" s="20"/>
    </row>
    <row r="20171" spans="24:25">
      <c r="X20171" s="19"/>
      <c r="Y20171" s="20"/>
    </row>
    <row r="20172" spans="24:25">
      <c r="X20172" s="19"/>
      <c r="Y20172" s="20"/>
    </row>
    <row r="20173" spans="24:25">
      <c r="X20173" s="19"/>
      <c r="Y20173" s="20"/>
    </row>
    <row r="20174" spans="24:25">
      <c r="X20174" s="19"/>
      <c r="Y20174" s="20"/>
    </row>
    <row r="20175" spans="24:25">
      <c r="X20175" s="19"/>
      <c r="Y20175" s="20"/>
    </row>
    <row r="20176" spans="24:25">
      <c r="X20176" s="19"/>
      <c r="Y20176" s="20"/>
    </row>
    <row r="20177" spans="24:25">
      <c r="X20177" s="19"/>
      <c r="Y20177" s="20"/>
    </row>
    <row r="20178" spans="24:25">
      <c r="X20178" s="19"/>
      <c r="Y20178" s="20"/>
    </row>
    <row r="20179" spans="24:25">
      <c r="X20179" s="19"/>
      <c r="Y20179" s="20"/>
    </row>
    <row r="20180" spans="24:25">
      <c r="X20180" s="19"/>
      <c r="Y20180" s="20"/>
    </row>
    <row r="20181" spans="24:25">
      <c r="X20181" s="19"/>
      <c r="Y20181" s="20"/>
    </row>
    <row r="20182" spans="24:25">
      <c r="X20182" s="19"/>
      <c r="Y20182" s="20"/>
    </row>
    <row r="20183" spans="24:25">
      <c r="X20183" s="19"/>
      <c r="Y20183" s="20"/>
    </row>
    <row r="20184" spans="24:25">
      <c r="X20184" s="19"/>
      <c r="Y20184" s="20"/>
    </row>
    <row r="20185" spans="24:25">
      <c r="X20185" s="19"/>
      <c r="Y20185" s="20"/>
    </row>
    <row r="20186" spans="24:25">
      <c r="X20186" s="19"/>
      <c r="Y20186" s="20"/>
    </row>
    <row r="20187" spans="24:25">
      <c r="X20187" s="19"/>
      <c r="Y20187" s="20"/>
    </row>
    <row r="20188" spans="24:25">
      <c r="X20188" s="19"/>
      <c r="Y20188" s="20"/>
    </row>
    <row r="20189" spans="24:25">
      <c r="X20189" s="19"/>
      <c r="Y20189" s="20"/>
    </row>
    <row r="20190" spans="24:25">
      <c r="X20190" s="19"/>
      <c r="Y20190" s="20"/>
    </row>
    <row r="20191" spans="24:25">
      <c r="X20191" s="19"/>
      <c r="Y20191" s="20"/>
    </row>
    <row r="20192" spans="24:25">
      <c r="X20192" s="19"/>
      <c r="Y20192" s="20"/>
    </row>
    <row r="20193" spans="24:25">
      <c r="X20193" s="19"/>
      <c r="Y20193" s="20"/>
    </row>
    <row r="20194" spans="24:25">
      <c r="X20194" s="19"/>
      <c r="Y20194" s="20"/>
    </row>
    <row r="20195" spans="24:25">
      <c r="X20195" s="19"/>
      <c r="Y20195" s="20"/>
    </row>
    <row r="20196" spans="24:25">
      <c r="X20196" s="19"/>
      <c r="Y20196" s="20"/>
    </row>
    <row r="20197" spans="24:25">
      <c r="X20197" s="19"/>
      <c r="Y20197" s="20"/>
    </row>
    <row r="20198" spans="24:25">
      <c r="X20198" s="19"/>
      <c r="Y20198" s="20"/>
    </row>
    <row r="20199" spans="24:25">
      <c r="X20199" s="19"/>
      <c r="Y20199" s="20"/>
    </row>
    <row r="20200" spans="24:25">
      <c r="X20200" s="19"/>
      <c r="Y20200" s="20"/>
    </row>
    <row r="20201" spans="24:25">
      <c r="X20201" s="19"/>
      <c r="Y20201" s="20"/>
    </row>
    <row r="20202" spans="24:25">
      <c r="X20202" s="19"/>
      <c r="Y20202" s="20"/>
    </row>
    <row r="20203" spans="24:25">
      <c r="X20203" s="19"/>
      <c r="Y20203" s="20"/>
    </row>
    <row r="20204" spans="24:25">
      <c r="X20204" s="19"/>
      <c r="Y20204" s="20"/>
    </row>
    <row r="20205" spans="24:25">
      <c r="X20205" s="19"/>
      <c r="Y20205" s="20"/>
    </row>
    <row r="20206" spans="24:25">
      <c r="X20206" s="19"/>
      <c r="Y20206" s="20"/>
    </row>
    <row r="20207" spans="24:25">
      <c r="X20207" s="19"/>
      <c r="Y20207" s="20"/>
    </row>
    <row r="20208" spans="24:25">
      <c r="X20208" s="19"/>
      <c r="Y20208" s="20"/>
    </row>
    <row r="20209" spans="24:25">
      <c r="X20209" s="19"/>
      <c r="Y20209" s="20"/>
    </row>
    <row r="20210" spans="24:25">
      <c r="X20210" s="19"/>
      <c r="Y20210" s="20"/>
    </row>
    <row r="20211" spans="24:25">
      <c r="X20211" s="19"/>
      <c r="Y20211" s="20"/>
    </row>
    <row r="20212" spans="24:25">
      <c r="X20212" s="19"/>
      <c r="Y20212" s="20"/>
    </row>
    <row r="20213" spans="24:25">
      <c r="X20213" s="19"/>
      <c r="Y20213" s="20"/>
    </row>
    <row r="20214" spans="24:25">
      <c r="X20214" s="19"/>
      <c r="Y20214" s="20"/>
    </row>
    <row r="20215" spans="24:25">
      <c r="X20215" s="19"/>
      <c r="Y20215" s="20"/>
    </row>
    <row r="20216" spans="24:25">
      <c r="X20216" s="19"/>
      <c r="Y20216" s="20"/>
    </row>
    <row r="20217" spans="24:25">
      <c r="X20217" s="19"/>
      <c r="Y20217" s="20"/>
    </row>
    <row r="20218" spans="24:25">
      <c r="X20218" s="19"/>
      <c r="Y20218" s="20"/>
    </row>
    <row r="20219" spans="24:25">
      <c r="X20219" s="19"/>
      <c r="Y20219" s="20"/>
    </row>
    <row r="20220" spans="24:25">
      <c r="X20220" s="19"/>
      <c r="Y20220" s="20"/>
    </row>
    <row r="20221" spans="24:25">
      <c r="X20221" s="19"/>
      <c r="Y20221" s="20"/>
    </row>
    <row r="20222" spans="24:25">
      <c r="X20222" s="19"/>
      <c r="Y20222" s="20"/>
    </row>
    <row r="20223" spans="24:25">
      <c r="X20223" s="19"/>
      <c r="Y20223" s="20"/>
    </row>
    <row r="20224" spans="24:25">
      <c r="X20224" s="19"/>
      <c r="Y20224" s="20"/>
    </row>
    <row r="20225" spans="24:25">
      <c r="X20225" s="19"/>
      <c r="Y20225" s="20"/>
    </row>
    <row r="20226" spans="24:25">
      <c r="X20226" s="19"/>
      <c r="Y20226" s="20"/>
    </row>
    <row r="20227" spans="24:25">
      <c r="X20227" s="19"/>
      <c r="Y20227" s="20"/>
    </row>
    <row r="20228" spans="24:25">
      <c r="X20228" s="19"/>
      <c r="Y20228" s="20"/>
    </row>
    <row r="20229" spans="24:25">
      <c r="X20229" s="19"/>
      <c r="Y20229" s="20"/>
    </row>
    <row r="20230" spans="24:25">
      <c r="X20230" s="19"/>
      <c r="Y20230" s="20"/>
    </row>
    <row r="20231" spans="24:25">
      <c r="X20231" s="19"/>
      <c r="Y20231" s="20"/>
    </row>
    <row r="20232" spans="24:25">
      <c r="X20232" s="19"/>
      <c r="Y20232" s="20"/>
    </row>
    <row r="20233" spans="24:25">
      <c r="X20233" s="19"/>
      <c r="Y20233" s="20"/>
    </row>
    <row r="20234" spans="24:25">
      <c r="X20234" s="19"/>
      <c r="Y20234" s="20"/>
    </row>
    <row r="20235" spans="24:25">
      <c r="X20235" s="19"/>
      <c r="Y20235" s="20"/>
    </row>
    <row r="20236" spans="24:25">
      <c r="X20236" s="19"/>
      <c r="Y20236" s="20"/>
    </row>
    <row r="20237" spans="24:25">
      <c r="X20237" s="19"/>
      <c r="Y20237" s="20"/>
    </row>
    <row r="20238" spans="24:25">
      <c r="X20238" s="19"/>
      <c r="Y20238" s="20"/>
    </row>
    <row r="20239" spans="24:25">
      <c r="X20239" s="19"/>
      <c r="Y20239" s="20"/>
    </row>
    <row r="20240" spans="24:25">
      <c r="X20240" s="19"/>
      <c r="Y20240" s="20"/>
    </row>
    <row r="20241" spans="24:25">
      <c r="X20241" s="19"/>
      <c r="Y20241" s="20"/>
    </row>
    <row r="20242" spans="24:25">
      <c r="X20242" s="19"/>
      <c r="Y20242" s="20"/>
    </row>
    <row r="20243" spans="24:25">
      <c r="X20243" s="19"/>
      <c r="Y20243" s="20"/>
    </row>
    <row r="20244" spans="24:25">
      <c r="X20244" s="19"/>
      <c r="Y20244" s="20"/>
    </row>
    <row r="20245" spans="24:25">
      <c r="X20245" s="19"/>
      <c r="Y20245" s="20"/>
    </row>
    <row r="20246" spans="24:25">
      <c r="X20246" s="19"/>
      <c r="Y20246" s="20"/>
    </row>
    <row r="20247" spans="24:25">
      <c r="X20247" s="19"/>
      <c r="Y20247" s="20"/>
    </row>
    <row r="20248" spans="24:25">
      <c r="X20248" s="19"/>
      <c r="Y20248" s="20"/>
    </row>
    <row r="20249" spans="24:25">
      <c r="X20249" s="19"/>
      <c r="Y20249" s="20"/>
    </row>
    <row r="20250" spans="24:25">
      <c r="X20250" s="19"/>
      <c r="Y20250" s="20"/>
    </row>
    <row r="20251" spans="24:25">
      <c r="X20251" s="19"/>
      <c r="Y20251" s="20"/>
    </row>
    <row r="20252" spans="24:25">
      <c r="X20252" s="19"/>
      <c r="Y20252" s="20"/>
    </row>
    <row r="20253" spans="24:25">
      <c r="X20253" s="19"/>
      <c r="Y20253" s="20"/>
    </row>
    <row r="20254" spans="24:25">
      <c r="X20254" s="19"/>
      <c r="Y20254" s="20"/>
    </row>
    <row r="20255" spans="24:25">
      <c r="X20255" s="19"/>
      <c r="Y20255" s="20"/>
    </row>
    <row r="20256" spans="24:25">
      <c r="X20256" s="19"/>
      <c r="Y20256" s="20"/>
    </row>
    <row r="20257" spans="24:25">
      <c r="X20257" s="19"/>
      <c r="Y20257" s="20"/>
    </row>
    <row r="20258" spans="24:25">
      <c r="X20258" s="19"/>
      <c r="Y20258" s="20"/>
    </row>
    <row r="20259" spans="24:25">
      <c r="X20259" s="19"/>
      <c r="Y20259" s="20"/>
    </row>
    <row r="20260" spans="24:25">
      <c r="X20260" s="19"/>
      <c r="Y20260" s="20"/>
    </row>
    <row r="20261" spans="24:25">
      <c r="X20261" s="19"/>
      <c r="Y20261" s="20"/>
    </row>
    <row r="20262" spans="24:25">
      <c r="X20262" s="19"/>
      <c r="Y20262" s="20"/>
    </row>
    <row r="20263" spans="24:25">
      <c r="X20263" s="19"/>
      <c r="Y20263" s="20"/>
    </row>
    <row r="20264" spans="24:25">
      <c r="X20264" s="19"/>
      <c r="Y20264" s="20"/>
    </row>
    <row r="20265" spans="24:25">
      <c r="X20265" s="19"/>
      <c r="Y20265" s="20"/>
    </row>
    <row r="20266" spans="24:25">
      <c r="X20266" s="19"/>
      <c r="Y20266" s="20"/>
    </row>
    <row r="20267" spans="24:25">
      <c r="X20267" s="19"/>
      <c r="Y20267" s="20"/>
    </row>
    <row r="20268" spans="24:25">
      <c r="X20268" s="19"/>
      <c r="Y20268" s="20"/>
    </row>
    <row r="20269" spans="24:25">
      <c r="X20269" s="19"/>
      <c r="Y20269" s="20"/>
    </row>
    <row r="20270" spans="24:25">
      <c r="X20270" s="19"/>
      <c r="Y20270" s="20"/>
    </row>
    <row r="20271" spans="24:25">
      <c r="X20271" s="19"/>
      <c r="Y20271" s="20"/>
    </row>
    <row r="20272" spans="24:25">
      <c r="X20272" s="19"/>
      <c r="Y20272" s="20"/>
    </row>
    <row r="20273" spans="24:25">
      <c r="X20273" s="19"/>
      <c r="Y20273" s="20"/>
    </row>
    <row r="20274" spans="24:25">
      <c r="X20274" s="19"/>
      <c r="Y20274" s="20"/>
    </row>
    <row r="20275" spans="24:25">
      <c r="X20275" s="19"/>
      <c r="Y20275" s="20"/>
    </row>
    <row r="20276" spans="24:25">
      <c r="X20276" s="19"/>
      <c r="Y20276" s="20"/>
    </row>
    <row r="20277" spans="24:25">
      <c r="X20277" s="19"/>
      <c r="Y20277" s="20"/>
    </row>
    <row r="20278" spans="24:25">
      <c r="X20278" s="19"/>
      <c r="Y20278" s="20"/>
    </row>
    <row r="20279" spans="24:25">
      <c r="X20279" s="19"/>
      <c r="Y20279" s="20"/>
    </row>
    <row r="20280" spans="24:25">
      <c r="X20280" s="19"/>
      <c r="Y20280" s="20"/>
    </row>
    <row r="20281" spans="24:25">
      <c r="X20281" s="19"/>
      <c r="Y20281" s="20"/>
    </row>
    <row r="20282" spans="24:25">
      <c r="X20282" s="19"/>
      <c r="Y20282" s="20"/>
    </row>
    <row r="20283" spans="24:25">
      <c r="X20283" s="19"/>
      <c r="Y20283" s="20"/>
    </row>
    <row r="20284" spans="24:25">
      <c r="X20284" s="19"/>
      <c r="Y20284" s="20"/>
    </row>
    <row r="20285" spans="24:25">
      <c r="X20285" s="19"/>
      <c r="Y20285" s="20"/>
    </row>
    <row r="20286" spans="24:25">
      <c r="X20286" s="19"/>
      <c r="Y20286" s="20"/>
    </row>
    <row r="20287" spans="24:25">
      <c r="X20287" s="19"/>
      <c r="Y20287" s="20"/>
    </row>
    <row r="20288" spans="24:25">
      <c r="X20288" s="19"/>
      <c r="Y20288" s="20"/>
    </row>
    <row r="20289" spans="24:25">
      <c r="X20289" s="19"/>
      <c r="Y20289" s="20"/>
    </row>
    <row r="20290" spans="24:25">
      <c r="X20290" s="19"/>
      <c r="Y20290" s="20"/>
    </row>
    <row r="20291" spans="24:25">
      <c r="X20291" s="19"/>
      <c r="Y20291" s="20"/>
    </row>
    <row r="20292" spans="24:25">
      <c r="X20292" s="19"/>
      <c r="Y20292" s="20"/>
    </row>
    <row r="20293" spans="24:25">
      <c r="X20293" s="19"/>
      <c r="Y20293" s="20"/>
    </row>
    <row r="20294" spans="24:25">
      <c r="X20294" s="19"/>
      <c r="Y20294" s="20"/>
    </row>
    <row r="20295" spans="24:25">
      <c r="X20295" s="19"/>
      <c r="Y20295" s="20"/>
    </row>
    <row r="20296" spans="24:25">
      <c r="X20296" s="19"/>
      <c r="Y20296" s="20"/>
    </row>
    <row r="20297" spans="24:25">
      <c r="X20297" s="19"/>
      <c r="Y20297" s="20"/>
    </row>
    <row r="20298" spans="24:25">
      <c r="X20298" s="19"/>
      <c r="Y20298" s="20"/>
    </row>
    <row r="20299" spans="24:25">
      <c r="X20299" s="19"/>
      <c r="Y20299" s="20"/>
    </row>
    <row r="20300" spans="24:25">
      <c r="X20300" s="19"/>
      <c r="Y20300" s="20"/>
    </row>
    <row r="20301" spans="24:25">
      <c r="X20301" s="19"/>
      <c r="Y20301" s="20"/>
    </row>
    <row r="20302" spans="24:25">
      <c r="X20302" s="19"/>
      <c r="Y20302" s="20"/>
    </row>
    <row r="20303" spans="24:25">
      <c r="X20303" s="19"/>
      <c r="Y20303" s="20"/>
    </row>
    <row r="20304" spans="24:25">
      <c r="X20304" s="19"/>
      <c r="Y20304" s="20"/>
    </row>
    <row r="20305" spans="24:25">
      <c r="X20305" s="19"/>
      <c r="Y20305" s="20"/>
    </row>
    <row r="20306" spans="24:25">
      <c r="X20306" s="19"/>
      <c r="Y20306" s="20"/>
    </row>
    <row r="20307" spans="24:25">
      <c r="X20307" s="19"/>
      <c r="Y20307" s="20"/>
    </row>
    <row r="20308" spans="24:25">
      <c r="X20308" s="19"/>
      <c r="Y20308" s="20"/>
    </row>
    <row r="20309" spans="24:25">
      <c r="X20309" s="19"/>
      <c r="Y20309" s="20"/>
    </row>
    <row r="20310" spans="24:25">
      <c r="X20310" s="19"/>
      <c r="Y20310" s="20"/>
    </row>
    <row r="20311" spans="24:25">
      <c r="X20311" s="19"/>
      <c r="Y20311" s="20"/>
    </row>
    <row r="20312" spans="24:25">
      <c r="X20312" s="19"/>
      <c r="Y20312" s="20"/>
    </row>
    <row r="20313" spans="24:25">
      <c r="X20313" s="19"/>
      <c r="Y20313" s="20"/>
    </row>
    <row r="20314" spans="24:25">
      <c r="X20314" s="19"/>
      <c r="Y20314" s="20"/>
    </row>
    <row r="20315" spans="24:25">
      <c r="X20315" s="19"/>
      <c r="Y20315" s="20"/>
    </row>
    <row r="20316" spans="24:25">
      <c r="X20316" s="19"/>
      <c r="Y20316" s="20"/>
    </row>
    <row r="20317" spans="24:25">
      <c r="X20317" s="19"/>
      <c r="Y20317" s="20"/>
    </row>
    <row r="20318" spans="24:25">
      <c r="X20318" s="19"/>
      <c r="Y20318" s="20"/>
    </row>
    <row r="20319" spans="24:25">
      <c r="X20319" s="19"/>
      <c r="Y20319" s="20"/>
    </row>
    <row r="20320" spans="24:25">
      <c r="X20320" s="19"/>
      <c r="Y20320" s="20"/>
    </row>
    <row r="20321" spans="24:25">
      <c r="X20321" s="19"/>
      <c r="Y20321" s="20"/>
    </row>
    <row r="20322" spans="24:25">
      <c r="X20322" s="19"/>
      <c r="Y20322" s="20"/>
    </row>
    <row r="20323" spans="24:25">
      <c r="X20323" s="19"/>
      <c r="Y20323" s="20"/>
    </row>
    <row r="20324" spans="24:25">
      <c r="X20324" s="19"/>
      <c r="Y20324" s="20"/>
    </row>
    <row r="20325" spans="24:25">
      <c r="X20325" s="19"/>
      <c r="Y20325" s="20"/>
    </row>
    <row r="20326" spans="24:25">
      <c r="X20326" s="19"/>
      <c r="Y20326" s="20"/>
    </row>
    <row r="20327" spans="24:25">
      <c r="X20327" s="19"/>
      <c r="Y20327" s="20"/>
    </row>
    <row r="20328" spans="24:25">
      <c r="X20328" s="19"/>
      <c r="Y20328" s="20"/>
    </row>
    <row r="20329" spans="24:25">
      <c r="X20329" s="19"/>
      <c r="Y20329" s="20"/>
    </row>
    <row r="20330" spans="24:25">
      <c r="X20330" s="19"/>
      <c r="Y20330" s="20"/>
    </row>
    <row r="20331" spans="24:25">
      <c r="X20331" s="19"/>
      <c r="Y20331" s="20"/>
    </row>
    <row r="20332" spans="24:25">
      <c r="X20332" s="19"/>
      <c r="Y20332" s="20"/>
    </row>
    <row r="20333" spans="24:25">
      <c r="X20333" s="19"/>
      <c r="Y20333" s="20"/>
    </row>
    <row r="20334" spans="24:25">
      <c r="X20334" s="19"/>
      <c r="Y20334" s="20"/>
    </row>
    <row r="20335" spans="24:25">
      <c r="X20335" s="19"/>
      <c r="Y20335" s="20"/>
    </row>
    <row r="20336" spans="24:25">
      <c r="X20336" s="19"/>
      <c r="Y20336" s="20"/>
    </row>
    <row r="20337" spans="24:25">
      <c r="X20337" s="19"/>
      <c r="Y20337" s="20"/>
    </row>
    <row r="20338" spans="24:25">
      <c r="X20338" s="19"/>
      <c r="Y20338" s="20"/>
    </row>
    <row r="20339" spans="24:25">
      <c r="X20339" s="19"/>
      <c r="Y20339" s="20"/>
    </row>
    <row r="20340" spans="24:25">
      <c r="X20340" s="19"/>
      <c r="Y20340" s="20"/>
    </row>
    <row r="20341" spans="24:25">
      <c r="X20341" s="19"/>
      <c r="Y20341" s="20"/>
    </row>
    <row r="20342" spans="24:25">
      <c r="X20342" s="19"/>
      <c r="Y20342" s="20"/>
    </row>
    <row r="20343" spans="24:25">
      <c r="X20343" s="19"/>
      <c r="Y20343" s="20"/>
    </row>
    <row r="20344" spans="24:25">
      <c r="X20344" s="19"/>
      <c r="Y20344" s="20"/>
    </row>
    <row r="20345" spans="24:25">
      <c r="X20345" s="19"/>
      <c r="Y20345" s="20"/>
    </row>
    <row r="20346" spans="24:25">
      <c r="X20346" s="19"/>
      <c r="Y20346" s="20"/>
    </row>
    <row r="20347" spans="24:25">
      <c r="X20347" s="19"/>
      <c r="Y20347" s="20"/>
    </row>
    <row r="20348" spans="24:25">
      <c r="X20348" s="19"/>
      <c r="Y20348" s="20"/>
    </row>
    <row r="20349" spans="24:25">
      <c r="X20349" s="19"/>
      <c r="Y20349" s="20"/>
    </row>
    <row r="20350" spans="24:25">
      <c r="X20350" s="19"/>
      <c r="Y20350" s="20"/>
    </row>
    <row r="20351" spans="24:25">
      <c r="X20351" s="19"/>
      <c r="Y20351" s="20"/>
    </row>
    <row r="20352" spans="24:25">
      <c r="X20352" s="19"/>
      <c r="Y20352" s="20"/>
    </row>
    <row r="20353" spans="24:25">
      <c r="X20353" s="19"/>
      <c r="Y20353" s="20"/>
    </row>
    <row r="20354" spans="24:25">
      <c r="X20354" s="19"/>
      <c r="Y20354" s="20"/>
    </row>
    <row r="20355" spans="24:25">
      <c r="X20355" s="19"/>
      <c r="Y20355" s="20"/>
    </row>
    <row r="20356" spans="24:25">
      <c r="X20356" s="19"/>
      <c r="Y20356" s="20"/>
    </row>
    <row r="20357" spans="24:25">
      <c r="X20357" s="19"/>
      <c r="Y20357" s="20"/>
    </row>
    <row r="20358" spans="24:25">
      <c r="X20358" s="19"/>
      <c r="Y20358" s="20"/>
    </row>
    <row r="20359" spans="24:25">
      <c r="X20359" s="19"/>
      <c r="Y20359" s="20"/>
    </row>
    <row r="20360" spans="24:25">
      <c r="X20360" s="19"/>
      <c r="Y20360" s="20"/>
    </row>
    <row r="20361" spans="24:25">
      <c r="X20361" s="19"/>
      <c r="Y20361" s="20"/>
    </row>
    <row r="20362" spans="24:25">
      <c r="X20362" s="19"/>
      <c r="Y20362" s="20"/>
    </row>
    <row r="20363" spans="24:25">
      <c r="X20363" s="19"/>
      <c r="Y20363" s="20"/>
    </row>
    <row r="20364" spans="24:25">
      <c r="X20364" s="19"/>
      <c r="Y20364" s="20"/>
    </row>
    <row r="20365" spans="24:25">
      <c r="X20365" s="19"/>
      <c r="Y20365" s="20"/>
    </row>
    <row r="20366" spans="24:25">
      <c r="X20366" s="19"/>
      <c r="Y20366" s="20"/>
    </row>
    <row r="20367" spans="24:25">
      <c r="X20367" s="19"/>
      <c r="Y20367" s="20"/>
    </row>
    <row r="20368" spans="24:25">
      <c r="X20368" s="19"/>
      <c r="Y20368" s="20"/>
    </row>
    <row r="20369" spans="24:25">
      <c r="X20369" s="19"/>
      <c r="Y20369" s="20"/>
    </row>
    <row r="20370" spans="24:25">
      <c r="X20370" s="19"/>
      <c r="Y20370" s="20"/>
    </row>
    <row r="20371" spans="24:25">
      <c r="X20371" s="19"/>
      <c r="Y20371" s="20"/>
    </row>
    <row r="20372" spans="24:25">
      <c r="X20372" s="19"/>
      <c r="Y20372" s="20"/>
    </row>
    <row r="20373" spans="24:25">
      <c r="X20373" s="19"/>
      <c r="Y20373" s="20"/>
    </row>
    <row r="20374" spans="24:25">
      <c r="X20374" s="19"/>
      <c r="Y20374" s="20"/>
    </row>
    <row r="20375" spans="24:25">
      <c r="X20375" s="19"/>
      <c r="Y20375" s="20"/>
    </row>
    <row r="20376" spans="24:25">
      <c r="X20376" s="19"/>
      <c r="Y20376" s="20"/>
    </row>
    <row r="20377" spans="24:25">
      <c r="X20377" s="19"/>
      <c r="Y20377" s="20"/>
    </row>
    <row r="20378" spans="24:25">
      <c r="X20378" s="19"/>
      <c r="Y20378" s="20"/>
    </row>
    <row r="20379" spans="24:25">
      <c r="X20379" s="19"/>
      <c r="Y20379" s="20"/>
    </row>
    <row r="20380" spans="24:25">
      <c r="X20380" s="19"/>
      <c r="Y20380" s="20"/>
    </row>
    <row r="20381" spans="24:25">
      <c r="X20381" s="19"/>
      <c r="Y20381" s="20"/>
    </row>
    <row r="20382" spans="24:25">
      <c r="X20382" s="19"/>
      <c r="Y20382" s="20"/>
    </row>
    <row r="20383" spans="24:25">
      <c r="X20383" s="19"/>
      <c r="Y20383" s="20"/>
    </row>
    <row r="20384" spans="24:25">
      <c r="X20384" s="19"/>
      <c r="Y20384" s="20"/>
    </row>
    <row r="20385" spans="24:25">
      <c r="X20385" s="19"/>
      <c r="Y20385" s="20"/>
    </row>
    <row r="20386" spans="24:25">
      <c r="X20386" s="19"/>
      <c r="Y20386" s="20"/>
    </row>
    <row r="20387" spans="24:25">
      <c r="X20387" s="19"/>
      <c r="Y20387" s="20"/>
    </row>
    <row r="20388" spans="24:25">
      <c r="X20388" s="19"/>
      <c r="Y20388" s="20"/>
    </row>
    <row r="20389" spans="24:25">
      <c r="X20389" s="19"/>
      <c r="Y20389" s="20"/>
    </row>
    <row r="20390" spans="24:25">
      <c r="X20390" s="19"/>
      <c r="Y20390" s="20"/>
    </row>
    <row r="20391" spans="24:25">
      <c r="X20391" s="19"/>
      <c r="Y20391" s="20"/>
    </row>
    <row r="20392" spans="24:25">
      <c r="X20392" s="19"/>
      <c r="Y20392" s="20"/>
    </row>
    <row r="20393" spans="24:25">
      <c r="X20393" s="19"/>
      <c r="Y20393" s="20"/>
    </row>
    <row r="20394" spans="24:25">
      <c r="X20394" s="19"/>
      <c r="Y20394" s="20"/>
    </row>
    <row r="20395" spans="24:25">
      <c r="X20395" s="19"/>
      <c r="Y20395" s="20"/>
    </row>
    <row r="20396" spans="24:25">
      <c r="X20396" s="19"/>
      <c r="Y20396" s="20"/>
    </row>
    <row r="20397" spans="24:25">
      <c r="X20397" s="19"/>
      <c r="Y20397" s="20"/>
    </row>
    <row r="20398" spans="24:25">
      <c r="X20398" s="19"/>
      <c r="Y20398" s="20"/>
    </row>
    <row r="20399" spans="24:25">
      <c r="X20399" s="19"/>
      <c r="Y20399" s="20"/>
    </row>
    <row r="20400" spans="24:25">
      <c r="X20400" s="19"/>
      <c r="Y20400" s="20"/>
    </row>
    <row r="20401" spans="24:25">
      <c r="X20401" s="19"/>
      <c r="Y20401" s="20"/>
    </row>
    <row r="20402" spans="24:25">
      <c r="X20402" s="19"/>
      <c r="Y20402" s="20"/>
    </row>
    <row r="20403" spans="24:25">
      <c r="X20403" s="19"/>
      <c r="Y20403" s="20"/>
    </row>
    <row r="20404" spans="24:25">
      <c r="X20404" s="19"/>
      <c r="Y20404" s="20"/>
    </row>
    <row r="20405" spans="24:25">
      <c r="X20405" s="19"/>
      <c r="Y20405" s="20"/>
    </row>
    <row r="20406" spans="24:25">
      <c r="X20406" s="19"/>
      <c r="Y20406" s="20"/>
    </row>
    <row r="20407" spans="24:25">
      <c r="X20407" s="19"/>
      <c r="Y20407" s="20"/>
    </row>
    <row r="20408" spans="24:25">
      <c r="X20408" s="19"/>
      <c r="Y20408" s="20"/>
    </row>
    <row r="20409" spans="24:25">
      <c r="X20409" s="19"/>
      <c r="Y20409" s="20"/>
    </row>
    <row r="20410" spans="24:25">
      <c r="X20410" s="19"/>
      <c r="Y20410" s="20"/>
    </row>
    <row r="20411" spans="24:25">
      <c r="X20411" s="19"/>
      <c r="Y20411" s="20"/>
    </row>
    <row r="20412" spans="24:25">
      <c r="X20412" s="19"/>
      <c r="Y20412" s="20"/>
    </row>
    <row r="20413" spans="24:25">
      <c r="X20413" s="19"/>
      <c r="Y20413" s="20"/>
    </row>
    <row r="20414" spans="24:25">
      <c r="X20414" s="19"/>
      <c r="Y20414" s="20"/>
    </row>
    <row r="20415" spans="24:25">
      <c r="X20415" s="19"/>
      <c r="Y20415" s="20"/>
    </row>
    <row r="20416" spans="24:25">
      <c r="X20416" s="19"/>
      <c r="Y20416" s="20"/>
    </row>
    <row r="20417" spans="24:25">
      <c r="X20417" s="19"/>
      <c r="Y20417" s="20"/>
    </row>
    <row r="20418" spans="24:25">
      <c r="X20418" s="19"/>
      <c r="Y20418" s="20"/>
    </row>
    <row r="20419" spans="24:25">
      <c r="X20419" s="19"/>
      <c r="Y20419" s="20"/>
    </row>
    <row r="20420" spans="24:25">
      <c r="X20420" s="19"/>
      <c r="Y20420" s="20"/>
    </row>
    <row r="20421" spans="24:25">
      <c r="X20421" s="19"/>
      <c r="Y20421" s="20"/>
    </row>
    <row r="20422" spans="24:25">
      <c r="X20422" s="19"/>
      <c r="Y20422" s="20"/>
    </row>
    <row r="20423" spans="24:25">
      <c r="X20423" s="19"/>
      <c r="Y20423" s="20"/>
    </row>
    <row r="20424" spans="24:25">
      <c r="X20424" s="19"/>
      <c r="Y20424" s="20"/>
    </row>
    <row r="20425" spans="24:25">
      <c r="X20425" s="19"/>
      <c r="Y20425" s="20"/>
    </row>
    <row r="20426" spans="24:25">
      <c r="X20426" s="19"/>
      <c r="Y20426" s="20"/>
    </row>
    <row r="20427" spans="24:25">
      <c r="X20427" s="19"/>
      <c r="Y20427" s="20"/>
    </row>
    <row r="20428" spans="24:25">
      <c r="X20428" s="19"/>
      <c r="Y20428" s="20"/>
    </row>
    <row r="20429" spans="24:25">
      <c r="X20429" s="19"/>
      <c r="Y20429" s="20"/>
    </row>
    <row r="20430" spans="24:25">
      <c r="X20430" s="19"/>
      <c r="Y20430" s="20"/>
    </row>
    <row r="20431" spans="24:25">
      <c r="X20431" s="19"/>
      <c r="Y20431" s="20"/>
    </row>
    <row r="20432" spans="24:25">
      <c r="X20432" s="19"/>
      <c r="Y20432" s="20"/>
    </row>
    <row r="20433" spans="24:25">
      <c r="X20433" s="19"/>
      <c r="Y20433" s="20"/>
    </row>
    <row r="20434" spans="24:25">
      <c r="X20434" s="19"/>
      <c r="Y20434" s="20"/>
    </row>
    <row r="20435" spans="24:25">
      <c r="X20435" s="19"/>
      <c r="Y20435" s="20"/>
    </row>
    <row r="20436" spans="24:25">
      <c r="X20436" s="19"/>
      <c r="Y20436" s="20"/>
    </row>
    <row r="20437" spans="24:25">
      <c r="X20437" s="19"/>
      <c r="Y20437" s="20"/>
    </row>
    <row r="20438" spans="24:25">
      <c r="X20438" s="19"/>
      <c r="Y20438" s="20"/>
    </row>
    <row r="20439" spans="24:25">
      <c r="X20439" s="19"/>
      <c r="Y20439" s="20"/>
    </row>
    <row r="20440" spans="24:25">
      <c r="X20440" s="19"/>
      <c r="Y20440" s="20"/>
    </row>
    <row r="20441" spans="24:25">
      <c r="X20441" s="19"/>
      <c r="Y20441" s="20"/>
    </row>
    <row r="20442" spans="24:25">
      <c r="X20442" s="19"/>
      <c r="Y20442" s="20"/>
    </row>
    <row r="20443" spans="24:25">
      <c r="X20443" s="19"/>
      <c r="Y20443" s="20"/>
    </row>
    <row r="20444" spans="24:25">
      <c r="X20444" s="19"/>
      <c r="Y20444" s="20"/>
    </row>
    <row r="20445" spans="24:25">
      <c r="X20445" s="19"/>
      <c r="Y20445" s="20"/>
    </row>
    <row r="20446" spans="24:25">
      <c r="X20446" s="19"/>
      <c r="Y20446" s="20"/>
    </row>
    <row r="20447" spans="24:25">
      <c r="X20447" s="19"/>
      <c r="Y20447" s="20"/>
    </row>
    <row r="20448" spans="24:25">
      <c r="X20448" s="19"/>
      <c r="Y20448" s="20"/>
    </row>
    <row r="20449" spans="24:25">
      <c r="X20449" s="19"/>
      <c r="Y20449" s="20"/>
    </row>
    <row r="20450" spans="24:25">
      <c r="X20450" s="19"/>
      <c r="Y20450" s="20"/>
    </row>
    <row r="20451" spans="24:25">
      <c r="X20451" s="19"/>
      <c r="Y20451" s="20"/>
    </row>
    <row r="20452" spans="24:25">
      <c r="X20452" s="19"/>
      <c r="Y20452" s="20"/>
    </row>
    <row r="20453" spans="24:25">
      <c r="X20453" s="19"/>
      <c r="Y20453" s="20"/>
    </row>
    <row r="20454" spans="24:25">
      <c r="X20454" s="19"/>
      <c r="Y20454" s="20"/>
    </row>
    <row r="20455" spans="24:25">
      <c r="X20455" s="19"/>
      <c r="Y20455" s="20"/>
    </row>
    <row r="20456" spans="24:25">
      <c r="X20456" s="19"/>
      <c r="Y20456" s="20"/>
    </row>
    <row r="20457" spans="24:25">
      <c r="X20457" s="19"/>
      <c r="Y20457" s="20"/>
    </row>
    <row r="20458" spans="24:25">
      <c r="X20458" s="19"/>
      <c r="Y20458" s="20"/>
    </row>
    <row r="20459" spans="24:25">
      <c r="X20459" s="19"/>
      <c r="Y20459" s="20"/>
    </row>
    <row r="20460" spans="24:25">
      <c r="X20460" s="19"/>
      <c r="Y20460" s="20"/>
    </row>
    <row r="20461" spans="24:25">
      <c r="X20461" s="19"/>
      <c r="Y20461" s="20"/>
    </row>
    <row r="20462" spans="24:25">
      <c r="X20462" s="19"/>
      <c r="Y20462" s="20"/>
    </row>
    <row r="20463" spans="24:25">
      <c r="X20463" s="19"/>
      <c r="Y20463" s="20"/>
    </row>
    <row r="20464" spans="24:25">
      <c r="X20464" s="19"/>
      <c r="Y20464" s="20"/>
    </row>
    <row r="20465" spans="24:25">
      <c r="X20465" s="19"/>
      <c r="Y20465" s="20"/>
    </row>
    <row r="20466" spans="24:25">
      <c r="X20466" s="19"/>
      <c r="Y20466" s="20"/>
    </row>
    <row r="20467" spans="24:25">
      <c r="X20467" s="19"/>
      <c r="Y20467" s="20"/>
    </row>
    <row r="20468" spans="24:25">
      <c r="X20468" s="19"/>
      <c r="Y20468" s="20"/>
    </row>
    <row r="20469" spans="24:25">
      <c r="X20469" s="19"/>
      <c r="Y20469" s="20"/>
    </row>
    <row r="20470" spans="24:25">
      <c r="X20470" s="19"/>
      <c r="Y20470" s="20"/>
    </row>
    <row r="20471" spans="24:25">
      <c r="X20471" s="19"/>
      <c r="Y20471" s="20"/>
    </row>
    <row r="20472" spans="24:25">
      <c r="X20472" s="19"/>
      <c r="Y20472" s="20"/>
    </row>
    <row r="20473" spans="24:25">
      <c r="X20473" s="19"/>
      <c r="Y20473" s="20"/>
    </row>
    <row r="20474" spans="24:25">
      <c r="X20474" s="19"/>
      <c r="Y20474" s="20"/>
    </row>
    <row r="20475" spans="24:25">
      <c r="X20475" s="19"/>
      <c r="Y20475" s="20"/>
    </row>
    <row r="20476" spans="24:25">
      <c r="X20476" s="19"/>
      <c r="Y20476" s="20"/>
    </row>
    <row r="20477" spans="24:25">
      <c r="X20477" s="19"/>
      <c r="Y20477" s="20"/>
    </row>
    <row r="20478" spans="24:25">
      <c r="X20478" s="19"/>
      <c r="Y20478" s="20"/>
    </row>
    <row r="20479" spans="24:25">
      <c r="X20479" s="19"/>
      <c r="Y20479" s="20"/>
    </row>
    <row r="20480" spans="24:25">
      <c r="X20480" s="19"/>
      <c r="Y20480" s="20"/>
    </row>
    <row r="20481" spans="24:25">
      <c r="X20481" s="19"/>
      <c r="Y20481" s="20"/>
    </row>
    <row r="20482" spans="24:25">
      <c r="X20482" s="19"/>
      <c r="Y20482" s="20"/>
    </row>
    <row r="20483" spans="24:25">
      <c r="X20483" s="19"/>
      <c r="Y20483" s="20"/>
    </row>
    <row r="20484" spans="24:25">
      <c r="X20484" s="19"/>
      <c r="Y20484" s="20"/>
    </row>
    <row r="20485" spans="24:25">
      <c r="X20485" s="19"/>
      <c r="Y20485" s="20"/>
    </row>
    <row r="20486" spans="24:25">
      <c r="X20486" s="19"/>
      <c r="Y20486" s="20"/>
    </row>
    <row r="20487" spans="24:25">
      <c r="X20487" s="19"/>
      <c r="Y20487" s="20"/>
    </row>
    <row r="20488" spans="24:25">
      <c r="X20488" s="19"/>
      <c r="Y20488" s="20"/>
    </row>
    <row r="20489" spans="24:25">
      <c r="X20489" s="19"/>
      <c r="Y20489" s="20"/>
    </row>
    <row r="20490" spans="24:25">
      <c r="X20490" s="19"/>
      <c r="Y20490" s="20"/>
    </row>
    <row r="20491" spans="24:25">
      <c r="X20491" s="19"/>
      <c r="Y20491" s="20"/>
    </row>
    <row r="20492" spans="24:25">
      <c r="X20492" s="19"/>
      <c r="Y20492" s="20"/>
    </row>
    <row r="20493" spans="24:25">
      <c r="X20493" s="19"/>
      <c r="Y20493" s="20"/>
    </row>
    <row r="20494" spans="24:25">
      <c r="X20494" s="19"/>
      <c r="Y20494" s="20"/>
    </row>
    <row r="20495" spans="24:25">
      <c r="X20495" s="19"/>
      <c r="Y20495" s="20"/>
    </row>
    <row r="20496" spans="24:25">
      <c r="X20496" s="19"/>
      <c r="Y20496" s="20"/>
    </row>
    <row r="20497" spans="24:25">
      <c r="X20497" s="19"/>
      <c r="Y20497" s="20"/>
    </row>
    <row r="20498" spans="24:25">
      <c r="X20498" s="19"/>
      <c r="Y20498" s="20"/>
    </row>
    <row r="20499" spans="24:25">
      <c r="X20499" s="19"/>
      <c r="Y20499" s="20"/>
    </row>
    <row r="20500" spans="24:25">
      <c r="X20500" s="19"/>
      <c r="Y20500" s="20"/>
    </row>
    <row r="20501" spans="24:25">
      <c r="X20501" s="19"/>
      <c r="Y20501" s="20"/>
    </row>
    <row r="20502" spans="24:25">
      <c r="X20502" s="19"/>
      <c r="Y20502" s="20"/>
    </row>
    <row r="20503" spans="24:25">
      <c r="X20503" s="19"/>
      <c r="Y20503" s="20"/>
    </row>
    <row r="20504" spans="24:25">
      <c r="X20504" s="19"/>
      <c r="Y20504" s="20"/>
    </row>
    <row r="20505" spans="24:25">
      <c r="X20505" s="19"/>
      <c r="Y20505" s="20"/>
    </row>
    <row r="20506" spans="24:25">
      <c r="X20506" s="19"/>
      <c r="Y20506" s="20"/>
    </row>
    <row r="20507" spans="24:25">
      <c r="X20507" s="19"/>
      <c r="Y20507" s="20"/>
    </row>
    <row r="20508" spans="24:25">
      <c r="X20508" s="19"/>
      <c r="Y20508" s="20"/>
    </row>
    <row r="20509" spans="24:25">
      <c r="X20509" s="19"/>
      <c r="Y20509" s="20"/>
    </row>
    <row r="20510" spans="24:25">
      <c r="X20510" s="19"/>
      <c r="Y20510" s="20"/>
    </row>
    <row r="20511" spans="24:25">
      <c r="X20511" s="19"/>
      <c r="Y20511" s="20"/>
    </row>
    <row r="20512" spans="24:25">
      <c r="X20512" s="19"/>
      <c r="Y20512" s="20"/>
    </row>
    <row r="20513" spans="24:25">
      <c r="X20513" s="19"/>
      <c r="Y20513" s="20"/>
    </row>
    <row r="20514" spans="24:25">
      <c r="X20514" s="19"/>
      <c r="Y20514" s="20"/>
    </row>
    <row r="20515" spans="24:25">
      <c r="X20515" s="19"/>
      <c r="Y20515" s="20"/>
    </row>
    <row r="20516" spans="24:25">
      <c r="X20516" s="19"/>
      <c r="Y20516" s="20"/>
    </row>
    <row r="20517" spans="24:25">
      <c r="X20517" s="19"/>
      <c r="Y20517" s="20"/>
    </row>
    <row r="20518" spans="24:25">
      <c r="X20518" s="19"/>
      <c r="Y20518" s="20"/>
    </row>
    <row r="20519" spans="24:25">
      <c r="X20519" s="19"/>
      <c r="Y20519" s="20"/>
    </row>
    <row r="20520" spans="24:25">
      <c r="X20520" s="19"/>
      <c r="Y20520" s="20"/>
    </row>
    <row r="20521" spans="24:25">
      <c r="X20521" s="19"/>
      <c r="Y20521" s="20"/>
    </row>
    <row r="20522" spans="24:25">
      <c r="X20522" s="19"/>
      <c r="Y20522" s="20"/>
    </row>
    <row r="20523" spans="24:25">
      <c r="X20523" s="19"/>
      <c r="Y20523" s="20"/>
    </row>
    <row r="20524" spans="24:25">
      <c r="X20524" s="19"/>
      <c r="Y20524" s="20"/>
    </row>
    <row r="20525" spans="24:25">
      <c r="X20525" s="19"/>
      <c r="Y20525" s="20"/>
    </row>
    <row r="20526" spans="24:25">
      <c r="X20526" s="19"/>
      <c r="Y20526" s="20"/>
    </row>
    <row r="20527" spans="24:25">
      <c r="X20527" s="19"/>
      <c r="Y20527" s="20"/>
    </row>
    <row r="20528" spans="24:25">
      <c r="X20528" s="19"/>
      <c r="Y20528" s="20"/>
    </row>
    <row r="20529" spans="24:25">
      <c r="X20529" s="19"/>
      <c r="Y20529" s="20"/>
    </row>
    <row r="20530" spans="24:25">
      <c r="X20530" s="19"/>
      <c r="Y20530" s="20"/>
    </row>
    <row r="20531" spans="24:25">
      <c r="X20531" s="19"/>
      <c r="Y20531" s="20"/>
    </row>
    <row r="20532" spans="24:25">
      <c r="X20532" s="19"/>
      <c r="Y20532" s="20"/>
    </row>
    <row r="20533" spans="24:25">
      <c r="X20533" s="19"/>
      <c r="Y20533" s="20"/>
    </row>
    <row r="20534" spans="24:25">
      <c r="X20534" s="19"/>
      <c r="Y20534" s="20"/>
    </row>
    <row r="20535" spans="24:25">
      <c r="X20535" s="19"/>
      <c r="Y20535" s="20"/>
    </row>
    <row r="20536" spans="24:25">
      <c r="X20536" s="19"/>
      <c r="Y20536" s="20"/>
    </row>
    <row r="20537" spans="24:25">
      <c r="X20537" s="19"/>
      <c r="Y20537" s="20"/>
    </row>
    <row r="20538" spans="24:25">
      <c r="X20538" s="19"/>
      <c r="Y20538" s="20"/>
    </row>
    <row r="20539" spans="24:25">
      <c r="X20539" s="19"/>
      <c r="Y20539" s="20"/>
    </row>
    <row r="20540" spans="24:25">
      <c r="X20540" s="19"/>
      <c r="Y20540" s="20"/>
    </row>
    <row r="20541" spans="24:25">
      <c r="X20541" s="19"/>
      <c r="Y20541" s="20"/>
    </row>
    <row r="20542" spans="24:25">
      <c r="X20542" s="19"/>
      <c r="Y20542" s="20"/>
    </row>
    <row r="20543" spans="24:25">
      <c r="X20543" s="19"/>
      <c r="Y20543" s="20"/>
    </row>
    <row r="20544" spans="24:25">
      <c r="X20544" s="19"/>
      <c r="Y20544" s="20"/>
    </row>
    <row r="20545" spans="24:25">
      <c r="X20545" s="19"/>
      <c r="Y20545" s="20"/>
    </row>
    <row r="20546" spans="24:25">
      <c r="X20546" s="19"/>
      <c r="Y20546" s="20"/>
    </row>
    <row r="20547" spans="24:25">
      <c r="X20547" s="19"/>
      <c r="Y20547" s="20"/>
    </row>
    <row r="20548" spans="24:25">
      <c r="X20548" s="19"/>
      <c r="Y20548" s="20"/>
    </row>
    <row r="20549" spans="24:25">
      <c r="X20549" s="19"/>
      <c r="Y20549" s="20"/>
    </row>
    <row r="20550" spans="24:25">
      <c r="X20550" s="19"/>
      <c r="Y20550" s="20"/>
    </row>
    <row r="20551" spans="24:25">
      <c r="X20551" s="19"/>
      <c r="Y20551" s="20"/>
    </row>
    <row r="20552" spans="24:25">
      <c r="X20552" s="19"/>
      <c r="Y20552" s="20"/>
    </row>
    <row r="20553" spans="24:25">
      <c r="X20553" s="19"/>
      <c r="Y20553" s="20"/>
    </row>
    <row r="20554" spans="24:25">
      <c r="X20554" s="19"/>
      <c r="Y20554" s="20"/>
    </row>
    <row r="20555" spans="24:25">
      <c r="X20555" s="19"/>
      <c r="Y20555" s="20"/>
    </row>
    <row r="20556" spans="24:25">
      <c r="X20556" s="19"/>
      <c r="Y20556" s="20"/>
    </row>
    <row r="20557" spans="24:25">
      <c r="X20557" s="19"/>
      <c r="Y20557" s="20"/>
    </row>
    <row r="20558" spans="24:25">
      <c r="X20558" s="19"/>
      <c r="Y20558" s="20"/>
    </row>
    <row r="20559" spans="24:25">
      <c r="X20559" s="19"/>
      <c r="Y20559" s="20"/>
    </row>
    <row r="20560" spans="24:25">
      <c r="X20560" s="19"/>
      <c r="Y20560" s="20"/>
    </row>
    <row r="20561" spans="24:25">
      <c r="X20561" s="19"/>
      <c r="Y20561" s="20"/>
    </row>
    <row r="20562" spans="24:25">
      <c r="X20562" s="19"/>
      <c r="Y20562" s="20"/>
    </row>
    <row r="20563" spans="24:25">
      <c r="X20563" s="19"/>
      <c r="Y20563" s="20"/>
    </row>
    <row r="20564" spans="24:25">
      <c r="X20564" s="19"/>
      <c r="Y20564" s="20"/>
    </row>
    <row r="20565" spans="24:25">
      <c r="X20565" s="19"/>
      <c r="Y20565" s="20"/>
    </row>
    <row r="20566" spans="24:25">
      <c r="X20566" s="19"/>
      <c r="Y20566" s="20"/>
    </row>
    <row r="20567" spans="24:25">
      <c r="X20567" s="19"/>
      <c r="Y20567" s="20"/>
    </row>
    <row r="20568" spans="24:25">
      <c r="X20568" s="19"/>
      <c r="Y20568" s="20"/>
    </row>
    <row r="20569" spans="24:25">
      <c r="X20569" s="19"/>
      <c r="Y20569" s="20"/>
    </row>
    <row r="20570" spans="24:25">
      <c r="X20570" s="19"/>
      <c r="Y20570" s="20"/>
    </row>
    <row r="20571" spans="24:25">
      <c r="X20571" s="19"/>
      <c r="Y20571" s="20"/>
    </row>
    <row r="20572" spans="24:25">
      <c r="X20572" s="19"/>
      <c r="Y20572" s="20"/>
    </row>
    <row r="20573" spans="24:25">
      <c r="X20573" s="19"/>
      <c r="Y20573" s="20"/>
    </row>
    <row r="20574" spans="24:25">
      <c r="X20574" s="19"/>
      <c r="Y20574" s="20"/>
    </row>
    <row r="20575" spans="24:25">
      <c r="X20575" s="19"/>
      <c r="Y20575" s="20"/>
    </row>
    <row r="20576" spans="24:25">
      <c r="X20576" s="19"/>
      <c r="Y20576" s="20"/>
    </row>
    <row r="20577" spans="24:25">
      <c r="X20577" s="19"/>
      <c r="Y20577" s="20"/>
    </row>
    <row r="20578" spans="24:25">
      <c r="X20578" s="19"/>
      <c r="Y20578" s="20"/>
    </row>
    <row r="20579" spans="24:25">
      <c r="X20579" s="19"/>
      <c r="Y20579" s="20"/>
    </row>
    <row r="20580" spans="24:25">
      <c r="X20580" s="19"/>
      <c r="Y20580" s="20"/>
    </row>
    <row r="20581" spans="24:25">
      <c r="X20581" s="19"/>
      <c r="Y20581" s="20"/>
    </row>
    <row r="20582" spans="24:25">
      <c r="X20582" s="19"/>
      <c r="Y20582" s="20"/>
    </row>
    <row r="20583" spans="24:25">
      <c r="X20583" s="19"/>
      <c r="Y20583" s="20"/>
    </row>
    <row r="20584" spans="24:25">
      <c r="X20584" s="19"/>
      <c r="Y20584" s="20"/>
    </row>
    <row r="20585" spans="24:25">
      <c r="X20585" s="19"/>
      <c r="Y20585" s="20"/>
    </row>
    <row r="20586" spans="24:25">
      <c r="X20586" s="19"/>
      <c r="Y20586" s="20"/>
    </row>
    <row r="20587" spans="24:25">
      <c r="X20587" s="19"/>
      <c r="Y20587" s="20"/>
    </row>
    <row r="20588" spans="24:25">
      <c r="X20588" s="19"/>
      <c r="Y20588" s="20"/>
    </row>
    <row r="20589" spans="24:25">
      <c r="X20589" s="19"/>
      <c r="Y20589" s="20"/>
    </row>
    <row r="20590" spans="24:25">
      <c r="X20590" s="19"/>
      <c r="Y20590" s="20"/>
    </row>
    <row r="20591" spans="24:25">
      <c r="X20591" s="19"/>
      <c r="Y20591" s="20"/>
    </row>
    <row r="20592" spans="24:25">
      <c r="X20592" s="19"/>
      <c r="Y20592" s="20"/>
    </row>
    <row r="20593" spans="24:25">
      <c r="X20593" s="19"/>
      <c r="Y20593" s="20"/>
    </row>
    <row r="20594" spans="24:25">
      <c r="X20594" s="19"/>
      <c r="Y20594" s="20"/>
    </row>
    <row r="20595" spans="24:25">
      <c r="X20595" s="19"/>
      <c r="Y20595" s="20"/>
    </row>
    <row r="20596" spans="24:25">
      <c r="X20596" s="19"/>
      <c r="Y20596" s="20"/>
    </row>
    <row r="20597" spans="24:25">
      <c r="X20597" s="19"/>
      <c r="Y20597" s="20"/>
    </row>
    <row r="20598" spans="24:25">
      <c r="X20598" s="19"/>
      <c r="Y20598" s="20"/>
    </row>
    <row r="20599" spans="24:25">
      <c r="X20599" s="19"/>
      <c r="Y20599" s="20"/>
    </row>
    <row r="20600" spans="24:25">
      <c r="X20600" s="19"/>
      <c r="Y20600" s="20"/>
    </row>
    <row r="20601" spans="24:25">
      <c r="X20601" s="19"/>
      <c r="Y20601" s="20"/>
    </row>
    <row r="20602" spans="24:25">
      <c r="X20602" s="19"/>
      <c r="Y20602" s="20"/>
    </row>
    <row r="20603" spans="24:25">
      <c r="X20603" s="19"/>
      <c r="Y20603" s="20"/>
    </row>
    <row r="20604" spans="24:25">
      <c r="X20604" s="19"/>
      <c r="Y20604" s="20"/>
    </row>
    <row r="20605" spans="24:25">
      <c r="X20605" s="19"/>
      <c r="Y20605" s="20"/>
    </row>
    <row r="20606" spans="24:25">
      <c r="X20606" s="19"/>
      <c r="Y20606" s="20"/>
    </row>
    <row r="20607" spans="24:25">
      <c r="X20607" s="19"/>
      <c r="Y20607" s="20"/>
    </row>
    <row r="20608" spans="24:25">
      <c r="X20608" s="19"/>
      <c r="Y20608" s="20"/>
    </row>
    <row r="20609" spans="24:25">
      <c r="X20609" s="19"/>
      <c r="Y20609" s="20"/>
    </row>
    <row r="20610" spans="24:25">
      <c r="X20610" s="19"/>
      <c r="Y20610" s="20"/>
    </row>
    <row r="20611" spans="24:25">
      <c r="X20611" s="19"/>
      <c r="Y20611" s="20"/>
    </row>
    <row r="20612" spans="24:25">
      <c r="X20612" s="19"/>
      <c r="Y20612" s="20"/>
    </row>
    <row r="20613" spans="24:25">
      <c r="X20613" s="19"/>
      <c r="Y20613" s="20"/>
    </row>
    <row r="20614" spans="24:25">
      <c r="X20614" s="19"/>
      <c r="Y20614" s="20"/>
    </row>
    <row r="20615" spans="24:25">
      <c r="X20615" s="19"/>
      <c r="Y20615" s="20"/>
    </row>
    <row r="20616" spans="24:25">
      <c r="X20616" s="19"/>
      <c r="Y20616" s="20"/>
    </row>
    <row r="20617" spans="24:25">
      <c r="X20617" s="19"/>
      <c r="Y20617" s="20"/>
    </row>
    <row r="20618" spans="24:25">
      <c r="X20618" s="19"/>
      <c r="Y20618" s="20"/>
    </row>
    <row r="20619" spans="24:25">
      <c r="X20619" s="19"/>
      <c r="Y20619" s="20"/>
    </row>
    <row r="20620" spans="24:25">
      <c r="X20620" s="19"/>
      <c r="Y20620" s="20"/>
    </row>
    <row r="20621" spans="24:25">
      <c r="X20621" s="19"/>
      <c r="Y20621" s="20"/>
    </row>
    <row r="20622" spans="24:25">
      <c r="X20622" s="19"/>
      <c r="Y20622" s="20"/>
    </row>
    <row r="20623" spans="24:25">
      <c r="X20623" s="19"/>
      <c r="Y20623" s="20"/>
    </row>
    <row r="20624" spans="24:25">
      <c r="X20624" s="19"/>
      <c r="Y20624" s="20"/>
    </row>
    <row r="20625" spans="24:25">
      <c r="X20625" s="19"/>
      <c r="Y20625" s="20"/>
    </row>
    <row r="20626" spans="24:25">
      <c r="X20626" s="19"/>
      <c r="Y20626" s="20"/>
    </row>
    <row r="20627" spans="24:25">
      <c r="X20627" s="19"/>
      <c r="Y20627" s="20"/>
    </row>
    <row r="20628" spans="24:25">
      <c r="X20628" s="19"/>
      <c r="Y20628" s="20"/>
    </row>
    <row r="20629" spans="24:25">
      <c r="X20629" s="19"/>
      <c r="Y20629" s="20"/>
    </row>
    <row r="20630" spans="24:25">
      <c r="X20630" s="19"/>
      <c r="Y20630" s="20"/>
    </row>
    <row r="20631" spans="24:25">
      <c r="X20631" s="19"/>
      <c r="Y20631" s="20"/>
    </row>
    <row r="20632" spans="24:25">
      <c r="X20632" s="19"/>
      <c r="Y20632" s="20"/>
    </row>
    <row r="20633" spans="24:25">
      <c r="X20633" s="19"/>
      <c r="Y20633" s="20"/>
    </row>
    <row r="20634" spans="24:25">
      <c r="X20634" s="19"/>
      <c r="Y20634" s="20"/>
    </row>
    <row r="20635" spans="24:25">
      <c r="X20635" s="19"/>
      <c r="Y20635" s="20"/>
    </row>
    <row r="20636" spans="24:25">
      <c r="X20636" s="19"/>
      <c r="Y20636" s="20"/>
    </row>
    <row r="20637" spans="24:25">
      <c r="X20637" s="19"/>
      <c r="Y20637" s="20"/>
    </row>
    <row r="20638" spans="24:25">
      <c r="X20638" s="19"/>
      <c r="Y20638" s="20"/>
    </row>
    <row r="20639" spans="24:25">
      <c r="X20639" s="19"/>
      <c r="Y20639" s="20"/>
    </row>
    <row r="20640" spans="24:25">
      <c r="X20640" s="19"/>
      <c r="Y20640" s="20"/>
    </row>
    <row r="20641" spans="24:25">
      <c r="X20641" s="19"/>
      <c r="Y20641" s="20"/>
    </row>
    <row r="20642" spans="24:25">
      <c r="X20642" s="19"/>
      <c r="Y20642" s="20"/>
    </row>
    <row r="20643" spans="24:25">
      <c r="X20643" s="19"/>
      <c r="Y20643" s="20"/>
    </row>
    <row r="20644" spans="24:25">
      <c r="X20644" s="19"/>
      <c r="Y20644" s="20"/>
    </row>
    <row r="20645" spans="24:25">
      <c r="X20645" s="19"/>
      <c r="Y20645" s="20"/>
    </row>
    <row r="20646" spans="24:25">
      <c r="X20646" s="19"/>
      <c r="Y20646" s="20"/>
    </row>
    <row r="20647" spans="24:25">
      <c r="X20647" s="19"/>
      <c r="Y20647" s="20"/>
    </row>
    <row r="20648" spans="24:25">
      <c r="X20648" s="19"/>
      <c r="Y20648" s="20"/>
    </row>
    <row r="20649" spans="24:25">
      <c r="X20649" s="19"/>
      <c r="Y20649" s="20"/>
    </row>
    <row r="20650" spans="24:25">
      <c r="X20650" s="19"/>
      <c r="Y20650" s="20"/>
    </row>
    <row r="20651" spans="24:25">
      <c r="X20651" s="19"/>
      <c r="Y20651" s="20"/>
    </row>
    <row r="20652" spans="24:25">
      <c r="X20652" s="19"/>
      <c r="Y20652" s="20"/>
    </row>
    <row r="20653" spans="24:25">
      <c r="X20653" s="19"/>
      <c r="Y20653" s="20"/>
    </row>
    <row r="20654" spans="24:25">
      <c r="X20654" s="19"/>
      <c r="Y20654" s="20"/>
    </row>
    <row r="20655" spans="24:25">
      <c r="X20655" s="19"/>
      <c r="Y20655" s="20"/>
    </row>
    <row r="20656" spans="24:25">
      <c r="X20656" s="19"/>
      <c r="Y20656" s="20"/>
    </row>
    <row r="20657" spans="24:25">
      <c r="X20657" s="19"/>
      <c r="Y20657" s="20"/>
    </row>
    <row r="20658" spans="24:25">
      <c r="X20658" s="19"/>
      <c r="Y20658" s="20"/>
    </row>
    <row r="20659" spans="24:25">
      <c r="X20659" s="19"/>
      <c r="Y20659" s="20"/>
    </row>
    <row r="20660" spans="24:25">
      <c r="X20660" s="19"/>
      <c r="Y20660" s="20"/>
    </row>
    <row r="20661" spans="24:25">
      <c r="X20661" s="19"/>
      <c r="Y20661" s="20"/>
    </row>
    <row r="20662" spans="24:25">
      <c r="X20662" s="19"/>
      <c r="Y20662" s="20"/>
    </row>
    <row r="20663" spans="24:25">
      <c r="X20663" s="19"/>
      <c r="Y20663" s="20"/>
    </row>
    <row r="20664" spans="24:25">
      <c r="X20664" s="19"/>
      <c r="Y20664" s="20"/>
    </row>
    <row r="20665" spans="24:25">
      <c r="X20665" s="19"/>
      <c r="Y20665" s="20"/>
    </row>
    <row r="20666" spans="24:25">
      <c r="X20666" s="19"/>
      <c r="Y20666" s="20"/>
    </row>
    <row r="20667" spans="24:25">
      <c r="X20667" s="19"/>
      <c r="Y20667" s="20"/>
    </row>
    <row r="20668" spans="24:25">
      <c r="X20668" s="19"/>
      <c r="Y20668" s="20"/>
    </row>
    <row r="20669" spans="24:25">
      <c r="X20669" s="19"/>
      <c r="Y20669" s="20"/>
    </row>
    <row r="20670" spans="24:25">
      <c r="X20670" s="19"/>
      <c r="Y20670" s="20"/>
    </row>
    <row r="20671" spans="24:25">
      <c r="X20671" s="19"/>
      <c r="Y20671" s="20"/>
    </row>
    <row r="20672" spans="24:25">
      <c r="X20672" s="19"/>
      <c r="Y20672" s="20"/>
    </row>
    <row r="20673" spans="24:25">
      <c r="X20673" s="19"/>
      <c r="Y20673" s="20"/>
    </row>
    <row r="20674" spans="24:25">
      <c r="X20674" s="19"/>
      <c r="Y20674" s="20"/>
    </row>
    <row r="20675" spans="24:25">
      <c r="X20675" s="19"/>
      <c r="Y20675" s="20"/>
    </row>
    <row r="20676" spans="24:25">
      <c r="X20676" s="19"/>
      <c r="Y20676" s="20"/>
    </row>
    <row r="20677" spans="24:25">
      <c r="X20677" s="19"/>
      <c r="Y20677" s="20"/>
    </row>
    <row r="20678" spans="24:25">
      <c r="X20678" s="19"/>
      <c r="Y20678" s="20"/>
    </row>
    <row r="20679" spans="24:25">
      <c r="X20679" s="19"/>
      <c r="Y20679" s="20"/>
    </row>
    <row r="20680" spans="24:25">
      <c r="X20680" s="19"/>
      <c r="Y20680" s="20"/>
    </row>
    <row r="20681" spans="24:25">
      <c r="X20681" s="19"/>
      <c r="Y20681" s="20"/>
    </row>
    <row r="20682" spans="24:25">
      <c r="X20682" s="19"/>
      <c r="Y20682" s="20"/>
    </row>
    <row r="20683" spans="24:25">
      <c r="X20683" s="19"/>
      <c r="Y20683" s="20"/>
    </row>
    <row r="20684" spans="24:25">
      <c r="X20684" s="19"/>
      <c r="Y20684" s="20"/>
    </row>
    <row r="20685" spans="24:25">
      <c r="X20685" s="19"/>
      <c r="Y20685" s="20"/>
    </row>
    <row r="20686" spans="24:25">
      <c r="X20686" s="19"/>
      <c r="Y20686" s="20"/>
    </row>
    <row r="20687" spans="24:25">
      <c r="X20687" s="19"/>
      <c r="Y20687" s="20"/>
    </row>
    <row r="20688" spans="24:25">
      <c r="X20688" s="19"/>
      <c r="Y20688" s="20"/>
    </row>
    <row r="20689" spans="24:25">
      <c r="X20689" s="19"/>
      <c r="Y20689" s="20"/>
    </row>
    <row r="20690" spans="24:25">
      <c r="X20690" s="19"/>
      <c r="Y20690" s="20"/>
    </row>
    <row r="20691" spans="24:25">
      <c r="X20691" s="19"/>
      <c r="Y20691" s="20"/>
    </row>
    <row r="20692" spans="24:25">
      <c r="X20692" s="19"/>
      <c r="Y20692" s="20"/>
    </row>
    <row r="20693" spans="24:25">
      <c r="X20693" s="19"/>
      <c r="Y20693" s="20"/>
    </row>
    <row r="20694" spans="24:25">
      <c r="X20694" s="19"/>
      <c r="Y20694" s="20"/>
    </row>
    <row r="20695" spans="24:25">
      <c r="X20695" s="19"/>
      <c r="Y20695" s="20"/>
    </row>
    <row r="20696" spans="24:25">
      <c r="X20696" s="19"/>
      <c r="Y20696" s="20"/>
    </row>
    <row r="20697" spans="24:25">
      <c r="X20697" s="19"/>
      <c r="Y20697" s="20"/>
    </row>
    <row r="20698" spans="24:25">
      <c r="X20698" s="19"/>
      <c r="Y20698" s="20"/>
    </row>
    <row r="20699" spans="24:25">
      <c r="X20699" s="19"/>
      <c r="Y20699" s="20"/>
    </row>
    <row r="20700" spans="24:25">
      <c r="X20700" s="19"/>
      <c r="Y20700" s="20"/>
    </row>
    <row r="20701" spans="24:25">
      <c r="X20701" s="19"/>
      <c r="Y20701" s="20"/>
    </row>
    <row r="20702" spans="24:25">
      <c r="X20702" s="19"/>
      <c r="Y20702" s="20"/>
    </row>
    <row r="20703" spans="24:25">
      <c r="X20703" s="19"/>
      <c r="Y20703" s="20"/>
    </row>
    <row r="20704" spans="24:25">
      <c r="X20704" s="19"/>
      <c r="Y20704" s="20"/>
    </row>
    <row r="20705" spans="24:25">
      <c r="X20705" s="19"/>
      <c r="Y20705" s="20"/>
    </row>
    <row r="20706" spans="24:25">
      <c r="X20706" s="19"/>
      <c r="Y20706" s="20"/>
    </row>
    <row r="20707" spans="24:25">
      <c r="X20707" s="19"/>
      <c r="Y20707" s="20"/>
    </row>
    <row r="20708" spans="24:25">
      <c r="X20708" s="19"/>
      <c r="Y20708" s="20"/>
    </row>
    <row r="20709" spans="24:25">
      <c r="X20709" s="19"/>
      <c r="Y20709" s="20"/>
    </row>
    <row r="20710" spans="24:25">
      <c r="X20710" s="19"/>
      <c r="Y20710" s="20"/>
    </row>
    <row r="20711" spans="24:25">
      <c r="X20711" s="19"/>
      <c r="Y20711" s="20"/>
    </row>
    <row r="20712" spans="24:25">
      <c r="X20712" s="19"/>
      <c r="Y20712" s="20"/>
    </row>
    <row r="20713" spans="24:25">
      <c r="X20713" s="19"/>
      <c r="Y20713" s="20"/>
    </row>
    <row r="20714" spans="24:25">
      <c r="X20714" s="19"/>
      <c r="Y20714" s="20"/>
    </row>
    <row r="20715" spans="24:25">
      <c r="X20715" s="19"/>
      <c r="Y20715" s="20"/>
    </row>
    <row r="20716" spans="24:25">
      <c r="X20716" s="19"/>
      <c r="Y20716" s="20"/>
    </row>
    <row r="20717" spans="24:25">
      <c r="X20717" s="19"/>
      <c r="Y20717" s="20"/>
    </row>
    <row r="20718" spans="24:25">
      <c r="X20718" s="19"/>
      <c r="Y20718" s="20"/>
    </row>
    <row r="20719" spans="24:25">
      <c r="X20719" s="19"/>
      <c r="Y20719" s="20"/>
    </row>
    <row r="20720" spans="24:25">
      <c r="X20720" s="19"/>
      <c r="Y20720" s="20"/>
    </row>
    <row r="20721" spans="24:25">
      <c r="X20721" s="19"/>
      <c r="Y20721" s="20"/>
    </row>
    <row r="20722" spans="24:25">
      <c r="X20722" s="19"/>
      <c r="Y20722" s="20"/>
    </row>
    <row r="20723" spans="24:25">
      <c r="X20723" s="19"/>
      <c r="Y20723" s="20"/>
    </row>
    <row r="20724" spans="24:25">
      <c r="X20724" s="19"/>
      <c r="Y20724" s="20"/>
    </row>
    <row r="20725" spans="24:25">
      <c r="X20725" s="19"/>
      <c r="Y20725" s="20"/>
    </row>
    <row r="20726" spans="24:25">
      <c r="X20726" s="19"/>
      <c r="Y20726" s="20"/>
    </row>
    <row r="20727" spans="24:25">
      <c r="X20727" s="19"/>
      <c r="Y20727" s="20"/>
    </row>
    <row r="20728" spans="24:25">
      <c r="X20728" s="19"/>
      <c r="Y20728" s="20"/>
    </row>
    <row r="20729" spans="24:25">
      <c r="X20729" s="19"/>
      <c r="Y20729" s="20"/>
    </row>
    <row r="20730" spans="24:25">
      <c r="X20730" s="19"/>
      <c r="Y20730" s="20"/>
    </row>
    <row r="20731" spans="24:25">
      <c r="X20731" s="19"/>
      <c r="Y20731" s="20"/>
    </row>
    <row r="20732" spans="24:25">
      <c r="X20732" s="19"/>
      <c r="Y20732" s="20"/>
    </row>
    <row r="20733" spans="24:25">
      <c r="X20733" s="19"/>
      <c r="Y20733" s="20"/>
    </row>
    <row r="20734" spans="24:25">
      <c r="X20734" s="19"/>
      <c r="Y20734" s="20"/>
    </row>
    <row r="20735" spans="24:25">
      <c r="X20735" s="19"/>
      <c r="Y20735" s="20"/>
    </row>
    <row r="20736" spans="24:25">
      <c r="X20736" s="19"/>
      <c r="Y20736" s="20"/>
    </row>
    <row r="20737" spans="24:25">
      <c r="X20737" s="19"/>
      <c r="Y20737" s="20"/>
    </row>
    <row r="20738" spans="24:25">
      <c r="X20738" s="19"/>
      <c r="Y20738" s="20"/>
    </row>
    <row r="20739" spans="24:25">
      <c r="X20739" s="19"/>
      <c r="Y20739" s="20"/>
    </row>
    <row r="20740" spans="24:25">
      <c r="X20740" s="19"/>
      <c r="Y20740" s="20"/>
    </row>
    <row r="20741" spans="24:25">
      <c r="X20741" s="19"/>
      <c r="Y20741" s="20"/>
    </row>
    <row r="20742" spans="24:25">
      <c r="X20742" s="19"/>
      <c r="Y20742" s="20"/>
    </row>
    <row r="20743" spans="24:25">
      <c r="X20743" s="19"/>
      <c r="Y20743" s="20"/>
    </row>
    <row r="20744" spans="24:25">
      <c r="X20744" s="19"/>
      <c r="Y20744" s="20"/>
    </row>
    <row r="20745" spans="24:25">
      <c r="X20745" s="19"/>
      <c r="Y20745" s="20"/>
    </row>
    <row r="20746" spans="24:25">
      <c r="X20746" s="19"/>
      <c r="Y20746" s="20"/>
    </row>
    <row r="20747" spans="24:25">
      <c r="X20747" s="19"/>
      <c r="Y20747" s="20"/>
    </row>
    <row r="20748" spans="24:25">
      <c r="X20748" s="19"/>
      <c r="Y20748" s="20"/>
    </row>
    <row r="20749" spans="24:25">
      <c r="X20749" s="19"/>
      <c r="Y20749" s="20"/>
    </row>
    <row r="20750" spans="24:25">
      <c r="X20750" s="19"/>
      <c r="Y20750" s="20"/>
    </row>
    <row r="20751" spans="24:25">
      <c r="X20751" s="19"/>
      <c r="Y20751" s="20"/>
    </row>
    <row r="20752" spans="24:25">
      <c r="X20752" s="19"/>
      <c r="Y20752" s="20"/>
    </row>
    <row r="20753" spans="24:25">
      <c r="X20753" s="19"/>
      <c r="Y20753" s="20"/>
    </row>
    <row r="20754" spans="24:25">
      <c r="X20754" s="19"/>
      <c r="Y20754" s="20"/>
    </row>
    <row r="20755" spans="24:25">
      <c r="X20755" s="19"/>
      <c r="Y20755" s="20"/>
    </row>
    <row r="20756" spans="24:25">
      <c r="X20756" s="19"/>
      <c r="Y20756" s="20"/>
    </row>
    <row r="20757" spans="24:25">
      <c r="X20757" s="19"/>
      <c r="Y20757" s="20"/>
    </row>
    <row r="20758" spans="24:25">
      <c r="X20758" s="19"/>
      <c r="Y20758" s="20"/>
    </row>
    <row r="20759" spans="24:25">
      <c r="X20759" s="19"/>
      <c r="Y20759" s="20"/>
    </row>
    <row r="20760" spans="24:25">
      <c r="X20760" s="19"/>
      <c r="Y20760" s="20"/>
    </row>
    <row r="20761" spans="24:25">
      <c r="X20761" s="19"/>
      <c r="Y20761" s="20"/>
    </row>
    <row r="20762" spans="24:25">
      <c r="X20762" s="19"/>
      <c r="Y20762" s="20"/>
    </row>
    <row r="20763" spans="24:25">
      <c r="X20763" s="19"/>
      <c r="Y20763" s="20"/>
    </row>
    <row r="20764" spans="24:25">
      <c r="X20764" s="19"/>
      <c r="Y20764" s="20"/>
    </row>
    <row r="20765" spans="24:25">
      <c r="X20765" s="19"/>
      <c r="Y20765" s="20"/>
    </row>
    <row r="20766" spans="24:25">
      <c r="X20766" s="19"/>
      <c r="Y20766" s="20"/>
    </row>
    <row r="20767" spans="24:25">
      <c r="X20767" s="19"/>
      <c r="Y20767" s="20"/>
    </row>
    <row r="20768" spans="24:25">
      <c r="X20768" s="19"/>
      <c r="Y20768" s="20"/>
    </row>
    <row r="20769" spans="24:25">
      <c r="X20769" s="19"/>
      <c r="Y20769" s="20"/>
    </row>
    <row r="20770" spans="24:25">
      <c r="X20770" s="19"/>
      <c r="Y20770" s="20"/>
    </row>
    <row r="20771" spans="24:25">
      <c r="X20771" s="19"/>
      <c r="Y20771" s="20"/>
    </row>
    <row r="20772" spans="24:25">
      <c r="X20772" s="19"/>
      <c r="Y20772" s="20"/>
    </row>
    <row r="20773" spans="24:25">
      <c r="X20773" s="19"/>
      <c r="Y20773" s="20"/>
    </row>
    <row r="20774" spans="24:25">
      <c r="X20774" s="19"/>
      <c r="Y20774" s="20"/>
    </row>
    <row r="20775" spans="24:25">
      <c r="X20775" s="19"/>
      <c r="Y20775" s="20"/>
    </row>
    <row r="20776" spans="24:25">
      <c r="X20776" s="19"/>
      <c r="Y20776" s="20"/>
    </row>
    <row r="20777" spans="24:25">
      <c r="X20777" s="19"/>
      <c r="Y20777" s="20"/>
    </row>
    <row r="20778" spans="24:25">
      <c r="X20778" s="19"/>
      <c r="Y20778" s="20"/>
    </row>
    <row r="20779" spans="24:25">
      <c r="X20779" s="19"/>
      <c r="Y20779" s="20"/>
    </row>
    <row r="20780" spans="24:25">
      <c r="X20780" s="19"/>
      <c r="Y20780" s="20"/>
    </row>
    <row r="20781" spans="24:25">
      <c r="X20781" s="19"/>
      <c r="Y20781" s="20"/>
    </row>
    <row r="20782" spans="24:25">
      <c r="X20782" s="19"/>
      <c r="Y20782" s="20"/>
    </row>
    <row r="20783" spans="24:25">
      <c r="X20783" s="19"/>
      <c r="Y20783" s="20"/>
    </row>
    <row r="20784" spans="24:25">
      <c r="X20784" s="19"/>
      <c r="Y20784" s="20"/>
    </row>
    <row r="20785" spans="24:25">
      <c r="X20785" s="19"/>
      <c r="Y20785" s="20"/>
    </row>
    <row r="20786" spans="24:25">
      <c r="X20786" s="19"/>
      <c r="Y20786" s="20"/>
    </row>
    <row r="20787" spans="24:25">
      <c r="X20787" s="19"/>
      <c r="Y20787" s="20"/>
    </row>
    <row r="20788" spans="24:25">
      <c r="X20788" s="19"/>
      <c r="Y20788" s="20"/>
    </row>
    <row r="20789" spans="24:25">
      <c r="X20789" s="19"/>
      <c r="Y20789" s="20"/>
    </row>
    <row r="20790" spans="24:25">
      <c r="X20790" s="19"/>
      <c r="Y20790" s="20"/>
    </row>
    <row r="20791" spans="24:25">
      <c r="X20791" s="19"/>
      <c r="Y20791" s="20"/>
    </row>
    <row r="20792" spans="24:25">
      <c r="X20792" s="19"/>
      <c r="Y20792" s="20"/>
    </row>
    <row r="20793" spans="24:25">
      <c r="X20793" s="19"/>
      <c r="Y20793" s="20"/>
    </row>
    <row r="20794" spans="24:25">
      <c r="X20794" s="19"/>
      <c r="Y20794" s="20"/>
    </row>
    <row r="20795" spans="24:25">
      <c r="X20795" s="19"/>
      <c r="Y20795" s="20"/>
    </row>
    <row r="20796" spans="24:25">
      <c r="X20796" s="19"/>
      <c r="Y20796" s="20"/>
    </row>
    <row r="20797" spans="24:25">
      <c r="X20797" s="19"/>
      <c r="Y20797" s="20"/>
    </row>
    <row r="20798" spans="24:25">
      <c r="X20798" s="19"/>
      <c r="Y20798" s="20"/>
    </row>
    <row r="20799" spans="24:25">
      <c r="X20799" s="19"/>
      <c r="Y20799" s="20"/>
    </row>
    <row r="20800" spans="24:25">
      <c r="X20800" s="19"/>
      <c r="Y20800" s="20"/>
    </row>
    <row r="20801" spans="24:25">
      <c r="X20801" s="19"/>
      <c r="Y20801" s="20"/>
    </row>
    <row r="20802" spans="24:25">
      <c r="X20802" s="19"/>
      <c r="Y20802" s="20"/>
    </row>
    <row r="20803" spans="24:25">
      <c r="X20803" s="19"/>
      <c r="Y20803" s="20"/>
    </row>
    <row r="20804" spans="24:25">
      <c r="X20804" s="19"/>
      <c r="Y20804" s="20"/>
    </row>
    <row r="20805" spans="24:25">
      <c r="X20805" s="19"/>
      <c r="Y20805" s="20"/>
    </row>
    <row r="20806" spans="24:25">
      <c r="X20806" s="19"/>
      <c r="Y20806" s="20"/>
    </row>
    <row r="20807" spans="24:25">
      <c r="X20807" s="19"/>
      <c r="Y20807" s="20"/>
    </row>
    <row r="20808" spans="24:25">
      <c r="X20808" s="19"/>
      <c r="Y20808" s="20"/>
    </row>
    <row r="20809" spans="24:25">
      <c r="X20809" s="19"/>
      <c r="Y20809" s="20"/>
    </row>
    <row r="20810" spans="24:25">
      <c r="X20810" s="19"/>
      <c r="Y20810" s="20"/>
    </row>
    <row r="20811" spans="24:25">
      <c r="X20811" s="19"/>
      <c r="Y20811" s="20"/>
    </row>
    <row r="20812" spans="24:25">
      <c r="X20812" s="19"/>
      <c r="Y20812" s="20"/>
    </row>
    <row r="20813" spans="24:25">
      <c r="X20813" s="19"/>
      <c r="Y20813" s="20"/>
    </row>
    <row r="20814" spans="24:25">
      <c r="X20814" s="19"/>
      <c r="Y20814" s="20"/>
    </row>
    <row r="20815" spans="24:25">
      <c r="X20815" s="19"/>
      <c r="Y20815" s="20"/>
    </row>
    <row r="20816" spans="24:25">
      <c r="X20816" s="19"/>
      <c r="Y20816" s="20"/>
    </row>
    <row r="20817" spans="24:25">
      <c r="X20817" s="19"/>
      <c r="Y20817" s="20"/>
    </row>
    <row r="20818" spans="24:25">
      <c r="X20818" s="19"/>
      <c r="Y20818" s="20"/>
    </row>
    <row r="20819" spans="24:25">
      <c r="X20819" s="19"/>
      <c r="Y20819" s="20"/>
    </row>
    <row r="20820" spans="24:25">
      <c r="X20820" s="19"/>
      <c r="Y20820" s="20"/>
    </row>
    <row r="20821" spans="24:25">
      <c r="X20821" s="19"/>
      <c r="Y20821" s="20"/>
    </row>
    <row r="20822" spans="24:25">
      <c r="X20822" s="19"/>
      <c r="Y20822" s="20"/>
    </row>
    <row r="20823" spans="24:25">
      <c r="X20823" s="19"/>
      <c r="Y20823" s="20"/>
    </row>
    <row r="20824" spans="24:25">
      <c r="X20824" s="19"/>
      <c r="Y20824" s="20"/>
    </row>
    <row r="20825" spans="24:25">
      <c r="X20825" s="19"/>
      <c r="Y20825" s="20"/>
    </row>
    <row r="20826" spans="24:25">
      <c r="X20826" s="19"/>
      <c r="Y20826" s="20"/>
    </row>
    <row r="20827" spans="24:25">
      <c r="X20827" s="19"/>
      <c r="Y20827" s="20"/>
    </row>
    <row r="20828" spans="24:25">
      <c r="X20828" s="19"/>
      <c r="Y20828" s="20"/>
    </row>
    <row r="20829" spans="24:25">
      <c r="X20829" s="19"/>
      <c r="Y20829" s="20"/>
    </row>
    <row r="20830" spans="24:25">
      <c r="X20830" s="19"/>
      <c r="Y20830" s="20"/>
    </row>
    <row r="20831" spans="24:25">
      <c r="X20831" s="19"/>
      <c r="Y20831" s="20"/>
    </row>
    <row r="20832" spans="24:25">
      <c r="X20832" s="19"/>
      <c r="Y20832" s="20"/>
    </row>
    <row r="20833" spans="24:25">
      <c r="X20833" s="19"/>
      <c r="Y20833" s="20"/>
    </row>
    <row r="20834" spans="24:25">
      <c r="X20834" s="19"/>
      <c r="Y20834" s="20"/>
    </row>
    <row r="20835" spans="24:25">
      <c r="X20835" s="19"/>
      <c r="Y20835" s="20"/>
    </row>
    <row r="20836" spans="24:25">
      <c r="X20836" s="19"/>
      <c r="Y20836" s="20"/>
    </row>
    <row r="20837" spans="24:25">
      <c r="X20837" s="19"/>
      <c r="Y20837" s="20"/>
    </row>
    <row r="20838" spans="24:25">
      <c r="X20838" s="19"/>
      <c r="Y20838" s="20"/>
    </row>
    <row r="20839" spans="24:25">
      <c r="X20839" s="19"/>
      <c r="Y20839" s="20"/>
    </row>
    <row r="20840" spans="24:25">
      <c r="X20840" s="19"/>
      <c r="Y20840" s="20"/>
    </row>
    <row r="20841" spans="24:25">
      <c r="X20841" s="19"/>
      <c r="Y20841" s="20"/>
    </row>
    <row r="20842" spans="24:25">
      <c r="X20842" s="19"/>
      <c r="Y20842" s="20"/>
    </row>
    <row r="20843" spans="24:25">
      <c r="X20843" s="19"/>
      <c r="Y20843" s="20"/>
    </row>
    <row r="20844" spans="24:25">
      <c r="X20844" s="19"/>
      <c r="Y20844" s="20"/>
    </row>
    <row r="20845" spans="24:25">
      <c r="X20845" s="19"/>
      <c r="Y20845" s="20"/>
    </row>
    <row r="20846" spans="24:25">
      <c r="X20846" s="19"/>
      <c r="Y20846" s="20"/>
    </row>
    <row r="20847" spans="24:25">
      <c r="X20847" s="19"/>
      <c r="Y20847" s="20"/>
    </row>
    <row r="20848" spans="24:25">
      <c r="X20848" s="19"/>
      <c r="Y20848" s="20"/>
    </row>
    <row r="20849" spans="24:25">
      <c r="X20849" s="19"/>
      <c r="Y20849" s="20"/>
    </row>
    <row r="20850" spans="24:25">
      <c r="X20850" s="19"/>
      <c r="Y20850" s="20"/>
    </row>
    <row r="20851" spans="24:25">
      <c r="X20851" s="19"/>
      <c r="Y20851" s="20"/>
    </row>
    <row r="20852" spans="24:25">
      <c r="X20852" s="19"/>
      <c r="Y20852" s="20"/>
    </row>
    <row r="20853" spans="24:25">
      <c r="X20853" s="19"/>
      <c r="Y20853" s="20"/>
    </row>
    <row r="20854" spans="24:25">
      <c r="X20854" s="19"/>
      <c r="Y20854" s="20"/>
    </row>
    <row r="20855" spans="24:25">
      <c r="X20855" s="19"/>
      <c r="Y20855" s="20"/>
    </row>
    <row r="20856" spans="24:25">
      <c r="X20856" s="19"/>
      <c r="Y20856" s="20"/>
    </row>
    <row r="20857" spans="24:25">
      <c r="X20857" s="19"/>
      <c r="Y20857" s="20"/>
    </row>
    <row r="20858" spans="24:25">
      <c r="X20858" s="19"/>
      <c r="Y20858" s="20"/>
    </row>
    <row r="20859" spans="24:25">
      <c r="X20859" s="19"/>
      <c r="Y20859" s="20"/>
    </row>
    <row r="20860" spans="24:25">
      <c r="X20860" s="19"/>
      <c r="Y20860" s="20"/>
    </row>
    <row r="20861" spans="24:25">
      <c r="X20861" s="19"/>
      <c r="Y20861" s="20"/>
    </row>
    <row r="20862" spans="24:25">
      <c r="X20862" s="19"/>
      <c r="Y20862" s="20"/>
    </row>
    <row r="20863" spans="24:25">
      <c r="X20863" s="19"/>
      <c r="Y20863" s="20"/>
    </row>
    <row r="20864" spans="24:25">
      <c r="X20864" s="19"/>
      <c r="Y20864" s="20"/>
    </row>
    <row r="20865" spans="24:25">
      <c r="X20865" s="19"/>
      <c r="Y20865" s="20"/>
    </row>
    <row r="20866" spans="24:25">
      <c r="X20866" s="19"/>
      <c r="Y20866" s="20"/>
    </row>
    <row r="20867" spans="24:25">
      <c r="X20867" s="19"/>
      <c r="Y20867" s="20"/>
    </row>
    <row r="20868" spans="24:25">
      <c r="X20868" s="19"/>
      <c r="Y20868" s="20"/>
    </row>
    <row r="20869" spans="24:25">
      <c r="X20869" s="19"/>
      <c r="Y20869" s="20"/>
    </row>
    <row r="20870" spans="24:25">
      <c r="X20870" s="19"/>
      <c r="Y20870" s="20"/>
    </row>
    <row r="20871" spans="24:25">
      <c r="X20871" s="19"/>
      <c r="Y20871" s="20"/>
    </row>
    <row r="20872" spans="24:25">
      <c r="X20872" s="19"/>
      <c r="Y20872" s="20"/>
    </row>
    <row r="20873" spans="24:25">
      <c r="X20873" s="19"/>
      <c r="Y20873" s="20"/>
    </row>
    <row r="20874" spans="24:25">
      <c r="X20874" s="19"/>
      <c r="Y20874" s="20"/>
    </row>
    <row r="20875" spans="24:25">
      <c r="X20875" s="19"/>
      <c r="Y20875" s="20"/>
    </row>
    <row r="20876" spans="24:25">
      <c r="X20876" s="19"/>
      <c r="Y20876" s="20"/>
    </row>
    <row r="20877" spans="24:25">
      <c r="X20877" s="19"/>
      <c r="Y20877" s="20"/>
    </row>
    <row r="20878" spans="24:25">
      <c r="X20878" s="19"/>
      <c r="Y20878" s="20"/>
    </row>
    <row r="20879" spans="24:25">
      <c r="X20879" s="19"/>
      <c r="Y20879" s="20"/>
    </row>
    <row r="20880" spans="24:25">
      <c r="X20880" s="19"/>
      <c r="Y20880" s="20"/>
    </row>
    <row r="20881" spans="24:25">
      <c r="X20881" s="19"/>
      <c r="Y20881" s="20"/>
    </row>
    <row r="20882" spans="24:25">
      <c r="X20882" s="19"/>
      <c r="Y20882" s="20"/>
    </row>
    <row r="20883" spans="24:25">
      <c r="X20883" s="19"/>
      <c r="Y20883" s="20"/>
    </row>
    <row r="20884" spans="24:25">
      <c r="X20884" s="19"/>
      <c r="Y20884" s="20"/>
    </row>
    <row r="20885" spans="24:25">
      <c r="X20885" s="19"/>
      <c r="Y20885" s="20"/>
    </row>
    <row r="20886" spans="24:25">
      <c r="X20886" s="19"/>
      <c r="Y20886" s="20"/>
    </row>
    <row r="20887" spans="24:25">
      <c r="X20887" s="19"/>
      <c r="Y20887" s="20"/>
    </row>
    <row r="20888" spans="24:25">
      <c r="X20888" s="19"/>
      <c r="Y20888" s="20"/>
    </row>
    <row r="20889" spans="24:25">
      <c r="X20889" s="19"/>
      <c r="Y20889" s="20"/>
    </row>
    <row r="20890" spans="24:25">
      <c r="X20890" s="19"/>
      <c r="Y20890" s="20"/>
    </row>
    <row r="20891" spans="24:25">
      <c r="X20891" s="19"/>
      <c r="Y20891" s="20"/>
    </row>
    <row r="20892" spans="24:25">
      <c r="X20892" s="19"/>
      <c r="Y20892" s="20"/>
    </row>
    <row r="20893" spans="24:25">
      <c r="X20893" s="19"/>
      <c r="Y20893" s="20"/>
    </row>
    <row r="20894" spans="24:25">
      <c r="X20894" s="19"/>
      <c r="Y20894" s="20"/>
    </row>
    <row r="20895" spans="24:25">
      <c r="X20895" s="19"/>
      <c r="Y20895" s="20"/>
    </row>
    <row r="20896" spans="24:25">
      <c r="X20896" s="19"/>
      <c r="Y20896" s="20"/>
    </row>
    <row r="20897" spans="24:25">
      <c r="X20897" s="19"/>
      <c r="Y20897" s="20"/>
    </row>
    <row r="20898" spans="24:25">
      <c r="X20898" s="19"/>
      <c r="Y20898" s="20"/>
    </row>
    <row r="20899" spans="24:25">
      <c r="X20899" s="19"/>
      <c r="Y20899" s="20"/>
    </row>
    <row r="20900" spans="24:25">
      <c r="X20900" s="19"/>
      <c r="Y20900" s="20"/>
    </row>
    <row r="20901" spans="24:25">
      <c r="X20901" s="19"/>
      <c r="Y20901" s="20"/>
    </row>
    <row r="20902" spans="24:25">
      <c r="X20902" s="19"/>
      <c r="Y20902" s="20"/>
    </row>
    <row r="20903" spans="24:25">
      <c r="X20903" s="19"/>
      <c r="Y20903" s="20"/>
    </row>
    <row r="20904" spans="24:25">
      <c r="X20904" s="19"/>
      <c r="Y20904" s="20"/>
    </row>
    <row r="20905" spans="24:25">
      <c r="X20905" s="19"/>
      <c r="Y20905" s="20"/>
    </row>
    <row r="20906" spans="24:25">
      <c r="X20906" s="19"/>
      <c r="Y20906" s="20"/>
    </row>
    <row r="20907" spans="24:25">
      <c r="X20907" s="19"/>
      <c r="Y20907" s="20"/>
    </row>
    <row r="20908" spans="24:25">
      <c r="X20908" s="19"/>
      <c r="Y20908" s="20"/>
    </row>
    <row r="20909" spans="24:25">
      <c r="X20909" s="19"/>
      <c r="Y20909" s="20"/>
    </row>
    <row r="20910" spans="24:25">
      <c r="X20910" s="19"/>
      <c r="Y20910" s="20"/>
    </row>
    <row r="20911" spans="24:25">
      <c r="X20911" s="19"/>
      <c r="Y20911" s="20"/>
    </row>
    <row r="20912" spans="24:25">
      <c r="X20912" s="19"/>
      <c r="Y20912" s="20"/>
    </row>
    <row r="20913" spans="24:25">
      <c r="X20913" s="19"/>
      <c r="Y20913" s="20"/>
    </row>
    <row r="20914" spans="24:25">
      <c r="X20914" s="19"/>
      <c r="Y20914" s="20"/>
    </row>
    <row r="20915" spans="24:25">
      <c r="X20915" s="19"/>
      <c r="Y20915" s="20"/>
    </row>
    <row r="20916" spans="24:25">
      <c r="X20916" s="19"/>
      <c r="Y20916" s="20"/>
    </row>
    <row r="20917" spans="24:25">
      <c r="X20917" s="19"/>
      <c r="Y20917" s="20"/>
    </row>
    <row r="20918" spans="24:25">
      <c r="X20918" s="19"/>
      <c r="Y20918" s="20"/>
    </row>
    <row r="20919" spans="24:25">
      <c r="X20919" s="19"/>
      <c r="Y20919" s="20"/>
    </row>
    <row r="20920" spans="24:25">
      <c r="X20920" s="19"/>
      <c r="Y20920" s="20"/>
    </row>
    <row r="20921" spans="24:25">
      <c r="X20921" s="19"/>
      <c r="Y20921" s="20"/>
    </row>
    <row r="20922" spans="24:25">
      <c r="X20922" s="19"/>
      <c r="Y20922" s="20"/>
    </row>
    <row r="20923" spans="24:25">
      <c r="X20923" s="19"/>
      <c r="Y20923" s="20"/>
    </row>
    <row r="20924" spans="24:25">
      <c r="X20924" s="19"/>
      <c r="Y20924" s="20"/>
    </row>
    <row r="20925" spans="24:25">
      <c r="X20925" s="19"/>
      <c r="Y20925" s="20"/>
    </row>
    <row r="20926" spans="24:25">
      <c r="X20926" s="19"/>
      <c r="Y20926" s="20"/>
    </row>
    <row r="20927" spans="24:25">
      <c r="X20927" s="19"/>
      <c r="Y20927" s="20"/>
    </row>
    <row r="20928" spans="24:25">
      <c r="X20928" s="19"/>
      <c r="Y20928" s="20"/>
    </row>
    <row r="20929" spans="24:25">
      <c r="X20929" s="19"/>
      <c r="Y20929" s="20"/>
    </row>
    <row r="20930" spans="24:25">
      <c r="X20930" s="19"/>
      <c r="Y20930" s="20"/>
    </row>
    <row r="20931" spans="24:25">
      <c r="X20931" s="19"/>
      <c r="Y20931" s="20"/>
    </row>
    <row r="20932" spans="24:25">
      <c r="X20932" s="19"/>
      <c r="Y20932" s="20"/>
    </row>
    <row r="20933" spans="24:25">
      <c r="X20933" s="19"/>
      <c r="Y20933" s="20"/>
    </row>
    <row r="20934" spans="24:25">
      <c r="X20934" s="19"/>
      <c r="Y20934" s="20"/>
    </row>
    <row r="20935" spans="24:25">
      <c r="X20935" s="19"/>
      <c r="Y20935" s="20"/>
    </row>
    <row r="20936" spans="24:25">
      <c r="X20936" s="19"/>
      <c r="Y20936" s="20"/>
    </row>
    <row r="20937" spans="24:25">
      <c r="X20937" s="19"/>
      <c r="Y20937" s="20"/>
    </row>
    <row r="20938" spans="24:25">
      <c r="X20938" s="19"/>
      <c r="Y20938" s="20"/>
    </row>
    <row r="20939" spans="24:25">
      <c r="X20939" s="19"/>
      <c r="Y20939" s="20"/>
    </row>
    <row r="20940" spans="24:25">
      <c r="X20940" s="19"/>
      <c r="Y20940" s="20"/>
    </row>
    <row r="20941" spans="24:25">
      <c r="X20941" s="19"/>
      <c r="Y20941" s="20"/>
    </row>
    <row r="20942" spans="24:25">
      <c r="X20942" s="19"/>
      <c r="Y20942" s="20"/>
    </row>
    <row r="20943" spans="24:25">
      <c r="X20943" s="19"/>
      <c r="Y20943" s="20"/>
    </row>
    <row r="20944" spans="24:25">
      <c r="X20944" s="19"/>
      <c r="Y20944" s="20"/>
    </row>
    <row r="20945" spans="24:25">
      <c r="X20945" s="19"/>
      <c r="Y20945" s="20"/>
    </row>
    <row r="20946" spans="24:25">
      <c r="X20946" s="19"/>
      <c r="Y20946" s="20"/>
    </row>
    <row r="20947" spans="24:25">
      <c r="X20947" s="19"/>
      <c r="Y20947" s="20"/>
    </row>
    <row r="20948" spans="24:25">
      <c r="X20948" s="19"/>
      <c r="Y20948" s="20"/>
    </row>
    <row r="20949" spans="24:25">
      <c r="X20949" s="19"/>
      <c r="Y20949" s="20"/>
    </row>
    <row r="20950" spans="24:25">
      <c r="X20950" s="19"/>
      <c r="Y20950" s="20"/>
    </row>
    <row r="20951" spans="24:25">
      <c r="X20951" s="19"/>
      <c r="Y20951" s="20"/>
    </row>
    <row r="20952" spans="24:25">
      <c r="X20952" s="19"/>
      <c r="Y20952" s="20"/>
    </row>
    <row r="20953" spans="24:25">
      <c r="X20953" s="19"/>
      <c r="Y20953" s="20"/>
    </row>
    <row r="20954" spans="24:25">
      <c r="X20954" s="19"/>
      <c r="Y20954" s="20"/>
    </row>
    <row r="20955" spans="24:25">
      <c r="X20955" s="19"/>
      <c r="Y20955" s="20"/>
    </row>
    <row r="20956" spans="24:25">
      <c r="X20956" s="19"/>
      <c r="Y20956" s="20"/>
    </row>
    <row r="20957" spans="24:25">
      <c r="X20957" s="19"/>
      <c r="Y20957" s="20"/>
    </row>
    <row r="20958" spans="24:25">
      <c r="X20958" s="19"/>
      <c r="Y20958" s="20"/>
    </row>
    <row r="20959" spans="24:25">
      <c r="X20959" s="19"/>
      <c r="Y20959" s="20"/>
    </row>
    <row r="20960" spans="24:25">
      <c r="X20960" s="19"/>
      <c r="Y20960" s="20"/>
    </row>
    <row r="20961" spans="24:25">
      <c r="X20961" s="19"/>
      <c r="Y20961" s="20"/>
    </row>
    <row r="20962" spans="24:25">
      <c r="X20962" s="19"/>
      <c r="Y20962" s="20"/>
    </row>
    <row r="20963" spans="24:25">
      <c r="X20963" s="19"/>
      <c r="Y20963" s="20"/>
    </row>
    <row r="20964" spans="24:25">
      <c r="X20964" s="19"/>
      <c r="Y20964" s="20"/>
    </row>
    <row r="20965" spans="24:25">
      <c r="X20965" s="19"/>
      <c r="Y20965" s="20"/>
    </row>
    <row r="20966" spans="24:25">
      <c r="X20966" s="19"/>
      <c r="Y20966" s="20"/>
    </row>
    <row r="20967" spans="24:25">
      <c r="X20967" s="19"/>
      <c r="Y20967" s="20"/>
    </row>
    <row r="20968" spans="24:25">
      <c r="X20968" s="19"/>
      <c r="Y20968" s="20"/>
    </row>
    <row r="20969" spans="24:25">
      <c r="X20969" s="19"/>
      <c r="Y20969" s="20"/>
    </row>
    <row r="20970" spans="24:25">
      <c r="X20970" s="19"/>
      <c r="Y20970" s="20"/>
    </row>
    <row r="20971" spans="24:25">
      <c r="X20971" s="19"/>
      <c r="Y20971" s="20"/>
    </row>
    <row r="20972" spans="24:25">
      <c r="X20972" s="19"/>
      <c r="Y20972" s="20"/>
    </row>
    <row r="20973" spans="24:25">
      <c r="X20973" s="19"/>
      <c r="Y20973" s="20"/>
    </row>
    <row r="20974" spans="24:25">
      <c r="X20974" s="19"/>
      <c r="Y20974" s="20"/>
    </row>
    <row r="20975" spans="24:25">
      <c r="X20975" s="19"/>
      <c r="Y20975" s="20"/>
    </row>
    <row r="20976" spans="24:25">
      <c r="X20976" s="19"/>
      <c r="Y20976" s="20"/>
    </row>
    <row r="20977" spans="24:25">
      <c r="X20977" s="19"/>
      <c r="Y20977" s="20"/>
    </row>
    <row r="20978" spans="24:25">
      <c r="X20978" s="19"/>
      <c r="Y20978" s="20"/>
    </row>
    <row r="20979" spans="24:25">
      <c r="X20979" s="19"/>
      <c r="Y20979" s="20"/>
    </row>
    <row r="20980" spans="24:25">
      <c r="X20980" s="19"/>
      <c r="Y20980" s="20"/>
    </row>
    <row r="20981" spans="24:25">
      <c r="X20981" s="19"/>
      <c r="Y20981" s="20"/>
    </row>
    <row r="20982" spans="24:25">
      <c r="X20982" s="19"/>
      <c r="Y20982" s="20"/>
    </row>
    <row r="20983" spans="24:25">
      <c r="X20983" s="19"/>
      <c r="Y20983" s="20"/>
    </row>
    <row r="20984" spans="24:25">
      <c r="X20984" s="19"/>
      <c r="Y20984" s="20"/>
    </row>
    <row r="20985" spans="24:25">
      <c r="X20985" s="19"/>
      <c r="Y20985" s="20"/>
    </row>
    <row r="20986" spans="24:25">
      <c r="X20986" s="19"/>
      <c r="Y20986" s="20"/>
    </row>
    <row r="20987" spans="24:25">
      <c r="X20987" s="19"/>
      <c r="Y20987" s="20"/>
    </row>
    <row r="20988" spans="24:25">
      <c r="X20988" s="19"/>
      <c r="Y20988" s="20"/>
    </row>
    <row r="20989" spans="24:25">
      <c r="X20989" s="19"/>
      <c r="Y20989" s="20"/>
    </row>
    <row r="20990" spans="24:25">
      <c r="X20990" s="19"/>
      <c r="Y20990" s="20"/>
    </row>
    <row r="20991" spans="24:25">
      <c r="X20991" s="19"/>
      <c r="Y20991" s="20"/>
    </row>
    <row r="20992" spans="24:25">
      <c r="X20992" s="19"/>
      <c r="Y20992" s="20"/>
    </row>
    <row r="20993" spans="24:25">
      <c r="X20993" s="19"/>
      <c r="Y20993" s="20"/>
    </row>
    <row r="20994" spans="24:25">
      <c r="X20994" s="19"/>
      <c r="Y20994" s="20"/>
    </row>
    <row r="20995" spans="24:25">
      <c r="X20995" s="19"/>
      <c r="Y20995" s="20"/>
    </row>
    <row r="20996" spans="24:25">
      <c r="X20996" s="19"/>
      <c r="Y20996" s="20"/>
    </row>
    <row r="20997" spans="24:25">
      <c r="X20997" s="19"/>
      <c r="Y20997" s="20"/>
    </row>
    <row r="20998" spans="24:25">
      <c r="X20998" s="19"/>
      <c r="Y20998" s="20"/>
    </row>
    <row r="20999" spans="24:25">
      <c r="X20999" s="19"/>
      <c r="Y20999" s="20"/>
    </row>
    <row r="21000" spans="24:25">
      <c r="X21000" s="19"/>
      <c r="Y21000" s="20"/>
    </row>
    <row r="21001" spans="24:25">
      <c r="X21001" s="19"/>
      <c r="Y21001" s="20"/>
    </row>
    <row r="21002" spans="24:25">
      <c r="X21002" s="19"/>
      <c r="Y21002" s="20"/>
    </row>
    <row r="21003" spans="24:25">
      <c r="X21003" s="19"/>
      <c r="Y21003" s="20"/>
    </row>
    <row r="21004" spans="24:25">
      <c r="X21004" s="19"/>
      <c r="Y21004" s="20"/>
    </row>
    <row r="21005" spans="24:25">
      <c r="X21005" s="19"/>
      <c r="Y21005" s="20"/>
    </row>
    <row r="21006" spans="24:25">
      <c r="X21006" s="19"/>
      <c r="Y21006" s="20"/>
    </row>
    <row r="21007" spans="24:25">
      <c r="X21007" s="19"/>
      <c r="Y21007" s="20"/>
    </row>
    <row r="21008" spans="24:25">
      <c r="X21008" s="19"/>
      <c r="Y21008" s="20"/>
    </row>
    <row r="21009" spans="24:25">
      <c r="X21009" s="19"/>
      <c r="Y21009" s="20"/>
    </row>
    <row r="21010" spans="24:25">
      <c r="X21010" s="19"/>
      <c r="Y21010" s="20"/>
    </row>
    <row r="21011" spans="24:25">
      <c r="X21011" s="19"/>
      <c r="Y21011" s="20"/>
    </row>
    <row r="21012" spans="24:25">
      <c r="X21012" s="19"/>
      <c r="Y21012" s="20"/>
    </row>
    <row r="21013" spans="24:25">
      <c r="X21013" s="19"/>
      <c r="Y21013" s="20"/>
    </row>
    <row r="21014" spans="24:25">
      <c r="X21014" s="19"/>
      <c r="Y21014" s="20"/>
    </row>
    <row r="21015" spans="24:25">
      <c r="X21015" s="19"/>
      <c r="Y21015" s="20"/>
    </row>
    <row r="21016" spans="24:25">
      <c r="X21016" s="19"/>
      <c r="Y21016" s="20"/>
    </row>
    <row r="21017" spans="24:25">
      <c r="X21017" s="19"/>
      <c r="Y21017" s="20"/>
    </row>
    <row r="21018" spans="24:25">
      <c r="X21018" s="19"/>
      <c r="Y21018" s="20"/>
    </row>
    <row r="21019" spans="24:25">
      <c r="X21019" s="19"/>
      <c r="Y21019" s="20"/>
    </row>
    <row r="21020" spans="24:25">
      <c r="X21020" s="19"/>
      <c r="Y21020" s="20"/>
    </row>
    <row r="21021" spans="24:25">
      <c r="X21021" s="19"/>
      <c r="Y21021" s="20"/>
    </row>
    <row r="21022" spans="24:25">
      <c r="X21022" s="19"/>
      <c r="Y21022" s="20"/>
    </row>
    <row r="21023" spans="24:25">
      <c r="X21023" s="19"/>
      <c r="Y21023" s="20"/>
    </row>
    <row r="21024" spans="24:25">
      <c r="X21024" s="19"/>
      <c r="Y21024" s="20"/>
    </row>
    <row r="21025" spans="24:25">
      <c r="X21025" s="19"/>
      <c r="Y21025" s="20"/>
    </row>
    <row r="21026" spans="24:25">
      <c r="X21026" s="19"/>
      <c r="Y21026" s="20"/>
    </row>
    <row r="21027" spans="24:25">
      <c r="X21027" s="19"/>
      <c r="Y21027" s="20"/>
    </row>
    <row r="21028" spans="24:25">
      <c r="X21028" s="19"/>
      <c r="Y21028" s="20"/>
    </row>
    <row r="21029" spans="24:25">
      <c r="X21029" s="19"/>
      <c r="Y21029" s="20"/>
    </row>
    <row r="21030" spans="24:25">
      <c r="X21030" s="19"/>
      <c r="Y21030" s="20"/>
    </row>
    <row r="21031" spans="24:25">
      <c r="X21031" s="19"/>
      <c r="Y21031" s="20"/>
    </row>
    <row r="21032" spans="24:25">
      <c r="X21032" s="19"/>
      <c r="Y21032" s="20"/>
    </row>
    <row r="21033" spans="24:25">
      <c r="X21033" s="19"/>
      <c r="Y21033" s="20"/>
    </row>
    <row r="21034" spans="24:25">
      <c r="X21034" s="19"/>
      <c r="Y21034" s="20"/>
    </row>
    <row r="21035" spans="24:25">
      <c r="X21035" s="19"/>
      <c r="Y21035" s="20"/>
    </row>
    <row r="21036" spans="24:25">
      <c r="X21036" s="19"/>
      <c r="Y21036" s="20"/>
    </row>
    <row r="21037" spans="24:25">
      <c r="X21037" s="19"/>
      <c r="Y21037" s="20"/>
    </row>
    <row r="21038" spans="24:25">
      <c r="X21038" s="19"/>
      <c r="Y21038" s="20"/>
    </row>
    <row r="21039" spans="24:25">
      <c r="X21039" s="19"/>
      <c r="Y21039" s="20"/>
    </row>
    <row r="21040" spans="24:25">
      <c r="X21040" s="19"/>
      <c r="Y21040" s="20"/>
    </row>
    <row r="21041" spans="24:25">
      <c r="X21041" s="19"/>
      <c r="Y21041" s="20"/>
    </row>
    <row r="21042" spans="24:25">
      <c r="X21042" s="19"/>
      <c r="Y21042" s="20"/>
    </row>
    <row r="21043" spans="24:25">
      <c r="X21043" s="19"/>
      <c r="Y21043" s="20"/>
    </row>
    <row r="21044" spans="24:25">
      <c r="X21044" s="19"/>
      <c r="Y21044" s="20"/>
    </row>
    <row r="21045" spans="24:25">
      <c r="X21045" s="19"/>
      <c r="Y21045" s="20"/>
    </row>
    <row r="21046" spans="24:25">
      <c r="X21046" s="19"/>
      <c r="Y21046" s="20"/>
    </row>
    <row r="21047" spans="24:25">
      <c r="X21047" s="19"/>
      <c r="Y21047" s="20"/>
    </row>
    <row r="21048" spans="24:25">
      <c r="X21048" s="19"/>
      <c r="Y21048" s="20"/>
    </row>
    <row r="21049" spans="24:25">
      <c r="X21049" s="19"/>
      <c r="Y21049" s="20"/>
    </row>
    <row r="21050" spans="24:25">
      <c r="X21050" s="19"/>
      <c r="Y21050" s="20"/>
    </row>
    <row r="21051" spans="24:25">
      <c r="X21051" s="19"/>
      <c r="Y21051" s="20"/>
    </row>
    <row r="21052" spans="24:25">
      <c r="X21052" s="19"/>
      <c r="Y21052" s="20"/>
    </row>
    <row r="21053" spans="24:25">
      <c r="X21053" s="19"/>
      <c r="Y21053" s="20"/>
    </row>
    <row r="21054" spans="24:25">
      <c r="X21054" s="19"/>
      <c r="Y21054" s="20"/>
    </row>
    <row r="21055" spans="24:25">
      <c r="X21055" s="19"/>
      <c r="Y21055" s="20"/>
    </row>
    <row r="21056" spans="24:25">
      <c r="X21056" s="19"/>
      <c r="Y21056" s="20"/>
    </row>
    <row r="21057" spans="24:25">
      <c r="X21057" s="19"/>
      <c r="Y21057" s="20"/>
    </row>
    <row r="21058" spans="24:25">
      <c r="X21058" s="19"/>
      <c r="Y21058" s="20"/>
    </row>
    <row r="21059" spans="24:25">
      <c r="X21059" s="19"/>
      <c r="Y21059" s="20"/>
    </row>
    <row r="21060" spans="24:25">
      <c r="X21060" s="19"/>
      <c r="Y21060" s="20"/>
    </row>
    <row r="21061" spans="24:25">
      <c r="X21061" s="19"/>
      <c r="Y21061" s="20"/>
    </row>
    <row r="21062" spans="24:25">
      <c r="X21062" s="19"/>
      <c r="Y21062" s="20"/>
    </row>
    <row r="21063" spans="24:25">
      <c r="X21063" s="19"/>
      <c r="Y21063" s="20"/>
    </row>
    <row r="21064" spans="24:25">
      <c r="X21064" s="19"/>
      <c r="Y21064" s="20"/>
    </row>
    <row r="21065" spans="24:25">
      <c r="X21065" s="19"/>
      <c r="Y21065" s="20"/>
    </row>
    <row r="21066" spans="24:25">
      <c r="X21066" s="19"/>
      <c r="Y21066" s="20"/>
    </row>
    <row r="21067" spans="24:25">
      <c r="X21067" s="19"/>
      <c r="Y21067" s="20"/>
    </row>
    <row r="21068" spans="24:25">
      <c r="X21068" s="19"/>
      <c r="Y21068" s="20"/>
    </row>
    <row r="21069" spans="24:25">
      <c r="X21069" s="19"/>
      <c r="Y21069" s="20"/>
    </row>
    <row r="21070" spans="24:25">
      <c r="X21070" s="19"/>
      <c r="Y21070" s="20"/>
    </row>
    <row r="21071" spans="24:25">
      <c r="X21071" s="19"/>
      <c r="Y21071" s="20"/>
    </row>
    <row r="21072" spans="24:25">
      <c r="X21072" s="19"/>
      <c r="Y21072" s="20"/>
    </row>
    <row r="21073" spans="24:25">
      <c r="X21073" s="19"/>
      <c r="Y21073" s="20"/>
    </row>
    <row r="21074" spans="24:25">
      <c r="X21074" s="19"/>
      <c r="Y21074" s="20"/>
    </row>
    <row r="21075" spans="24:25">
      <c r="X21075" s="19"/>
      <c r="Y21075" s="20"/>
    </row>
    <row r="21076" spans="24:25">
      <c r="X21076" s="19"/>
      <c r="Y21076" s="20"/>
    </row>
    <row r="21077" spans="24:25">
      <c r="X21077" s="19"/>
      <c r="Y21077" s="20"/>
    </row>
    <row r="21078" spans="24:25">
      <c r="X21078" s="19"/>
      <c r="Y21078" s="20"/>
    </row>
    <row r="21079" spans="24:25">
      <c r="X21079" s="19"/>
      <c r="Y21079" s="20"/>
    </row>
    <row r="21080" spans="24:25">
      <c r="X21080" s="19"/>
      <c r="Y21080" s="20"/>
    </row>
    <row r="21081" spans="24:25">
      <c r="X21081" s="19"/>
      <c r="Y21081" s="20"/>
    </row>
    <row r="21082" spans="24:25">
      <c r="X21082" s="19"/>
      <c r="Y21082" s="20"/>
    </row>
    <row r="21083" spans="24:25">
      <c r="X21083" s="19"/>
      <c r="Y21083" s="20"/>
    </row>
    <row r="21084" spans="24:25">
      <c r="X21084" s="19"/>
      <c r="Y21084" s="20"/>
    </row>
    <row r="21085" spans="24:25">
      <c r="X21085" s="19"/>
      <c r="Y21085" s="20"/>
    </row>
    <row r="21086" spans="24:25">
      <c r="X21086" s="19"/>
      <c r="Y21086" s="20"/>
    </row>
    <row r="21087" spans="24:25">
      <c r="X21087" s="19"/>
      <c r="Y21087" s="20"/>
    </row>
    <row r="21088" spans="24:25">
      <c r="X21088" s="19"/>
      <c r="Y21088" s="20"/>
    </row>
    <row r="21089" spans="24:25">
      <c r="X21089" s="19"/>
      <c r="Y21089" s="20"/>
    </row>
    <row r="21090" spans="24:25">
      <c r="X21090" s="19"/>
      <c r="Y21090" s="20"/>
    </row>
    <row r="21091" spans="24:25">
      <c r="X21091" s="19"/>
      <c r="Y21091" s="20"/>
    </row>
    <row r="21092" spans="24:25">
      <c r="X21092" s="19"/>
      <c r="Y21092" s="20"/>
    </row>
    <row r="21093" spans="24:25">
      <c r="X21093" s="19"/>
      <c r="Y21093" s="20"/>
    </row>
    <row r="21094" spans="24:25">
      <c r="X21094" s="19"/>
      <c r="Y21094" s="20"/>
    </row>
    <row r="21095" spans="24:25">
      <c r="X21095" s="19"/>
      <c r="Y21095" s="20"/>
    </row>
    <row r="21096" spans="24:25">
      <c r="X21096" s="19"/>
      <c r="Y21096" s="20"/>
    </row>
    <row r="21097" spans="24:25">
      <c r="X21097" s="19"/>
      <c r="Y21097" s="20"/>
    </row>
    <row r="21098" spans="24:25">
      <c r="X21098" s="19"/>
      <c r="Y21098" s="20"/>
    </row>
    <row r="21099" spans="24:25">
      <c r="X21099" s="19"/>
      <c r="Y21099" s="20"/>
    </row>
    <row r="21100" spans="24:25">
      <c r="X21100" s="19"/>
      <c r="Y21100" s="20"/>
    </row>
    <row r="21101" spans="24:25">
      <c r="X21101" s="19"/>
      <c r="Y21101" s="20"/>
    </row>
    <row r="21102" spans="24:25">
      <c r="X21102" s="19"/>
      <c r="Y21102" s="20"/>
    </row>
    <row r="21103" spans="24:25">
      <c r="X21103" s="19"/>
      <c r="Y21103" s="20"/>
    </row>
    <row r="21104" spans="24:25">
      <c r="X21104" s="19"/>
      <c r="Y21104" s="20"/>
    </row>
    <row r="21105" spans="24:25">
      <c r="X21105" s="19"/>
      <c r="Y21105" s="20"/>
    </row>
    <row r="21106" spans="24:25">
      <c r="X21106" s="19"/>
      <c r="Y21106" s="20"/>
    </row>
    <row r="21107" spans="24:25">
      <c r="X21107" s="19"/>
      <c r="Y21107" s="20"/>
    </row>
    <row r="21108" spans="24:25">
      <c r="X21108" s="19"/>
      <c r="Y21108" s="20"/>
    </row>
    <row r="21109" spans="24:25">
      <c r="X21109" s="19"/>
      <c r="Y21109" s="20"/>
    </row>
    <row r="21110" spans="24:25">
      <c r="X21110" s="19"/>
      <c r="Y21110" s="20"/>
    </row>
    <row r="21111" spans="24:25">
      <c r="X21111" s="19"/>
      <c r="Y21111" s="20"/>
    </row>
    <row r="21112" spans="24:25">
      <c r="X21112" s="19"/>
      <c r="Y21112" s="20"/>
    </row>
    <row r="21113" spans="24:25">
      <c r="X21113" s="19"/>
      <c r="Y21113" s="20"/>
    </row>
    <row r="21114" spans="24:25">
      <c r="X21114" s="19"/>
      <c r="Y21114" s="20"/>
    </row>
    <row r="21115" spans="24:25">
      <c r="X21115" s="19"/>
      <c r="Y21115" s="20"/>
    </row>
    <row r="21116" spans="24:25">
      <c r="X21116" s="19"/>
      <c r="Y21116" s="20"/>
    </row>
    <row r="21117" spans="24:25">
      <c r="X21117" s="19"/>
      <c r="Y21117" s="20"/>
    </row>
    <row r="21118" spans="24:25">
      <c r="X21118" s="19"/>
      <c r="Y21118" s="20"/>
    </row>
    <row r="21119" spans="24:25">
      <c r="X21119" s="19"/>
      <c r="Y21119" s="20"/>
    </row>
    <row r="21120" spans="24:25">
      <c r="X21120" s="19"/>
      <c r="Y21120" s="20"/>
    </row>
    <row r="21121" spans="24:25">
      <c r="X21121" s="19"/>
      <c r="Y21121" s="20"/>
    </row>
    <row r="21122" spans="24:25">
      <c r="X21122" s="19"/>
      <c r="Y21122" s="20"/>
    </row>
    <row r="21123" spans="24:25">
      <c r="X21123" s="19"/>
      <c r="Y21123" s="20"/>
    </row>
    <row r="21124" spans="24:25">
      <c r="X21124" s="19"/>
      <c r="Y21124" s="20"/>
    </row>
    <row r="21125" spans="24:25">
      <c r="X21125" s="19"/>
      <c r="Y21125" s="20"/>
    </row>
    <row r="21126" spans="24:25">
      <c r="X21126" s="19"/>
      <c r="Y21126" s="20"/>
    </row>
    <row r="21127" spans="24:25">
      <c r="X21127" s="19"/>
      <c r="Y21127" s="20"/>
    </row>
    <row r="21128" spans="24:25">
      <c r="X21128" s="19"/>
      <c r="Y21128" s="20"/>
    </row>
    <row r="21129" spans="24:25">
      <c r="X21129" s="19"/>
      <c r="Y21129" s="20"/>
    </row>
    <row r="21130" spans="24:25">
      <c r="X21130" s="19"/>
      <c r="Y21130" s="20"/>
    </row>
    <row r="21131" spans="24:25">
      <c r="X21131" s="19"/>
      <c r="Y21131" s="20"/>
    </row>
    <row r="21132" spans="24:25">
      <c r="X21132" s="19"/>
      <c r="Y21132" s="20"/>
    </row>
    <row r="21133" spans="24:25">
      <c r="X21133" s="19"/>
      <c r="Y21133" s="20"/>
    </row>
    <row r="21134" spans="24:25">
      <c r="X21134" s="19"/>
      <c r="Y21134" s="20"/>
    </row>
    <row r="21135" spans="24:25">
      <c r="X21135" s="19"/>
      <c r="Y21135" s="20"/>
    </row>
    <row r="21136" spans="24:25">
      <c r="X21136" s="19"/>
      <c r="Y21136" s="20"/>
    </row>
    <row r="21137" spans="24:25">
      <c r="X21137" s="19"/>
      <c r="Y21137" s="20"/>
    </row>
    <row r="21138" spans="24:25">
      <c r="X21138" s="19"/>
      <c r="Y21138" s="20"/>
    </row>
    <row r="21139" spans="24:25">
      <c r="X21139" s="19"/>
      <c r="Y21139" s="20"/>
    </row>
    <row r="21140" spans="24:25">
      <c r="X21140" s="19"/>
      <c r="Y21140" s="20"/>
    </row>
    <row r="21141" spans="24:25">
      <c r="X21141" s="19"/>
      <c r="Y21141" s="20"/>
    </row>
    <row r="21142" spans="24:25">
      <c r="X21142" s="19"/>
      <c r="Y21142" s="20"/>
    </row>
    <row r="21143" spans="24:25">
      <c r="X21143" s="19"/>
      <c r="Y21143" s="20"/>
    </row>
    <row r="21144" spans="24:25">
      <c r="X21144" s="19"/>
      <c r="Y21144" s="20"/>
    </row>
    <row r="21145" spans="24:25">
      <c r="X21145" s="19"/>
      <c r="Y21145" s="20"/>
    </row>
    <row r="21146" spans="24:25">
      <c r="X21146" s="19"/>
      <c r="Y21146" s="20"/>
    </row>
    <row r="21147" spans="24:25">
      <c r="X21147" s="19"/>
      <c r="Y21147" s="20"/>
    </row>
    <row r="21148" spans="24:25">
      <c r="X21148" s="19"/>
      <c r="Y21148" s="20"/>
    </row>
    <row r="21149" spans="24:25">
      <c r="X21149" s="19"/>
      <c r="Y21149" s="20"/>
    </row>
    <row r="21150" spans="24:25">
      <c r="X21150" s="19"/>
      <c r="Y21150" s="20"/>
    </row>
    <row r="21151" spans="24:25">
      <c r="X21151" s="19"/>
      <c r="Y21151" s="20"/>
    </row>
    <row r="21152" spans="24:25">
      <c r="X21152" s="19"/>
      <c r="Y21152" s="20"/>
    </row>
    <row r="21153" spans="24:25">
      <c r="X21153" s="19"/>
      <c r="Y21153" s="20"/>
    </row>
    <row r="21154" spans="24:25">
      <c r="X21154" s="19"/>
      <c r="Y21154" s="20"/>
    </row>
    <row r="21155" spans="24:25">
      <c r="X21155" s="19"/>
      <c r="Y21155" s="20"/>
    </row>
    <row r="21156" spans="24:25">
      <c r="X21156" s="19"/>
      <c r="Y21156" s="20"/>
    </row>
    <row r="21157" spans="24:25">
      <c r="X21157" s="19"/>
      <c r="Y21157" s="20"/>
    </row>
    <row r="21158" spans="24:25">
      <c r="X21158" s="19"/>
      <c r="Y21158" s="20"/>
    </row>
    <row r="21159" spans="24:25">
      <c r="X21159" s="19"/>
      <c r="Y21159" s="20"/>
    </row>
    <row r="21160" spans="24:25">
      <c r="X21160" s="19"/>
      <c r="Y21160" s="20"/>
    </row>
    <row r="21161" spans="24:25">
      <c r="X21161" s="19"/>
      <c r="Y21161" s="20"/>
    </row>
    <row r="21162" spans="24:25">
      <c r="X21162" s="19"/>
      <c r="Y21162" s="20"/>
    </row>
    <row r="21163" spans="24:25">
      <c r="X21163" s="19"/>
      <c r="Y21163" s="20"/>
    </row>
    <row r="21164" spans="24:25">
      <c r="X21164" s="19"/>
      <c r="Y21164" s="20"/>
    </row>
    <row r="21165" spans="24:25">
      <c r="X21165" s="19"/>
      <c r="Y21165" s="20"/>
    </row>
    <row r="21166" spans="24:25">
      <c r="X21166" s="19"/>
      <c r="Y21166" s="20"/>
    </row>
    <row r="21167" spans="24:25">
      <c r="X21167" s="19"/>
      <c r="Y21167" s="20"/>
    </row>
    <row r="21168" spans="24:25">
      <c r="X21168" s="19"/>
      <c r="Y21168" s="20"/>
    </row>
    <row r="21169" spans="24:25">
      <c r="X21169" s="19"/>
      <c r="Y21169" s="20"/>
    </row>
    <row r="21170" spans="24:25">
      <c r="X21170" s="19"/>
      <c r="Y21170" s="20"/>
    </row>
    <row r="21171" spans="24:25">
      <c r="X21171" s="19"/>
      <c r="Y21171" s="20"/>
    </row>
    <row r="21172" spans="24:25">
      <c r="X21172" s="19"/>
      <c r="Y21172" s="20"/>
    </row>
    <row r="21173" spans="24:25">
      <c r="X21173" s="19"/>
      <c r="Y21173" s="20"/>
    </row>
    <row r="21174" spans="24:25">
      <c r="X21174" s="19"/>
      <c r="Y21174" s="20"/>
    </row>
    <row r="21175" spans="24:25">
      <c r="X21175" s="19"/>
      <c r="Y21175" s="20"/>
    </row>
    <row r="21176" spans="24:25">
      <c r="X21176" s="19"/>
      <c r="Y21176" s="20"/>
    </row>
    <row r="21177" spans="24:25">
      <c r="X21177" s="19"/>
      <c r="Y21177" s="20"/>
    </row>
    <row r="21178" spans="24:25">
      <c r="X21178" s="19"/>
      <c r="Y21178" s="20"/>
    </row>
    <row r="21179" spans="24:25">
      <c r="X21179" s="19"/>
      <c r="Y21179" s="20"/>
    </row>
    <row r="21180" spans="24:25">
      <c r="X21180" s="19"/>
      <c r="Y21180" s="20"/>
    </row>
    <row r="21181" spans="24:25">
      <c r="X21181" s="19"/>
      <c r="Y21181" s="20"/>
    </row>
    <row r="21182" spans="24:25">
      <c r="X21182" s="19"/>
      <c r="Y21182" s="20"/>
    </row>
    <row r="21183" spans="24:25">
      <c r="X21183" s="19"/>
      <c r="Y21183" s="20"/>
    </row>
    <row r="21184" spans="24:25">
      <c r="X21184" s="19"/>
      <c r="Y21184" s="20"/>
    </row>
    <row r="21185" spans="24:25">
      <c r="X21185" s="19"/>
      <c r="Y21185" s="20"/>
    </row>
    <row r="21186" spans="24:25">
      <c r="X21186" s="19"/>
      <c r="Y21186" s="20"/>
    </row>
    <row r="21187" spans="24:25">
      <c r="X21187" s="19"/>
      <c r="Y21187" s="20"/>
    </row>
    <row r="21188" spans="24:25">
      <c r="X21188" s="19"/>
      <c r="Y21188" s="20"/>
    </row>
    <row r="21189" spans="24:25">
      <c r="X21189" s="19"/>
      <c r="Y21189" s="20"/>
    </row>
    <row r="21190" spans="24:25">
      <c r="X21190" s="19"/>
      <c r="Y21190" s="20"/>
    </row>
    <row r="21191" spans="24:25">
      <c r="X21191" s="19"/>
      <c r="Y21191" s="20"/>
    </row>
    <row r="21192" spans="24:25">
      <c r="X21192" s="19"/>
      <c r="Y21192" s="20"/>
    </row>
    <row r="21193" spans="24:25">
      <c r="X21193" s="19"/>
      <c r="Y21193" s="20"/>
    </row>
    <row r="21194" spans="24:25">
      <c r="X21194" s="19"/>
      <c r="Y21194" s="20"/>
    </row>
    <row r="21195" spans="24:25">
      <c r="X21195" s="19"/>
      <c r="Y21195" s="20"/>
    </row>
    <row r="21196" spans="24:25">
      <c r="X21196" s="19"/>
      <c r="Y21196" s="20"/>
    </row>
    <row r="21197" spans="24:25">
      <c r="X21197" s="19"/>
      <c r="Y21197" s="20"/>
    </row>
    <row r="21198" spans="24:25">
      <c r="X21198" s="19"/>
      <c r="Y21198" s="20"/>
    </row>
    <row r="21199" spans="24:25">
      <c r="X21199" s="19"/>
      <c r="Y21199" s="20"/>
    </row>
    <row r="21200" spans="24:25">
      <c r="X21200" s="19"/>
      <c r="Y21200" s="20"/>
    </row>
    <row r="21201" spans="24:25">
      <c r="X21201" s="19"/>
      <c r="Y21201" s="20"/>
    </row>
    <row r="21202" spans="24:25">
      <c r="X21202" s="19"/>
      <c r="Y21202" s="20"/>
    </row>
    <row r="21203" spans="24:25">
      <c r="X21203" s="19"/>
      <c r="Y21203" s="20"/>
    </row>
    <row r="21204" spans="24:25">
      <c r="X21204" s="19"/>
      <c r="Y21204" s="20"/>
    </row>
    <row r="21205" spans="24:25">
      <c r="X21205" s="19"/>
      <c r="Y21205" s="20"/>
    </row>
    <row r="21206" spans="24:25">
      <c r="X21206" s="19"/>
      <c r="Y21206" s="20"/>
    </row>
    <row r="21207" spans="24:25">
      <c r="X21207" s="19"/>
      <c r="Y21207" s="20"/>
    </row>
    <row r="21208" spans="24:25">
      <c r="X21208" s="19"/>
      <c r="Y21208" s="20"/>
    </row>
    <row r="21209" spans="24:25">
      <c r="X21209" s="19"/>
      <c r="Y21209" s="20"/>
    </row>
    <row r="21210" spans="24:25">
      <c r="X21210" s="19"/>
      <c r="Y21210" s="20"/>
    </row>
    <row r="21211" spans="24:25">
      <c r="X21211" s="19"/>
      <c r="Y21211" s="20"/>
    </row>
    <row r="21212" spans="24:25">
      <c r="X21212" s="19"/>
      <c r="Y21212" s="20"/>
    </row>
    <row r="21213" spans="24:25">
      <c r="X21213" s="19"/>
      <c r="Y21213" s="20"/>
    </row>
    <row r="21214" spans="24:25">
      <c r="X21214" s="19"/>
      <c r="Y21214" s="20"/>
    </row>
    <row r="21215" spans="24:25">
      <c r="X21215" s="19"/>
      <c r="Y21215" s="20"/>
    </row>
    <row r="21216" spans="24:25">
      <c r="X21216" s="19"/>
      <c r="Y21216" s="20"/>
    </row>
    <row r="21217" spans="24:25">
      <c r="X21217" s="19"/>
      <c r="Y21217" s="20"/>
    </row>
    <row r="21218" spans="24:25">
      <c r="X21218" s="19"/>
      <c r="Y21218" s="20"/>
    </row>
    <row r="21219" spans="24:25">
      <c r="X21219" s="19"/>
      <c r="Y21219" s="20"/>
    </row>
    <row r="21220" spans="24:25">
      <c r="X21220" s="19"/>
      <c r="Y21220" s="20"/>
    </row>
    <row r="21221" spans="24:25">
      <c r="X21221" s="19"/>
      <c r="Y21221" s="20"/>
    </row>
    <row r="21222" spans="24:25">
      <c r="X21222" s="19"/>
      <c r="Y21222" s="20"/>
    </row>
    <row r="21223" spans="24:25">
      <c r="X21223" s="19"/>
      <c r="Y21223" s="20"/>
    </row>
    <row r="21224" spans="24:25">
      <c r="X21224" s="19"/>
      <c r="Y21224" s="20"/>
    </row>
    <row r="21225" spans="24:25">
      <c r="X21225" s="19"/>
      <c r="Y21225" s="20"/>
    </row>
    <row r="21226" spans="24:25">
      <c r="X21226" s="19"/>
      <c r="Y21226" s="20"/>
    </row>
    <row r="21227" spans="24:25">
      <c r="X21227" s="19"/>
      <c r="Y21227" s="20"/>
    </row>
    <row r="21228" spans="24:25">
      <c r="X21228" s="19"/>
      <c r="Y21228" s="20"/>
    </row>
    <row r="21229" spans="24:25">
      <c r="X21229" s="19"/>
      <c r="Y21229" s="20"/>
    </row>
    <row r="21230" spans="24:25">
      <c r="X21230" s="19"/>
      <c r="Y21230" s="20"/>
    </row>
    <row r="21231" spans="24:25">
      <c r="X21231" s="19"/>
      <c r="Y21231" s="20"/>
    </row>
    <row r="21232" spans="24:25">
      <c r="X21232" s="19"/>
      <c r="Y21232" s="20"/>
    </row>
    <row r="21233" spans="24:25">
      <c r="X21233" s="19"/>
      <c r="Y21233" s="20"/>
    </row>
    <row r="21234" spans="24:25">
      <c r="X21234" s="19"/>
      <c r="Y21234" s="20"/>
    </row>
    <row r="21235" spans="24:25">
      <c r="X21235" s="19"/>
      <c r="Y21235" s="20"/>
    </row>
    <row r="21236" spans="24:25">
      <c r="X21236" s="19"/>
      <c r="Y21236" s="20"/>
    </row>
    <row r="21237" spans="24:25">
      <c r="X21237" s="19"/>
      <c r="Y21237" s="20"/>
    </row>
    <row r="21238" spans="24:25">
      <c r="X21238" s="19"/>
      <c r="Y21238" s="20"/>
    </row>
    <row r="21239" spans="24:25">
      <c r="X21239" s="19"/>
      <c r="Y21239" s="20"/>
    </row>
    <row r="21240" spans="24:25">
      <c r="X21240" s="19"/>
      <c r="Y21240" s="20"/>
    </row>
    <row r="21241" spans="24:25">
      <c r="X21241" s="19"/>
      <c r="Y21241" s="20"/>
    </row>
    <row r="21242" spans="24:25">
      <c r="X21242" s="19"/>
      <c r="Y21242" s="20"/>
    </row>
    <row r="21243" spans="24:25">
      <c r="X21243" s="19"/>
      <c r="Y21243" s="20"/>
    </row>
    <row r="21244" spans="24:25">
      <c r="X21244" s="19"/>
      <c r="Y21244" s="20"/>
    </row>
    <row r="21245" spans="24:25">
      <c r="X21245" s="19"/>
      <c r="Y21245" s="20"/>
    </row>
    <row r="21246" spans="24:25">
      <c r="X21246" s="19"/>
      <c r="Y21246" s="20"/>
    </row>
    <row r="21247" spans="24:25">
      <c r="X21247" s="19"/>
      <c r="Y21247" s="20"/>
    </row>
    <row r="21248" spans="24:25">
      <c r="X21248" s="19"/>
      <c r="Y21248" s="20"/>
    </row>
    <row r="21249" spans="24:25">
      <c r="X21249" s="19"/>
      <c r="Y21249" s="20"/>
    </row>
    <row r="21250" spans="24:25">
      <c r="X21250" s="19"/>
      <c r="Y21250" s="20"/>
    </row>
    <row r="21251" spans="24:25">
      <c r="X21251" s="19"/>
      <c r="Y21251" s="20"/>
    </row>
    <row r="21252" spans="24:25">
      <c r="X21252" s="19"/>
      <c r="Y21252" s="20"/>
    </row>
    <row r="21253" spans="24:25">
      <c r="X21253" s="19"/>
      <c r="Y21253" s="20"/>
    </row>
    <row r="21254" spans="24:25">
      <c r="X21254" s="19"/>
      <c r="Y21254" s="20"/>
    </row>
    <row r="21255" spans="24:25">
      <c r="X21255" s="19"/>
      <c r="Y21255" s="20"/>
    </row>
    <row r="21256" spans="24:25">
      <c r="X21256" s="19"/>
      <c r="Y21256" s="20"/>
    </row>
    <row r="21257" spans="24:25">
      <c r="X21257" s="19"/>
      <c r="Y21257" s="20"/>
    </row>
    <row r="21258" spans="24:25">
      <c r="X21258" s="19"/>
      <c r="Y21258" s="20"/>
    </row>
    <row r="21259" spans="24:25">
      <c r="X21259" s="19"/>
      <c r="Y21259" s="20"/>
    </row>
    <row r="21260" spans="24:25">
      <c r="X21260" s="19"/>
      <c r="Y21260" s="20"/>
    </row>
    <row r="21261" spans="24:25">
      <c r="X21261" s="19"/>
      <c r="Y21261" s="20"/>
    </row>
    <row r="21262" spans="24:25">
      <c r="X21262" s="19"/>
      <c r="Y21262" s="20"/>
    </row>
    <row r="21263" spans="24:25">
      <c r="X21263" s="19"/>
      <c r="Y21263" s="20"/>
    </row>
    <row r="21264" spans="24:25">
      <c r="X21264" s="19"/>
      <c r="Y21264" s="20"/>
    </row>
    <row r="21265" spans="24:25">
      <c r="X21265" s="19"/>
      <c r="Y21265" s="20"/>
    </row>
    <row r="21266" spans="24:25">
      <c r="X21266" s="19"/>
      <c r="Y21266" s="20"/>
    </row>
    <row r="21267" spans="24:25">
      <c r="X21267" s="19"/>
      <c r="Y21267" s="20"/>
    </row>
    <row r="21268" spans="24:25">
      <c r="X21268" s="19"/>
      <c r="Y21268" s="20"/>
    </row>
    <row r="21269" spans="24:25">
      <c r="X21269" s="19"/>
      <c r="Y21269" s="20"/>
    </row>
    <row r="21270" spans="24:25">
      <c r="X21270" s="19"/>
      <c r="Y21270" s="20"/>
    </row>
    <row r="21271" spans="24:25">
      <c r="X21271" s="19"/>
      <c r="Y21271" s="20"/>
    </row>
    <row r="21272" spans="24:25">
      <c r="X21272" s="19"/>
      <c r="Y21272" s="20"/>
    </row>
    <row r="21273" spans="24:25">
      <c r="X21273" s="19"/>
      <c r="Y21273" s="20"/>
    </row>
    <row r="21274" spans="24:25">
      <c r="X21274" s="19"/>
      <c r="Y21274" s="20"/>
    </row>
    <row r="21275" spans="24:25">
      <c r="X21275" s="19"/>
      <c r="Y21275" s="20"/>
    </row>
    <row r="21276" spans="24:25">
      <c r="X21276" s="19"/>
      <c r="Y21276" s="20"/>
    </row>
    <row r="21277" spans="24:25">
      <c r="X21277" s="19"/>
      <c r="Y21277" s="20"/>
    </row>
    <row r="21278" spans="24:25">
      <c r="X21278" s="19"/>
      <c r="Y21278" s="20"/>
    </row>
    <row r="21279" spans="24:25">
      <c r="X21279" s="19"/>
      <c r="Y21279" s="20"/>
    </row>
    <row r="21280" spans="24:25">
      <c r="X21280" s="19"/>
      <c r="Y21280" s="20"/>
    </row>
    <row r="21281" spans="24:25">
      <c r="X21281" s="19"/>
      <c r="Y21281" s="20"/>
    </row>
    <row r="21282" spans="24:25">
      <c r="X21282" s="19"/>
      <c r="Y21282" s="20"/>
    </row>
    <row r="21283" spans="24:25">
      <c r="X21283" s="19"/>
      <c r="Y21283" s="20"/>
    </row>
    <row r="21284" spans="24:25">
      <c r="X21284" s="19"/>
      <c r="Y21284" s="20"/>
    </row>
    <row r="21285" spans="24:25">
      <c r="X21285" s="19"/>
      <c r="Y21285" s="20"/>
    </row>
    <row r="21286" spans="24:25">
      <c r="X21286" s="19"/>
      <c r="Y21286" s="20"/>
    </row>
    <row r="21287" spans="24:25">
      <c r="X21287" s="19"/>
      <c r="Y21287" s="20"/>
    </row>
    <row r="21288" spans="24:25">
      <c r="X21288" s="19"/>
      <c r="Y21288" s="20"/>
    </row>
    <row r="21289" spans="24:25">
      <c r="X21289" s="19"/>
      <c r="Y21289" s="20"/>
    </row>
    <row r="21290" spans="24:25">
      <c r="X21290" s="19"/>
      <c r="Y21290" s="20"/>
    </row>
    <row r="21291" spans="24:25">
      <c r="X21291" s="19"/>
      <c r="Y21291" s="20"/>
    </row>
    <row r="21292" spans="24:25">
      <c r="X21292" s="19"/>
      <c r="Y21292" s="20"/>
    </row>
    <row r="21293" spans="24:25">
      <c r="X21293" s="19"/>
      <c r="Y21293" s="20"/>
    </row>
    <row r="21294" spans="24:25">
      <c r="X21294" s="19"/>
      <c r="Y21294" s="20"/>
    </row>
    <row r="21295" spans="24:25">
      <c r="X21295" s="19"/>
      <c r="Y21295" s="20"/>
    </row>
    <row r="21296" spans="24:25">
      <c r="X21296" s="19"/>
      <c r="Y21296" s="20"/>
    </row>
    <row r="21297" spans="24:25">
      <c r="X21297" s="19"/>
      <c r="Y21297" s="20"/>
    </row>
    <row r="21298" spans="24:25">
      <c r="X21298" s="19"/>
      <c r="Y21298" s="20"/>
    </row>
    <row r="21299" spans="24:25">
      <c r="X21299" s="19"/>
      <c r="Y21299" s="20"/>
    </row>
    <row r="21300" spans="24:25">
      <c r="X21300" s="19"/>
      <c r="Y21300" s="20"/>
    </row>
    <row r="21301" spans="24:25">
      <c r="X21301" s="19"/>
      <c r="Y21301" s="20"/>
    </row>
    <row r="21302" spans="24:25">
      <c r="X21302" s="19"/>
      <c r="Y21302" s="20"/>
    </row>
    <row r="21303" spans="24:25">
      <c r="X21303" s="19"/>
      <c r="Y21303" s="20"/>
    </row>
    <row r="21304" spans="24:25">
      <c r="X21304" s="19"/>
      <c r="Y21304" s="20"/>
    </row>
    <row r="21305" spans="24:25">
      <c r="X21305" s="19"/>
      <c r="Y21305" s="20"/>
    </row>
    <row r="21306" spans="24:25">
      <c r="X21306" s="19"/>
      <c r="Y21306" s="20"/>
    </row>
    <row r="21307" spans="24:25">
      <c r="X21307" s="19"/>
      <c r="Y21307" s="20"/>
    </row>
    <row r="21308" spans="24:25">
      <c r="X21308" s="19"/>
      <c r="Y21308" s="20"/>
    </row>
    <row r="21309" spans="24:25">
      <c r="X21309" s="19"/>
      <c r="Y21309" s="20"/>
    </row>
    <row r="21310" spans="24:25">
      <c r="X21310" s="19"/>
      <c r="Y21310" s="20"/>
    </row>
    <row r="21311" spans="24:25">
      <c r="X21311" s="19"/>
      <c r="Y21311" s="20"/>
    </row>
    <row r="21312" spans="24:25">
      <c r="X21312" s="19"/>
      <c r="Y21312" s="20"/>
    </row>
    <row r="21313" spans="24:25">
      <c r="X21313" s="19"/>
      <c r="Y21313" s="20"/>
    </row>
    <row r="21314" spans="24:25">
      <c r="X21314" s="19"/>
      <c r="Y21314" s="20"/>
    </row>
    <row r="21315" spans="24:25">
      <c r="X21315" s="19"/>
      <c r="Y21315" s="20"/>
    </row>
    <row r="21316" spans="24:25">
      <c r="X21316" s="19"/>
      <c r="Y21316" s="20"/>
    </row>
    <row r="21317" spans="24:25">
      <c r="X21317" s="19"/>
      <c r="Y21317" s="20"/>
    </row>
    <row r="21318" spans="24:25">
      <c r="X21318" s="19"/>
      <c r="Y21318" s="20"/>
    </row>
    <row r="21319" spans="24:25">
      <c r="X21319" s="19"/>
      <c r="Y21319" s="20"/>
    </row>
    <row r="21320" spans="24:25">
      <c r="X21320" s="19"/>
      <c r="Y21320" s="20"/>
    </row>
    <row r="21321" spans="24:25">
      <c r="X21321" s="19"/>
      <c r="Y21321" s="20"/>
    </row>
    <row r="21322" spans="24:25">
      <c r="X21322" s="19"/>
      <c r="Y21322" s="20"/>
    </row>
    <row r="21323" spans="24:25">
      <c r="X21323" s="19"/>
      <c r="Y21323" s="20"/>
    </row>
    <row r="21324" spans="24:25">
      <c r="X21324" s="19"/>
      <c r="Y21324" s="20"/>
    </row>
    <row r="21325" spans="24:25">
      <c r="X21325" s="19"/>
      <c r="Y21325" s="20"/>
    </row>
    <row r="21326" spans="24:25">
      <c r="X21326" s="19"/>
      <c r="Y21326" s="20"/>
    </row>
    <row r="21327" spans="24:25">
      <c r="X21327" s="19"/>
      <c r="Y21327" s="20"/>
    </row>
    <row r="21328" spans="24:25">
      <c r="X21328" s="19"/>
      <c r="Y21328" s="20"/>
    </row>
    <row r="21329" spans="24:25">
      <c r="X21329" s="19"/>
      <c r="Y21329" s="20"/>
    </row>
    <row r="21330" spans="24:25">
      <c r="X21330" s="19"/>
      <c r="Y21330" s="20"/>
    </row>
    <row r="21331" spans="24:25">
      <c r="X21331" s="19"/>
      <c r="Y21331" s="20"/>
    </row>
    <row r="21332" spans="24:25">
      <c r="X21332" s="19"/>
      <c r="Y21332" s="20"/>
    </row>
    <row r="21333" spans="24:25">
      <c r="X21333" s="19"/>
      <c r="Y21333" s="20"/>
    </row>
    <row r="21334" spans="24:25">
      <c r="X21334" s="19"/>
      <c r="Y21334" s="20"/>
    </row>
    <row r="21335" spans="24:25">
      <c r="X21335" s="19"/>
      <c r="Y21335" s="20"/>
    </row>
    <row r="21336" spans="24:25">
      <c r="X21336" s="19"/>
      <c r="Y21336" s="20"/>
    </row>
    <row r="21337" spans="24:25">
      <c r="X21337" s="19"/>
      <c r="Y21337" s="20"/>
    </row>
    <row r="21338" spans="24:25">
      <c r="X21338" s="19"/>
      <c r="Y21338" s="20"/>
    </row>
    <row r="21339" spans="24:25">
      <c r="X21339" s="19"/>
      <c r="Y21339" s="20"/>
    </row>
    <row r="21340" spans="24:25">
      <c r="X21340" s="19"/>
      <c r="Y21340" s="20"/>
    </row>
    <row r="21341" spans="24:25">
      <c r="X21341" s="19"/>
      <c r="Y21341" s="20"/>
    </row>
    <row r="21342" spans="24:25">
      <c r="X21342" s="19"/>
      <c r="Y21342" s="20"/>
    </row>
    <row r="21343" spans="24:25">
      <c r="X21343" s="19"/>
      <c r="Y21343" s="20"/>
    </row>
    <row r="21344" spans="24:25">
      <c r="X21344" s="19"/>
      <c r="Y21344" s="20"/>
    </row>
    <row r="21345" spans="24:25">
      <c r="X21345" s="19"/>
      <c r="Y21345" s="20"/>
    </row>
    <row r="21346" spans="24:25">
      <c r="X21346" s="19"/>
      <c r="Y21346" s="20"/>
    </row>
    <row r="21347" spans="24:25">
      <c r="X21347" s="19"/>
      <c r="Y21347" s="20"/>
    </row>
    <row r="21348" spans="24:25">
      <c r="X21348" s="19"/>
      <c r="Y21348" s="20"/>
    </row>
    <row r="21349" spans="24:25">
      <c r="X21349" s="19"/>
      <c r="Y21349" s="20"/>
    </row>
    <row r="21350" spans="24:25">
      <c r="X21350" s="19"/>
      <c r="Y21350" s="20"/>
    </row>
    <row r="21351" spans="24:25">
      <c r="X21351" s="19"/>
      <c r="Y21351" s="20"/>
    </row>
    <row r="21352" spans="24:25">
      <c r="X21352" s="19"/>
      <c r="Y21352" s="20"/>
    </row>
    <row r="21353" spans="24:25">
      <c r="X21353" s="19"/>
      <c r="Y21353" s="20"/>
    </row>
    <row r="21354" spans="24:25">
      <c r="X21354" s="19"/>
      <c r="Y21354" s="20"/>
    </row>
    <row r="21355" spans="24:25">
      <c r="X21355" s="19"/>
      <c r="Y21355" s="20"/>
    </row>
    <row r="21356" spans="24:25">
      <c r="X21356" s="19"/>
      <c r="Y21356" s="20"/>
    </row>
    <row r="21357" spans="24:25">
      <c r="X21357" s="19"/>
      <c r="Y21357" s="20"/>
    </row>
    <row r="21358" spans="24:25">
      <c r="X21358" s="19"/>
      <c r="Y21358" s="20"/>
    </row>
    <row r="21359" spans="24:25">
      <c r="X21359" s="19"/>
      <c r="Y21359" s="20"/>
    </row>
    <row r="21360" spans="24:25">
      <c r="X21360" s="19"/>
      <c r="Y21360" s="20"/>
    </row>
    <row r="21361" spans="24:25">
      <c r="X21361" s="19"/>
      <c r="Y21361" s="20"/>
    </row>
    <row r="21362" spans="24:25">
      <c r="X21362" s="19"/>
      <c r="Y21362" s="20"/>
    </row>
    <row r="21363" spans="24:25">
      <c r="X21363" s="19"/>
      <c r="Y21363" s="20"/>
    </row>
    <row r="21364" spans="24:25">
      <c r="X21364" s="19"/>
      <c r="Y21364" s="20"/>
    </row>
    <row r="21365" spans="24:25">
      <c r="X21365" s="19"/>
      <c r="Y21365" s="20"/>
    </row>
    <row r="21366" spans="24:25">
      <c r="X21366" s="19"/>
      <c r="Y21366" s="20"/>
    </row>
    <row r="21367" spans="24:25">
      <c r="X21367" s="19"/>
      <c r="Y21367" s="20"/>
    </row>
    <row r="21368" spans="24:25">
      <c r="X21368" s="19"/>
      <c r="Y21368" s="20"/>
    </row>
    <row r="21369" spans="24:25">
      <c r="X21369" s="19"/>
      <c r="Y21369" s="20"/>
    </row>
    <row r="21370" spans="24:25">
      <c r="X21370" s="19"/>
      <c r="Y21370" s="20"/>
    </row>
    <row r="21371" spans="24:25">
      <c r="X21371" s="19"/>
      <c r="Y21371" s="20"/>
    </row>
    <row r="21372" spans="24:25">
      <c r="X21372" s="19"/>
      <c r="Y21372" s="20"/>
    </row>
    <row r="21373" spans="24:25">
      <c r="X21373" s="19"/>
      <c r="Y21373" s="20"/>
    </row>
    <row r="21374" spans="24:25">
      <c r="X21374" s="19"/>
      <c r="Y21374" s="20"/>
    </row>
    <row r="21375" spans="24:25">
      <c r="X21375" s="19"/>
      <c r="Y21375" s="20"/>
    </row>
    <row r="21376" spans="24:25">
      <c r="X21376" s="19"/>
      <c r="Y21376" s="20"/>
    </row>
    <row r="21377" spans="24:25">
      <c r="X21377" s="19"/>
      <c r="Y21377" s="20"/>
    </row>
    <row r="21378" spans="24:25">
      <c r="X21378" s="19"/>
      <c r="Y21378" s="20"/>
    </row>
    <row r="21379" spans="24:25">
      <c r="X21379" s="19"/>
      <c r="Y21379" s="20"/>
    </row>
    <row r="21380" spans="24:25">
      <c r="X21380" s="19"/>
      <c r="Y21380" s="20"/>
    </row>
    <row r="21381" spans="24:25">
      <c r="X21381" s="19"/>
      <c r="Y21381" s="20"/>
    </row>
    <row r="21382" spans="24:25">
      <c r="X21382" s="19"/>
      <c r="Y21382" s="20"/>
    </row>
    <row r="21383" spans="24:25">
      <c r="X21383" s="19"/>
      <c r="Y21383" s="20"/>
    </row>
    <row r="21384" spans="24:25">
      <c r="X21384" s="19"/>
      <c r="Y21384" s="20"/>
    </row>
    <row r="21385" spans="24:25">
      <c r="X21385" s="19"/>
      <c r="Y21385" s="20"/>
    </row>
    <row r="21386" spans="24:25">
      <c r="X21386" s="19"/>
      <c r="Y21386" s="20"/>
    </row>
    <row r="21387" spans="24:25">
      <c r="X21387" s="19"/>
      <c r="Y21387" s="20"/>
    </row>
    <row r="21388" spans="24:25">
      <c r="X21388" s="19"/>
      <c r="Y21388" s="20"/>
    </row>
    <row r="21389" spans="24:25">
      <c r="X21389" s="19"/>
      <c r="Y21389" s="20"/>
    </row>
    <row r="21390" spans="24:25">
      <c r="X21390" s="19"/>
      <c r="Y21390" s="20"/>
    </row>
    <row r="21391" spans="24:25">
      <c r="X21391" s="19"/>
      <c r="Y21391" s="20"/>
    </row>
    <row r="21392" spans="24:25">
      <c r="X21392" s="19"/>
      <c r="Y21392" s="20"/>
    </row>
    <row r="21393" spans="24:25">
      <c r="X21393" s="19"/>
      <c r="Y21393" s="20"/>
    </row>
    <row r="21394" spans="24:25">
      <c r="X21394" s="19"/>
      <c r="Y21394" s="20"/>
    </row>
    <row r="21395" spans="24:25">
      <c r="X21395" s="19"/>
      <c r="Y21395" s="20"/>
    </row>
    <row r="21396" spans="24:25">
      <c r="X21396" s="19"/>
      <c r="Y21396" s="20"/>
    </row>
    <row r="21397" spans="24:25">
      <c r="X21397" s="19"/>
      <c r="Y21397" s="20"/>
    </row>
    <row r="21398" spans="24:25">
      <c r="X21398" s="19"/>
      <c r="Y21398" s="20"/>
    </row>
    <row r="21399" spans="24:25">
      <c r="X21399" s="19"/>
      <c r="Y21399" s="20"/>
    </row>
    <row r="21400" spans="24:25">
      <c r="X21400" s="19"/>
      <c r="Y21400" s="20"/>
    </row>
    <row r="21401" spans="24:25">
      <c r="X21401" s="19"/>
      <c r="Y21401" s="20"/>
    </row>
    <row r="21402" spans="24:25">
      <c r="X21402" s="19"/>
      <c r="Y21402" s="20"/>
    </row>
    <row r="21403" spans="24:25">
      <c r="X21403" s="19"/>
      <c r="Y21403" s="20"/>
    </row>
    <row r="21404" spans="24:25">
      <c r="X21404" s="19"/>
      <c r="Y21404" s="20"/>
    </row>
    <row r="21405" spans="24:25">
      <c r="X21405" s="19"/>
      <c r="Y21405" s="20"/>
    </row>
    <row r="21406" spans="24:25">
      <c r="X21406" s="19"/>
      <c r="Y21406" s="20"/>
    </row>
    <row r="21407" spans="24:25">
      <c r="X21407" s="19"/>
      <c r="Y21407" s="20"/>
    </row>
    <row r="21408" spans="24:25">
      <c r="X21408" s="19"/>
      <c r="Y21408" s="20"/>
    </row>
    <row r="21409" spans="24:25">
      <c r="X21409" s="19"/>
      <c r="Y21409" s="20"/>
    </row>
    <row r="21410" spans="24:25">
      <c r="X21410" s="19"/>
      <c r="Y21410" s="20"/>
    </row>
    <row r="21411" spans="24:25">
      <c r="X21411" s="19"/>
      <c r="Y21411" s="20"/>
    </row>
    <row r="21412" spans="24:25">
      <c r="X21412" s="19"/>
      <c r="Y21412" s="20"/>
    </row>
    <row r="21413" spans="24:25">
      <c r="X21413" s="19"/>
      <c r="Y21413" s="20"/>
    </row>
    <row r="21414" spans="24:25">
      <c r="X21414" s="19"/>
      <c r="Y21414" s="20"/>
    </row>
    <row r="21415" spans="24:25">
      <c r="X21415" s="19"/>
      <c r="Y21415" s="20"/>
    </row>
    <row r="21416" spans="24:25">
      <c r="X21416" s="19"/>
      <c r="Y21416" s="20"/>
    </row>
    <row r="21417" spans="24:25">
      <c r="X21417" s="19"/>
      <c r="Y21417" s="20"/>
    </row>
    <row r="21418" spans="24:25">
      <c r="X21418" s="19"/>
      <c r="Y21418" s="20"/>
    </row>
    <row r="21419" spans="24:25">
      <c r="X21419" s="19"/>
      <c r="Y21419" s="20"/>
    </row>
    <row r="21420" spans="24:25">
      <c r="X21420" s="19"/>
      <c r="Y21420" s="20"/>
    </row>
    <row r="21421" spans="24:25">
      <c r="X21421" s="19"/>
      <c r="Y21421" s="20"/>
    </row>
    <row r="21422" spans="24:25">
      <c r="X21422" s="19"/>
      <c r="Y21422" s="20"/>
    </row>
    <row r="21423" spans="24:25">
      <c r="X21423" s="19"/>
      <c r="Y21423" s="20"/>
    </row>
    <row r="21424" spans="24:25">
      <c r="X21424" s="19"/>
      <c r="Y21424" s="20"/>
    </row>
    <row r="21425" spans="24:25">
      <c r="X21425" s="19"/>
      <c r="Y21425" s="20"/>
    </row>
    <row r="21426" spans="24:25">
      <c r="X21426" s="19"/>
      <c r="Y21426" s="20"/>
    </row>
    <row r="21427" spans="24:25">
      <c r="X21427" s="19"/>
      <c r="Y21427" s="20"/>
    </row>
    <row r="21428" spans="24:25">
      <c r="X21428" s="19"/>
      <c r="Y21428" s="20"/>
    </row>
    <row r="21429" spans="24:25">
      <c r="X21429" s="19"/>
      <c r="Y21429" s="20"/>
    </row>
    <row r="21430" spans="24:25">
      <c r="X21430" s="19"/>
      <c r="Y21430" s="20"/>
    </row>
    <row r="21431" spans="24:25">
      <c r="X21431" s="19"/>
      <c r="Y21431" s="20"/>
    </row>
    <row r="21432" spans="24:25">
      <c r="X21432" s="19"/>
      <c r="Y21432" s="20"/>
    </row>
    <row r="21433" spans="24:25">
      <c r="X21433" s="19"/>
      <c r="Y21433" s="20"/>
    </row>
    <row r="21434" spans="24:25">
      <c r="X21434" s="19"/>
      <c r="Y21434" s="20"/>
    </row>
    <row r="21435" spans="24:25">
      <c r="X21435" s="19"/>
      <c r="Y21435" s="20"/>
    </row>
    <row r="21436" spans="24:25">
      <c r="X21436" s="19"/>
      <c r="Y21436" s="20"/>
    </row>
    <row r="21437" spans="24:25">
      <c r="X21437" s="19"/>
      <c r="Y21437" s="20"/>
    </row>
    <row r="21438" spans="24:25">
      <c r="X21438" s="19"/>
      <c r="Y21438" s="20"/>
    </row>
    <row r="21439" spans="24:25">
      <c r="X21439" s="19"/>
      <c r="Y21439" s="20"/>
    </row>
    <row r="21440" spans="24:25">
      <c r="X21440" s="19"/>
      <c r="Y21440" s="20"/>
    </row>
    <row r="21441" spans="24:25">
      <c r="X21441" s="19"/>
      <c r="Y21441" s="20"/>
    </row>
    <row r="21442" spans="24:25">
      <c r="X21442" s="19"/>
      <c r="Y21442" s="20"/>
    </row>
    <row r="21443" spans="24:25">
      <c r="X21443" s="19"/>
      <c r="Y21443" s="20"/>
    </row>
    <row r="21444" spans="24:25">
      <c r="X21444" s="19"/>
      <c r="Y21444" s="20"/>
    </row>
    <row r="21445" spans="24:25">
      <c r="X21445" s="19"/>
      <c r="Y21445" s="20"/>
    </row>
    <row r="21446" spans="24:25">
      <c r="X21446" s="19"/>
      <c r="Y21446" s="20"/>
    </row>
    <row r="21447" spans="24:25">
      <c r="X21447" s="19"/>
      <c r="Y21447" s="20"/>
    </row>
    <row r="21448" spans="24:25">
      <c r="X21448" s="19"/>
      <c r="Y21448" s="20"/>
    </row>
    <row r="21449" spans="24:25">
      <c r="X21449" s="19"/>
      <c r="Y21449" s="20"/>
    </row>
    <row r="21450" spans="24:25">
      <c r="X21450" s="19"/>
      <c r="Y21450" s="20"/>
    </row>
    <row r="21451" spans="24:25">
      <c r="X21451" s="19"/>
      <c r="Y21451" s="20"/>
    </row>
    <row r="21452" spans="24:25">
      <c r="X21452" s="19"/>
      <c r="Y21452" s="20"/>
    </row>
    <row r="21453" spans="24:25">
      <c r="X21453" s="19"/>
      <c r="Y21453" s="20"/>
    </row>
    <row r="21454" spans="24:25">
      <c r="X21454" s="19"/>
      <c r="Y21454" s="20"/>
    </row>
    <row r="21455" spans="24:25">
      <c r="X21455" s="19"/>
      <c r="Y21455" s="20"/>
    </row>
    <row r="21456" spans="24:25">
      <c r="X21456" s="19"/>
      <c r="Y21456" s="20"/>
    </row>
    <row r="21457" spans="24:25">
      <c r="X21457" s="19"/>
      <c r="Y21457" s="20"/>
    </row>
    <row r="21458" spans="24:25">
      <c r="X21458" s="19"/>
      <c r="Y21458" s="20"/>
    </row>
    <row r="21459" spans="24:25">
      <c r="X21459" s="19"/>
      <c r="Y21459" s="20"/>
    </row>
    <row r="21460" spans="24:25">
      <c r="X21460" s="19"/>
      <c r="Y21460" s="20"/>
    </row>
    <row r="21461" spans="24:25">
      <c r="X21461" s="19"/>
      <c r="Y21461" s="20"/>
    </row>
    <row r="21462" spans="24:25">
      <c r="X21462" s="19"/>
      <c r="Y21462" s="20"/>
    </row>
    <row r="21463" spans="24:25">
      <c r="X21463" s="19"/>
      <c r="Y21463" s="20"/>
    </row>
    <row r="21464" spans="24:25">
      <c r="X21464" s="19"/>
      <c r="Y21464" s="20"/>
    </row>
    <row r="21465" spans="24:25">
      <c r="X21465" s="19"/>
      <c r="Y21465" s="20"/>
    </row>
    <row r="21466" spans="24:25">
      <c r="X21466" s="19"/>
      <c r="Y21466" s="20"/>
    </row>
    <row r="21467" spans="24:25">
      <c r="X21467" s="19"/>
      <c r="Y21467" s="20"/>
    </row>
    <row r="21468" spans="24:25">
      <c r="X21468" s="19"/>
      <c r="Y21468" s="20"/>
    </row>
    <row r="21469" spans="24:25">
      <c r="X21469" s="19"/>
      <c r="Y21469" s="20"/>
    </row>
    <row r="21470" spans="24:25">
      <c r="X21470" s="19"/>
      <c r="Y21470" s="20"/>
    </row>
    <row r="21471" spans="24:25">
      <c r="X21471" s="19"/>
      <c r="Y21471" s="20"/>
    </row>
    <row r="21472" spans="24:25">
      <c r="X21472" s="19"/>
      <c r="Y21472" s="20"/>
    </row>
    <row r="21473" spans="24:25">
      <c r="X21473" s="19"/>
      <c r="Y21473" s="20"/>
    </row>
    <row r="21474" spans="24:25">
      <c r="X21474" s="19"/>
      <c r="Y21474" s="20"/>
    </row>
    <row r="21475" spans="24:25">
      <c r="X21475" s="19"/>
      <c r="Y21475" s="20"/>
    </row>
    <row r="21476" spans="24:25">
      <c r="X21476" s="19"/>
      <c r="Y21476" s="20"/>
    </row>
    <row r="21477" spans="24:25">
      <c r="X21477" s="19"/>
      <c r="Y21477" s="20"/>
    </row>
    <row r="21478" spans="24:25">
      <c r="X21478" s="19"/>
      <c r="Y21478" s="20"/>
    </row>
    <row r="21479" spans="24:25">
      <c r="X21479" s="19"/>
      <c r="Y21479" s="20"/>
    </row>
    <row r="21480" spans="24:25">
      <c r="X21480" s="19"/>
      <c r="Y21480" s="20"/>
    </row>
    <row r="21481" spans="24:25">
      <c r="X21481" s="19"/>
      <c r="Y21481" s="20"/>
    </row>
    <row r="21482" spans="24:25">
      <c r="X21482" s="19"/>
      <c r="Y21482" s="20"/>
    </row>
    <row r="21483" spans="24:25">
      <c r="X21483" s="19"/>
      <c r="Y21483" s="20"/>
    </row>
    <row r="21484" spans="24:25">
      <c r="X21484" s="19"/>
      <c r="Y21484" s="20"/>
    </row>
    <row r="21485" spans="24:25">
      <c r="X21485" s="19"/>
      <c r="Y21485" s="20"/>
    </row>
    <row r="21486" spans="24:25">
      <c r="X21486" s="19"/>
      <c r="Y21486" s="20"/>
    </row>
    <row r="21487" spans="24:25">
      <c r="X21487" s="19"/>
      <c r="Y21487" s="20"/>
    </row>
    <row r="21488" spans="24:25">
      <c r="X21488" s="19"/>
      <c r="Y21488" s="20"/>
    </row>
    <row r="21489" spans="24:25">
      <c r="X21489" s="19"/>
      <c r="Y21489" s="20"/>
    </row>
    <row r="21490" spans="24:25">
      <c r="X21490" s="19"/>
      <c r="Y21490" s="20"/>
    </row>
    <row r="21491" spans="24:25">
      <c r="X21491" s="19"/>
      <c r="Y21491" s="20"/>
    </row>
    <row r="21492" spans="24:25">
      <c r="X21492" s="19"/>
      <c r="Y21492" s="20"/>
    </row>
    <row r="21493" spans="24:25">
      <c r="X21493" s="19"/>
      <c r="Y21493" s="20"/>
    </row>
    <row r="21494" spans="24:25">
      <c r="X21494" s="19"/>
      <c r="Y21494" s="20"/>
    </row>
    <row r="21495" spans="24:25">
      <c r="X21495" s="19"/>
      <c r="Y21495" s="20"/>
    </row>
    <row r="21496" spans="24:25">
      <c r="X21496" s="19"/>
      <c r="Y21496" s="20"/>
    </row>
    <row r="21497" spans="24:25">
      <c r="X21497" s="19"/>
      <c r="Y21497" s="20"/>
    </row>
    <row r="21498" spans="24:25">
      <c r="X21498" s="19"/>
      <c r="Y21498" s="20"/>
    </row>
    <row r="21499" spans="24:25">
      <c r="X21499" s="19"/>
      <c r="Y21499" s="20"/>
    </row>
    <row r="21500" spans="24:25">
      <c r="X21500" s="19"/>
      <c r="Y21500" s="20"/>
    </row>
    <row r="21501" spans="24:25">
      <c r="X21501" s="19"/>
      <c r="Y21501" s="20"/>
    </row>
    <row r="21502" spans="24:25">
      <c r="X21502" s="19"/>
      <c r="Y21502" s="20"/>
    </row>
    <row r="21503" spans="24:25">
      <c r="X21503" s="19"/>
      <c r="Y21503" s="20"/>
    </row>
    <row r="21504" spans="24:25">
      <c r="X21504" s="19"/>
      <c r="Y21504" s="20"/>
    </row>
    <row r="21505" spans="24:25">
      <c r="X21505" s="19"/>
      <c r="Y21505" s="20"/>
    </row>
    <row r="21506" spans="24:25">
      <c r="X21506" s="19"/>
      <c r="Y21506" s="20"/>
    </row>
    <row r="21507" spans="24:25">
      <c r="X21507" s="19"/>
      <c r="Y21507" s="20"/>
    </row>
    <row r="21508" spans="24:25">
      <c r="X21508" s="19"/>
      <c r="Y21508" s="20"/>
    </row>
    <row r="21509" spans="24:25">
      <c r="X21509" s="19"/>
      <c r="Y21509" s="20"/>
    </row>
    <row r="21510" spans="24:25">
      <c r="X21510" s="19"/>
      <c r="Y21510" s="20"/>
    </row>
    <row r="21511" spans="24:25">
      <c r="X21511" s="19"/>
      <c r="Y21511" s="20"/>
    </row>
    <row r="21512" spans="24:25">
      <c r="X21512" s="19"/>
      <c r="Y21512" s="20"/>
    </row>
    <row r="21513" spans="24:25">
      <c r="X21513" s="19"/>
      <c r="Y21513" s="20"/>
    </row>
    <row r="21514" spans="24:25">
      <c r="X21514" s="19"/>
      <c r="Y21514" s="20"/>
    </row>
    <row r="21515" spans="24:25">
      <c r="X21515" s="19"/>
      <c r="Y21515" s="20"/>
    </row>
    <row r="21516" spans="24:25">
      <c r="X21516" s="19"/>
      <c r="Y21516" s="20"/>
    </row>
    <row r="21517" spans="24:25">
      <c r="X21517" s="19"/>
      <c r="Y21517" s="20"/>
    </row>
    <row r="21518" spans="24:25">
      <c r="X21518" s="19"/>
      <c r="Y21518" s="20"/>
    </row>
    <row r="21519" spans="24:25">
      <c r="X21519" s="19"/>
      <c r="Y21519" s="20"/>
    </row>
    <row r="21520" spans="24:25">
      <c r="X21520" s="19"/>
      <c r="Y21520" s="20"/>
    </row>
    <row r="21521" spans="24:25">
      <c r="X21521" s="19"/>
      <c r="Y21521" s="20"/>
    </row>
    <row r="21522" spans="24:25">
      <c r="X21522" s="19"/>
      <c r="Y21522" s="20"/>
    </row>
    <row r="21523" spans="24:25">
      <c r="X21523" s="19"/>
      <c r="Y21523" s="20"/>
    </row>
    <row r="21524" spans="24:25">
      <c r="X21524" s="19"/>
      <c r="Y21524" s="20"/>
    </row>
    <row r="21525" spans="24:25">
      <c r="X21525" s="19"/>
      <c r="Y21525" s="20"/>
    </row>
    <row r="21526" spans="24:25">
      <c r="X21526" s="19"/>
      <c r="Y21526" s="20"/>
    </row>
    <row r="21527" spans="24:25">
      <c r="X21527" s="19"/>
      <c r="Y21527" s="20"/>
    </row>
    <row r="21528" spans="24:25">
      <c r="X21528" s="19"/>
      <c r="Y21528" s="20"/>
    </row>
    <row r="21529" spans="24:25">
      <c r="X21529" s="19"/>
      <c r="Y21529" s="20"/>
    </row>
    <row r="21530" spans="24:25">
      <c r="X21530" s="19"/>
      <c r="Y21530" s="20"/>
    </row>
    <row r="21531" spans="24:25">
      <c r="X21531" s="19"/>
      <c r="Y21531" s="20"/>
    </row>
    <row r="21532" spans="24:25">
      <c r="X21532" s="19"/>
      <c r="Y21532" s="20"/>
    </row>
    <row r="21533" spans="24:25">
      <c r="X21533" s="19"/>
      <c r="Y21533" s="20"/>
    </row>
    <row r="21534" spans="24:25">
      <c r="X21534" s="19"/>
      <c r="Y21534" s="20"/>
    </row>
    <row r="21535" spans="24:25">
      <c r="X21535" s="19"/>
      <c r="Y21535" s="20"/>
    </row>
    <row r="21536" spans="24:25">
      <c r="X21536" s="19"/>
      <c r="Y21536" s="20"/>
    </row>
    <row r="21537" spans="24:25">
      <c r="X21537" s="19"/>
      <c r="Y21537" s="20"/>
    </row>
    <row r="21538" spans="24:25">
      <c r="X21538" s="19"/>
      <c r="Y21538" s="20"/>
    </row>
    <row r="21539" spans="24:25">
      <c r="X21539" s="19"/>
      <c r="Y21539" s="20"/>
    </row>
    <row r="21540" spans="24:25">
      <c r="X21540" s="19"/>
      <c r="Y21540" s="20"/>
    </row>
    <row r="21541" spans="24:25">
      <c r="X21541" s="19"/>
      <c r="Y21541" s="20"/>
    </row>
    <row r="21542" spans="24:25">
      <c r="X21542" s="19"/>
      <c r="Y21542" s="20"/>
    </row>
    <row r="21543" spans="24:25">
      <c r="X21543" s="19"/>
      <c r="Y21543" s="20"/>
    </row>
    <row r="21544" spans="24:25">
      <c r="X21544" s="19"/>
      <c r="Y21544" s="20"/>
    </row>
    <row r="21545" spans="24:25">
      <c r="X21545" s="19"/>
      <c r="Y21545" s="20"/>
    </row>
    <row r="21546" spans="24:25">
      <c r="X21546" s="19"/>
      <c r="Y21546" s="20"/>
    </row>
    <row r="21547" spans="24:25">
      <c r="X21547" s="19"/>
      <c r="Y21547" s="20"/>
    </row>
    <row r="21548" spans="24:25">
      <c r="X21548" s="19"/>
      <c r="Y21548" s="20"/>
    </row>
    <row r="21549" spans="24:25">
      <c r="X21549" s="19"/>
      <c r="Y21549" s="20"/>
    </row>
    <row r="21550" spans="24:25">
      <c r="X21550" s="19"/>
      <c r="Y21550" s="20"/>
    </row>
    <row r="21551" spans="24:25">
      <c r="X21551" s="19"/>
      <c r="Y21551" s="20"/>
    </row>
    <row r="21552" spans="24:25">
      <c r="X21552" s="19"/>
      <c r="Y21552" s="20"/>
    </row>
    <row r="21553" spans="24:25">
      <c r="X21553" s="19"/>
      <c r="Y21553" s="20"/>
    </row>
    <row r="21554" spans="24:25">
      <c r="X21554" s="19"/>
      <c r="Y21554" s="20"/>
    </row>
    <row r="21555" spans="24:25">
      <c r="X21555" s="19"/>
      <c r="Y21555" s="20"/>
    </row>
    <row r="21556" spans="24:25">
      <c r="X21556" s="19"/>
      <c r="Y21556" s="20"/>
    </row>
    <row r="21557" spans="24:25">
      <c r="X21557" s="19"/>
      <c r="Y21557" s="20"/>
    </row>
    <row r="21558" spans="24:25">
      <c r="X21558" s="19"/>
      <c r="Y21558" s="20"/>
    </row>
    <row r="21559" spans="24:25">
      <c r="X21559" s="19"/>
      <c r="Y21559" s="20"/>
    </row>
    <row r="21560" spans="24:25">
      <c r="X21560" s="19"/>
      <c r="Y21560" s="20"/>
    </row>
    <row r="21561" spans="24:25">
      <c r="X21561" s="19"/>
      <c r="Y21561" s="20"/>
    </row>
    <row r="21562" spans="24:25">
      <c r="X21562" s="19"/>
      <c r="Y21562" s="20"/>
    </row>
    <row r="21563" spans="24:25">
      <c r="X21563" s="19"/>
      <c r="Y21563" s="20"/>
    </row>
    <row r="21564" spans="24:25">
      <c r="X21564" s="19"/>
      <c r="Y21564" s="20"/>
    </row>
    <row r="21565" spans="24:25">
      <c r="X21565" s="19"/>
      <c r="Y21565" s="20"/>
    </row>
    <row r="21566" spans="24:25">
      <c r="X21566" s="19"/>
      <c r="Y21566" s="20"/>
    </row>
    <row r="21567" spans="24:25">
      <c r="X21567" s="19"/>
      <c r="Y21567" s="20"/>
    </row>
    <row r="21568" spans="24:25">
      <c r="X21568" s="19"/>
      <c r="Y21568" s="20"/>
    </row>
    <row r="21569" spans="24:25">
      <c r="X21569" s="19"/>
      <c r="Y21569" s="20"/>
    </row>
    <row r="21570" spans="24:25">
      <c r="X21570" s="19"/>
      <c r="Y21570" s="20"/>
    </row>
    <row r="21571" spans="24:25">
      <c r="X21571" s="19"/>
      <c r="Y21571" s="20"/>
    </row>
    <row r="21572" spans="24:25">
      <c r="X21572" s="19"/>
      <c r="Y21572" s="20"/>
    </row>
    <row r="21573" spans="24:25">
      <c r="X21573" s="19"/>
      <c r="Y21573" s="20"/>
    </row>
    <row r="21574" spans="24:25">
      <c r="X21574" s="19"/>
      <c r="Y21574" s="20"/>
    </row>
    <row r="21575" spans="24:25">
      <c r="X21575" s="19"/>
      <c r="Y21575" s="20"/>
    </row>
    <row r="21576" spans="24:25">
      <c r="X21576" s="19"/>
      <c r="Y21576" s="20"/>
    </row>
    <row r="21577" spans="24:25">
      <c r="X21577" s="19"/>
      <c r="Y21577" s="20"/>
    </row>
    <row r="21578" spans="24:25">
      <c r="X21578" s="19"/>
      <c r="Y21578" s="20"/>
    </row>
    <row r="21579" spans="24:25">
      <c r="X21579" s="19"/>
      <c r="Y21579" s="20"/>
    </row>
    <row r="21580" spans="24:25">
      <c r="X21580" s="19"/>
      <c r="Y21580" s="20"/>
    </row>
    <row r="21581" spans="24:25">
      <c r="X21581" s="19"/>
      <c r="Y21581" s="20"/>
    </row>
    <row r="21582" spans="24:25">
      <c r="X21582" s="19"/>
      <c r="Y21582" s="20"/>
    </row>
    <row r="21583" spans="24:25">
      <c r="X21583" s="19"/>
      <c r="Y21583" s="20"/>
    </row>
    <row r="21584" spans="24:25">
      <c r="X21584" s="19"/>
      <c r="Y21584" s="20"/>
    </row>
    <row r="21585" spans="24:25">
      <c r="X21585" s="19"/>
      <c r="Y21585" s="20"/>
    </row>
    <row r="21586" spans="24:25">
      <c r="X21586" s="19"/>
      <c r="Y21586" s="20"/>
    </row>
    <row r="21587" spans="24:25">
      <c r="X21587" s="19"/>
      <c r="Y21587" s="20"/>
    </row>
    <row r="21588" spans="24:25">
      <c r="X21588" s="19"/>
      <c r="Y21588" s="20"/>
    </row>
    <row r="21589" spans="24:25">
      <c r="X21589" s="19"/>
      <c r="Y21589" s="20"/>
    </row>
    <row r="21590" spans="24:25">
      <c r="X21590" s="19"/>
      <c r="Y21590" s="20"/>
    </row>
    <row r="21591" spans="24:25">
      <c r="X21591" s="19"/>
      <c r="Y21591" s="20"/>
    </row>
    <row r="21592" spans="24:25">
      <c r="X21592" s="19"/>
      <c r="Y21592" s="20"/>
    </row>
    <row r="21593" spans="24:25">
      <c r="X21593" s="19"/>
      <c r="Y21593" s="20"/>
    </row>
    <row r="21594" spans="24:25">
      <c r="X21594" s="19"/>
      <c r="Y21594" s="20"/>
    </row>
    <row r="21595" spans="24:25">
      <c r="X21595" s="19"/>
      <c r="Y21595" s="20"/>
    </row>
    <row r="21596" spans="24:25">
      <c r="X21596" s="19"/>
      <c r="Y21596" s="20"/>
    </row>
    <row r="21597" spans="24:25">
      <c r="X21597" s="19"/>
      <c r="Y21597" s="20"/>
    </row>
    <row r="21598" spans="24:25">
      <c r="X21598" s="19"/>
      <c r="Y21598" s="20"/>
    </row>
    <row r="21599" spans="24:25">
      <c r="X21599" s="19"/>
      <c r="Y21599" s="20"/>
    </row>
    <row r="21600" spans="24:25">
      <c r="X21600" s="19"/>
      <c r="Y21600" s="20"/>
    </row>
    <row r="21601" spans="24:25">
      <c r="X21601" s="19"/>
      <c r="Y21601" s="20"/>
    </row>
    <row r="21602" spans="24:25">
      <c r="X21602" s="19"/>
      <c r="Y21602" s="20"/>
    </row>
    <row r="21603" spans="24:25">
      <c r="X21603" s="19"/>
      <c r="Y21603" s="20"/>
    </row>
    <row r="21604" spans="24:25">
      <c r="X21604" s="19"/>
      <c r="Y21604" s="20"/>
    </row>
    <row r="21605" spans="24:25">
      <c r="X21605" s="19"/>
      <c r="Y21605" s="20"/>
    </row>
    <row r="21606" spans="24:25">
      <c r="X21606" s="19"/>
      <c r="Y21606" s="20"/>
    </row>
    <row r="21607" spans="24:25">
      <c r="X21607" s="19"/>
      <c r="Y21607" s="20"/>
    </row>
    <row r="21608" spans="24:25">
      <c r="X21608" s="19"/>
      <c r="Y21608" s="20"/>
    </row>
    <row r="21609" spans="24:25">
      <c r="X21609" s="19"/>
      <c r="Y21609" s="20"/>
    </row>
    <row r="21610" spans="24:25">
      <c r="X21610" s="19"/>
      <c r="Y21610" s="20"/>
    </row>
    <row r="21611" spans="24:25">
      <c r="X21611" s="19"/>
      <c r="Y21611" s="20"/>
    </row>
    <row r="21612" spans="24:25">
      <c r="X21612" s="19"/>
      <c r="Y21612" s="20"/>
    </row>
    <row r="21613" spans="24:25">
      <c r="X21613" s="19"/>
      <c r="Y21613" s="20"/>
    </row>
    <row r="21614" spans="24:25">
      <c r="X21614" s="19"/>
      <c r="Y21614" s="20"/>
    </row>
    <row r="21615" spans="24:25">
      <c r="X21615" s="19"/>
      <c r="Y21615" s="20"/>
    </row>
    <row r="21616" spans="24:25">
      <c r="X21616" s="19"/>
      <c r="Y21616" s="20"/>
    </row>
    <row r="21617" spans="24:25">
      <c r="X21617" s="19"/>
      <c r="Y21617" s="20"/>
    </row>
    <row r="21618" spans="24:25">
      <c r="X21618" s="19"/>
      <c r="Y21618" s="20"/>
    </row>
    <row r="21619" spans="24:25">
      <c r="X21619" s="19"/>
      <c r="Y21619" s="20"/>
    </row>
    <row r="21620" spans="24:25">
      <c r="X21620" s="19"/>
      <c r="Y21620" s="20"/>
    </row>
    <row r="21621" spans="24:25">
      <c r="X21621" s="19"/>
      <c r="Y21621" s="20"/>
    </row>
    <row r="21622" spans="24:25">
      <c r="X21622" s="19"/>
      <c r="Y21622" s="20"/>
    </row>
    <row r="21623" spans="24:25">
      <c r="X21623" s="19"/>
      <c r="Y21623" s="20"/>
    </row>
    <row r="21624" spans="24:25">
      <c r="X21624" s="19"/>
      <c r="Y21624" s="20"/>
    </row>
    <row r="21625" spans="24:25">
      <c r="X21625" s="19"/>
      <c r="Y21625" s="20"/>
    </row>
    <row r="21626" spans="24:25">
      <c r="X21626" s="19"/>
      <c r="Y21626" s="20"/>
    </row>
    <row r="21627" spans="24:25">
      <c r="X21627" s="19"/>
      <c r="Y21627" s="20"/>
    </row>
    <row r="21628" spans="24:25">
      <c r="X21628" s="19"/>
      <c r="Y21628" s="20"/>
    </row>
    <row r="21629" spans="24:25">
      <c r="X21629" s="19"/>
      <c r="Y21629" s="20"/>
    </row>
    <row r="21630" spans="24:25">
      <c r="X21630" s="19"/>
      <c r="Y21630" s="20"/>
    </row>
    <row r="21631" spans="24:25">
      <c r="X21631" s="19"/>
      <c r="Y21631" s="20"/>
    </row>
    <row r="21632" spans="24:25">
      <c r="X21632" s="19"/>
      <c r="Y21632" s="20"/>
    </row>
    <row r="21633" spans="24:25">
      <c r="X21633" s="19"/>
      <c r="Y21633" s="20"/>
    </row>
    <row r="21634" spans="24:25">
      <c r="X21634" s="19"/>
      <c r="Y21634" s="20"/>
    </row>
    <row r="21635" spans="24:25">
      <c r="X21635" s="19"/>
      <c r="Y21635" s="20"/>
    </row>
    <row r="21636" spans="24:25">
      <c r="X21636" s="19"/>
      <c r="Y21636" s="20"/>
    </row>
    <row r="21637" spans="24:25">
      <c r="X21637" s="19"/>
      <c r="Y21637" s="20"/>
    </row>
    <row r="21638" spans="24:25">
      <c r="X21638" s="19"/>
      <c r="Y21638" s="20"/>
    </row>
    <row r="21639" spans="24:25">
      <c r="X21639" s="19"/>
      <c r="Y21639" s="20"/>
    </row>
    <row r="21640" spans="24:25">
      <c r="X21640" s="19"/>
      <c r="Y21640" s="20"/>
    </row>
    <row r="21641" spans="24:25">
      <c r="X21641" s="19"/>
      <c r="Y21641" s="20"/>
    </row>
    <row r="21642" spans="24:25">
      <c r="X21642" s="19"/>
      <c r="Y21642" s="20"/>
    </row>
    <row r="21643" spans="24:25">
      <c r="X21643" s="19"/>
      <c r="Y21643" s="20"/>
    </row>
    <row r="21644" spans="24:25">
      <c r="X21644" s="19"/>
      <c r="Y21644" s="20"/>
    </row>
    <row r="21645" spans="24:25">
      <c r="X21645" s="19"/>
      <c r="Y21645" s="20"/>
    </row>
    <row r="21646" spans="24:25">
      <c r="X21646" s="19"/>
      <c r="Y21646" s="20"/>
    </row>
    <row r="21647" spans="24:25">
      <c r="X21647" s="19"/>
      <c r="Y21647" s="20"/>
    </row>
    <row r="21648" spans="24:25">
      <c r="X21648" s="19"/>
      <c r="Y21648" s="20"/>
    </row>
    <row r="21649" spans="24:25">
      <c r="X21649" s="19"/>
      <c r="Y21649" s="20"/>
    </row>
    <row r="21650" spans="24:25">
      <c r="X21650" s="19"/>
      <c r="Y21650" s="20"/>
    </row>
    <row r="21651" spans="24:25">
      <c r="X21651" s="19"/>
      <c r="Y21651" s="20"/>
    </row>
    <row r="21652" spans="24:25">
      <c r="X21652" s="19"/>
      <c r="Y21652" s="20"/>
    </row>
    <row r="21653" spans="24:25">
      <c r="X21653" s="19"/>
      <c r="Y21653" s="20"/>
    </row>
    <row r="21654" spans="24:25">
      <c r="X21654" s="19"/>
      <c r="Y21654" s="20"/>
    </row>
    <row r="21655" spans="24:25">
      <c r="X21655" s="19"/>
      <c r="Y21655" s="20"/>
    </row>
    <row r="21656" spans="24:25">
      <c r="X21656" s="19"/>
      <c r="Y21656" s="20"/>
    </row>
    <row r="21657" spans="24:25">
      <c r="X21657" s="19"/>
      <c r="Y21657" s="20"/>
    </row>
    <row r="21658" spans="24:25">
      <c r="X21658" s="19"/>
      <c r="Y21658" s="20"/>
    </row>
    <row r="21659" spans="24:25">
      <c r="X21659" s="19"/>
      <c r="Y21659" s="20"/>
    </row>
    <row r="21660" spans="24:25">
      <c r="X21660" s="19"/>
      <c r="Y21660" s="20"/>
    </row>
    <row r="21661" spans="24:25">
      <c r="X21661" s="19"/>
      <c r="Y21661" s="20"/>
    </row>
    <row r="21662" spans="24:25">
      <c r="X21662" s="19"/>
      <c r="Y21662" s="20"/>
    </row>
    <row r="21663" spans="24:25">
      <c r="X21663" s="19"/>
      <c r="Y21663" s="20"/>
    </row>
    <row r="21664" spans="24:25">
      <c r="X21664" s="19"/>
      <c r="Y21664" s="20"/>
    </row>
    <row r="21665" spans="24:25">
      <c r="X21665" s="19"/>
      <c r="Y21665" s="20"/>
    </row>
    <row r="21666" spans="24:25">
      <c r="X21666" s="19"/>
      <c r="Y21666" s="20"/>
    </row>
    <row r="21667" spans="24:25">
      <c r="X21667" s="19"/>
      <c r="Y21667" s="20"/>
    </row>
    <row r="21668" spans="24:25">
      <c r="X21668" s="19"/>
      <c r="Y21668" s="20"/>
    </row>
    <row r="21669" spans="24:25">
      <c r="X21669" s="19"/>
      <c r="Y21669" s="20"/>
    </row>
    <row r="21670" spans="24:25">
      <c r="X21670" s="19"/>
      <c r="Y21670" s="20"/>
    </row>
    <row r="21671" spans="24:25">
      <c r="X21671" s="19"/>
      <c r="Y21671" s="20"/>
    </row>
    <row r="21672" spans="24:25">
      <c r="X21672" s="19"/>
      <c r="Y21672" s="20"/>
    </row>
    <row r="21673" spans="24:25">
      <c r="X21673" s="19"/>
      <c r="Y21673" s="20"/>
    </row>
    <row r="21674" spans="24:25">
      <c r="X21674" s="19"/>
      <c r="Y21674" s="20"/>
    </row>
    <row r="21675" spans="24:25">
      <c r="X21675" s="19"/>
      <c r="Y21675" s="20"/>
    </row>
    <row r="21676" spans="24:25">
      <c r="X21676" s="19"/>
      <c r="Y21676" s="20"/>
    </row>
    <row r="21677" spans="24:25">
      <c r="X21677" s="19"/>
      <c r="Y21677" s="20"/>
    </row>
    <row r="21678" spans="24:25">
      <c r="X21678" s="19"/>
      <c r="Y21678" s="20"/>
    </row>
    <row r="21679" spans="24:25">
      <c r="X21679" s="19"/>
      <c r="Y21679" s="20"/>
    </row>
    <row r="21680" spans="24:25">
      <c r="X21680" s="19"/>
      <c r="Y21680" s="20"/>
    </row>
    <row r="21681" spans="24:25">
      <c r="X21681" s="19"/>
      <c r="Y21681" s="20"/>
    </row>
    <row r="21682" spans="24:25">
      <c r="X21682" s="19"/>
      <c r="Y21682" s="20"/>
    </row>
    <row r="21683" spans="24:25">
      <c r="X21683" s="19"/>
      <c r="Y21683" s="20"/>
    </row>
    <row r="21684" spans="24:25">
      <c r="X21684" s="19"/>
      <c r="Y21684" s="20"/>
    </row>
    <row r="21685" spans="24:25">
      <c r="X21685" s="19"/>
      <c r="Y21685" s="20"/>
    </row>
    <row r="21686" spans="24:25">
      <c r="X21686" s="19"/>
      <c r="Y21686" s="20"/>
    </row>
    <row r="21687" spans="24:25">
      <c r="X21687" s="19"/>
      <c r="Y21687" s="20"/>
    </row>
    <row r="21688" spans="24:25">
      <c r="X21688" s="19"/>
      <c r="Y21688" s="20"/>
    </row>
    <row r="21689" spans="24:25">
      <c r="X21689" s="19"/>
      <c r="Y21689" s="20"/>
    </row>
    <row r="21690" spans="24:25">
      <c r="X21690" s="19"/>
      <c r="Y21690" s="20"/>
    </row>
    <row r="21691" spans="24:25">
      <c r="X21691" s="19"/>
      <c r="Y21691" s="20"/>
    </row>
    <row r="21692" spans="24:25">
      <c r="X21692" s="19"/>
      <c r="Y21692" s="20"/>
    </row>
    <row r="21693" spans="24:25">
      <c r="X21693" s="19"/>
      <c r="Y21693" s="20"/>
    </row>
    <row r="21694" spans="24:25">
      <c r="X21694" s="19"/>
      <c r="Y21694" s="20"/>
    </row>
    <row r="21695" spans="24:25">
      <c r="X21695" s="19"/>
      <c r="Y21695" s="20"/>
    </row>
    <row r="21696" spans="24:25">
      <c r="X21696" s="19"/>
      <c r="Y21696" s="20"/>
    </row>
    <row r="21697" spans="24:25">
      <c r="X21697" s="19"/>
      <c r="Y21697" s="20"/>
    </row>
    <row r="21698" spans="24:25">
      <c r="X21698" s="19"/>
      <c r="Y21698" s="20"/>
    </row>
    <row r="21699" spans="24:25">
      <c r="X21699" s="19"/>
      <c r="Y21699" s="20"/>
    </row>
    <row r="21700" spans="24:25">
      <c r="X21700" s="19"/>
      <c r="Y21700" s="20"/>
    </row>
    <row r="21701" spans="24:25">
      <c r="X21701" s="19"/>
      <c r="Y21701" s="20"/>
    </row>
    <row r="21702" spans="24:25">
      <c r="X21702" s="19"/>
      <c r="Y21702" s="20"/>
    </row>
    <row r="21703" spans="24:25">
      <c r="X21703" s="19"/>
      <c r="Y21703" s="20"/>
    </row>
    <row r="21704" spans="24:25">
      <c r="X21704" s="19"/>
      <c r="Y21704" s="20"/>
    </row>
    <row r="21705" spans="24:25">
      <c r="X21705" s="19"/>
      <c r="Y21705" s="20"/>
    </row>
    <row r="21706" spans="24:25">
      <c r="X21706" s="19"/>
      <c r="Y21706" s="20"/>
    </row>
    <row r="21707" spans="24:25">
      <c r="X21707" s="19"/>
      <c r="Y21707" s="20"/>
    </row>
    <row r="21708" spans="24:25">
      <c r="X21708" s="19"/>
      <c r="Y21708" s="20"/>
    </row>
    <row r="21709" spans="24:25">
      <c r="X21709" s="19"/>
      <c r="Y21709" s="20"/>
    </row>
    <row r="21710" spans="24:25">
      <c r="X21710" s="19"/>
      <c r="Y21710" s="20"/>
    </row>
    <row r="21711" spans="24:25">
      <c r="X21711" s="19"/>
      <c r="Y21711" s="20"/>
    </row>
    <row r="21712" spans="24:25">
      <c r="X21712" s="19"/>
      <c r="Y21712" s="20"/>
    </row>
    <row r="21713" spans="24:25">
      <c r="X21713" s="19"/>
      <c r="Y21713" s="20"/>
    </row>
    <row r="21714" spans="24:25">
      <c r="X21714" s="19"/>
      <c r="Y21714" s="20"/>
    </row>
    <row r="21715" spans="24:25">
      <c r="X21715" s="19"/>
      <c r="Y21715" s="20"/>
    </row>
    <row r="21716" spans="24:25">
      <c r="X21716" s="19"/>
      <c r="Y21716" s="20"/>
    </row>
    <row r="21717" spans="24:25">
      <c r="X21717" s="19"/>
      <c r="Y21717" s="20"/>
    </row>
    <row r="21718" spans="24:25">
      <c r="X21718" s="19"/>
      <c r="Y21718" s="20"/>
    </row>
    <row r="21719" spans="24:25">
      <c r="X21719" s="19"/>
      <c r="Y21719" s="20"/>
    </row>
    <row r="21720" spans="24:25">
      <c r="X21720" s="19"/>
      <c r="Y21720" s="20"/>
    </row>
    <row r="21721" spans="24:25">
      <c r="X21721" s="19"/>
      <c r="Y21721" s="20"/>
    </row>
    <row r="21722" spans="24:25">
      <c r="X21722" s="19"/>
      <c r="Y21722" s="20"/>
    </row>
    <row r="21723" spans="24:25">
      <c r="X21723" s="19"/>
      <c r="Y21723" s="20"/>
    </row>
    <row r="21724" spans="24:25">
      <c r="X21724" s="19"/>
      <c r="Y21724" s="20"/>
    </row>
    <row r="21725" spans="24:25">
      <c r="X21725" s="19"/>
      <c r="Y21725" s="20"/>
    </row>
    <row r="21726" spans="24:25">
      <c r="X21726" s="19"/>
      <c r="Y21726" s="20"/>
    </row>
    <row r="21727" spans="24:25">
      <c r="X21727" s="19"/>
      <c r="Y21727" s="20"/>
    </row>
    <row r="21728" spans="24:25">
      <c r="X21728" s="19"/>
      <c r="Y21728" s="20"/>
    </row>
    <row r="21729" spans="24:25">
      <c r="X21729" s="19"/>
      <c r="Y21729" s="20"/>
    </row>
    <row r="21730" spans="24:25">
      <c r="X21730" s="19"/>
      <c r="Y21730" s="20"/>
    </row>
    <row r="21731" spans="24:25">
      <c r="X21731" s="19"/>
      <c r="Y21731" s="20"/>
    </row>
    <row r="21732" spans="24:25">
      <c r="X21732" s="19"/>
      <c r="Y21732" s="20"/>
    </row>
    <row r="21733" spans="24:25">
      <c r="X21733" s="19"/>
      <c r="Y21733" s="20"/>
    </row>
    <row r="21734" spans="24:25">
      <c r="X21734" s="19"/>
      <c r="Y21734" s="20"/>
    </row>
    <row r="21735" spans="24:25">
      <c r="X21735" s="19"/>
      <c r="Y21735" s="20"/>
    </row>
    <row r="21736" spans="24:25">
      <c r="X21736" s="19"/>
      <c r="Y21736" s="20"/>
    </row>
    <row r="21737" spans="24:25">
      <c r="X21737" s="19"/>
      <c r="Y21737" s="20"/>
    </row>
    <row r="21738" spans="24:25">
      <c r="X21738" s="19"/>
      <c r="Y21738" s="20"/>
    </row>
    <row r="21739" spans="24:25">
      <c r="X21739" s="19"/>
      <c r="Y21739" s="20"/>
    </row>
    <row r="21740" spans="24:25">
      <c r="X21740" s="19"/>
      <c r="Y21740" s="20"/>
    </row>
    <row r="21741" spans="24:25">
      <c r="X21741" s="19"/>
      <c r="Y21741" s="20"/>
    </row>
    <row r="21742" spans="24:25">
      <c r="X21742" s="19"/>
      <c r="Y21742" s="20"/>
    </row>
    <row r="21743" spans="24:25">
      <c r="X21743" s="19"/>
      <c r="Y21743" s="20"/>
    </row>
    <row r="21744" spans="24:25">
      <c r="X21744" s="19"/>
      <c r="Y21744" s="20"/>
    </row>
    <row r="21745" spans="24:25">
      <c r="X21745" s="19"/>
      <c r="Y21745" s="20"/>
    </row>
    <row r="21746" spans="24:25">
      <c r="X21746" s="19"/>
      <c r="Y21746" s="20"/>
    </row>
    <row r="21747" spans="24:25">
      <c r="X21747" s="19"/>
      <c r="Y21747" s="20"/>
    </row>
    <row r="21748" spans="24:25">
      <c r="X21748" s="19"/>
      <c r="Y21748" s="20"/>
    </row>
    <row r="21749" spans="24:25">
      <c r="X21749" s="19"/>
      <c r="Y21749" s="20"/>
    </row>
    <row r="21750" spans="24:25">
      <c r="X21750" s="19"/>
      <c r="Y21750" s="20"/>
    </row>
    <row r="21751" spans="24:25">
      <c r="X21751" s="19"/>
      <c r="Y21751" s="20"/>
    </row>
    <row r="21752" spans="24:25">
      <c r="X21752" s="19"/>
      <c r="Y21752" s="20"/>
    </row>
    <row r="21753" spans="24:25">
      <c r="X21753" s="19"/>
      <c r="Y21753" s="20"/>
    </row>
    <row r="21754" spans="24:25">
      <c r="X21754" s="19"/>
      <c r="Y21754" s="20"/>
    </row>
    <row r="21755" spans="24:25">
      <c r="X21755" s="19"/>
      <c r="Y21755" s="20"/>
    </row>
    <row r="21756" spans="24:25">
      <c r="X21756" s="19"/>
      <c r="Y21756" s="20"/>
    </row>
    <row r="21757" spans="24:25">
      <c r="X21757" s="19"/>
      <c r="Y21757" s="20"/>
    </row>
    <row r="21758" spans="24:25">
      <c r="X21758" s="19"/>
      <c r="Y21758" s="20"/>
    </row>
    <row r="21759" spans="24:25">
      <c r="X21759" s="19"/>
      <c r="Y21759" s="20"/>
    </row>
    <row r="21760" spans="24:25">
      <c r="X21760" s="19"/>
      <c r="Y21760" s="20"/>
    </row>
    <row r="21761" spans="24:25">
      <c r="X21761" s="19"/>
      <c r="Y21761" s="20"/>
    </row>
    <row r="21762" spans="24:25">
      <c r="X21762" s="19"/>
      <c r="Y21762" s="20"/>
    </row>
    <row r="21763" spans="24:25">
      <c r="X21763" s="19"/>
      <c r="Y21763" s="20"/>
    </row>
    <row r="21764" spans="24:25">
      <c r="X21764" s="19"/>
      <c r="Y21764" s="20"/>
    </row>
    <row r="21765" spans="24:25">
      <c r="X21765" s="19"/>
      <c r="Y21765" s="20"/>
    </row>
    <row r="21766" spans="24:25">
      <c r="X21766" s="19"/>
      <c r="Y21766" s="20"/>
    </row>
    <row r="21767" spans="24:25">
      <c r="X21767" s="19"/>
      <c r="Y21767" s="20"/>
    </row>
    <row r="21768" spans="24:25">
      <c r="X21768" s="19"/>
      <c r="Y21768" s="20"/>
    </row>
    <row r="21769" spans="24:25">
      <c r="X21769" s="19"/>
      <c r="Y21769" s="20"/>
    </row>
    <row r="21770" spans="24:25">
      <c r="X21770" s="19"/>
      <c r="Y21770" s="20"/>
    </row>
    <row r="21771" spans="24:25">
      <c r="X21771" s="19"/>
      <c r="Y21771" s="20"/>
    </row>
    <row r="21772" spans="24:25">
      <c r="X21772" s="19"/>
      <c r="Y21772" s="20"/>
    </row>
    <row r="21773" spans="24:25">
      <c r="X21773" s="19"/>
      <c r="Y21773" s="20"/>
    </row>
    <row r="21774" spans="24:25">
      <c r="X21774" s="19"/>
      <c r="Y21774" s="20"/>
    </row>
    <row r="21775" spans="24:25">
      <c r="X21775" s="19"/>
      <c r="Y21775" s="20"/>
    </row>
    <row r="21776" spans="24:25">
      <c r="X21776" s="19"/>
      <c r="Y21776" s="20"/>
    </row>
    <row r="21777" spans="24:25">
      <c r="X21777" s="19"/>
      <c r="Y21777" s="20"/>
    </row>
    <row r="21778" spans="24:25">
      <c r="X21778" s="19"/>
      <c r="Y21778" s="20"/>
    </row>
    <row r="21779" spans="24:25">
      <c r="X21779" s="19"/>
      <c r="Y21779" s="20"/>
    </row>
    <row r="21780" spans="24:25">
      <c r="X21780" s="19"/>
      <c r="Y21780" s="20"/>
    </row>
    <row r="21781" spans="24:25">
      <c r="X21781" s="19"/>
      <c r="Y21781" s="20"/>
    </row>
    <row r="21782" spans="24:25">
      <c r="X21782" s="19"/>
      <c r="Y21782" s="20"/>
    </row>
    <row r="21783" spans="24:25">
      <c r="X21783" s="19"/>
      <c r="Y21783" s="20"/>
    </row>
    <row r="21784" spans="24:25">
      <c r="X21784" s="19"/>
      <c r="Y21784" s="20"/>
    </row>
    <row r="21785" spans="24:25">
      <c r="X21785" s="19"/>
      <c r="Y21785" s="20"/>
    </row>
    <row r="21786" spans="24:25">
      <c r="X21786" s="19"/>
      <c r="Y21786" s="20"/>
    </row>
    <row r="21787" spans="24:25">
      <c r="X21787" s="19"/>
      <c r="Y21787" s="20"/>
    </row>
    <row r="21788" spans="24:25">
      <c r="X21788" s="19"/>
      <c r="Y21788" s="20"/>
    </row>
    <row r="21789" spans="24:25">
      <c r="X21789" s="19"/>
      <c r="Y21789" s="20"/>
    </row>
    <row r="21790" spans="24:25">
      <c r="X21790" s="19"/>
      <c r="Y21790" s="20"/>
    </row>
    <row r="21791" spans="24:25">
      <c r="X21791" s="19"/>
      <c r="Y21791" s="20"/>
    </row>
    <row r="21792" spans="24:25">
      <c r="X21792" s="19"/>
      <c r="Y21792" s="20"/>
    </row>
    <row r="21793" spans="24:25">
      <c r="X21793" s="19"/>
      <c r="Y21793" s="20"/>
    </row>
    <row r="21794" spans="24:25">
      <c r="X21794" s="19"/>
      <c r="Y21794" s="20"/>
    </row>
    <row r="21795" spans="24:25">
      <c r="X21795" s="19"/>
      <c r="Y21795" s="20"/>
    </row>
    <row r="21796" spans="24:25">
      <c r="X21796" s="19"/>
      <c r="Y21796" s="20"/>
    </row>
    <row r="21797" spans="24:25">
      <c r="X21797" s="19"/>
      <c r="Y21797" s="20"/>
    </row>
    <row r="21798" spans="24:25">
      <c r="X21798" s="19"/>
      <c r="Y21798" s="20"/>
    </row>
    <row r="21799" spans="24:25">
      <c r="X21799" s="19"/>
      <c r="Y21799" s="20"/>
    </row>
    <row r="21800" spans="24:25">
      <c r="X21800" s="19"/>
      <c r="Y21800" s="20"/>
    </row>
    <row r="21801" spans="24:25">
      <c r="X21801" s="19"/>
      <c r="Y21801" s="20"/>
    </row>
    <row r="21802" spans="24:25">
      <c r="X21802" s="19"/>
      <c r="Y21802" s="20"/>
    </row>
    <row r="21803" spans="24:25">
      <c r="X21803" s="19"/>
      <c r="Y21803" s="20"/>
    </row>
    <row r="21804" spans="24:25">
      <c r="X21804" s="19"/>
      <c r="Y21804" s="20"/>
    </row>
    <row r="21805" spans="24:25">
      <c r="X21805" s="19"/>
      <c r="Y21805" s="20"/>
    </row>
    <row r="21806" spans="24:25">
      <c r="X21806" s="19"/>
      <c r="Y21806" s="20"/>
    </row>
    <row r="21807" spans="24:25">
      <c r="X21807" s="19"/>
      <c r="Y21807" s="20"/>
    </row>
    <row r="21808" spans="24:25">
      <c r="X21808" s="19"/>
      <c r="Y21808" s="20"/>
    </row>
    <row r="21809" spans="24:25">
      <c r="X21809" s="19"/>
      <c r="Y21809" s="20"/>
    </row>
    <row r="21810" spans="24:25">
      <c r="X21810" s="19"/>
      <c r="Y21810" s="20"/>
    </row>
    <row r="21811" spans="24:25">
      <c r="X21811" s="19"/>
      <c r="Y21811" s="20"/>
    </row>
    <row r="21812" spans="24:25">
      <c r="X21812" s="19"/>
      <c r="Y21812" s="20"/>
    </row>
    <row r="21813" spans="24:25">
      <c r="X21813" s="19"/>
      <c r="Y21813" s="20"/>
    </row>
    <row r="21814" spans="24:25">
      <c r="X21814" s="19"/>
      <c r="Y21814" s="20"/>
    </row>
    <row r="21815" spans="24:25">
      <c r="X21815" s="19"/>
      <c r="Y21815" s="20"/>
    </row>
    <row r="21816" spans="24:25">
      <c r="X21816" s="19"/>
      <c r="Y21816" s="20"/>
    </row>
    <row r="21817" spans="24:25">
      <c r="X21817" s="19"/>
      <c r="Y21817" s="20"/>
    </row>
    <row r="21818" spans="24:25">
      <c r="X21818" s="19"/>
      <c r="Y21818" s="20"/>
    </row>
    <row r="21819" spans="24:25">
      <c r="X21819" s="19"/>
      <c r="Y21819" s="20"/>
    </row>
    <row r="21820" spans="24:25">
      <c r="X21820" s="19"/>
      <c r="Y21820" s="20"/>
    </row>
    <row r="21821" spans="24:25">
      <c r="X21821" s="19"/>
      <c r="Y21821" s="20"/>
    </row>
    <row r="21822" spans="24:25">
      <c r="X21822" s="19"/>
      <c r="Y21822" s="20"/>
    </row>
    <row r="21823" spans="24:25">
      <c r="X21823" s="19"/>
      <c r="Y21823" s="20"/>
    </row>
    <row r="21824" spans="24:25">
      <c r="X21824" s="19"/>
      <c r="Y21824" s="20"/>
    </row>
    <row r="21825" spans="24:25">
      <c r="X21825" s="19"/>
      <c r="Y21825" s="20"/>
    </row>
    <row r="21826" spans="24:25">
      <c r="X21826" s="19"/>
      <c r="Y21826" s="20"/>
    </row>
    <row r="21827" spans="24:25">
      <c r="X21827" s="19"/>
      <c r="Y21827" s="20"/>
    </row>
    <row r="21828" spans="24:25">
      <c r="X21828" s="19"/>
      <c r="Y21828" s="20"/>
    </row>
    <row r="21829" spans="24:25">
      <c r="X21829" s="19"/>
      <c r="Y21829" s="20"/>
    </row>
    <row r="21830" spans="24:25">
      <c r="X21830" s="19"/>
      <c r="Y21830" s="20"/>
    </row>
    <row r="21831" spans="24:25">
      <c r="X21831" s="19"/>
      <c r="Y21831" s="20"/>
    </row>
    <row r="21832" spans="24:25">
      <c r="X21832" s="19"/>
      <c r="Y21832" s="20"/>
    </row>
    <row r="21833" spans="24:25">
      <c r="X21833" s="19"/>
      <c r="Y21833" s="20"/>
    </row>
    <row r="21834" spans="24:25">
      <c r="X21834" s="19"/>
      <c r="Y21834" s="20"/>
    </row>
    <row r="21835" spans="24:25">
      <c r="X21835" s="19"/>
      <c r="Y21835" s="20"/>
    </row>
    <row r="21836" spans="24:25">
      <c r="X21836" s="19"/>
      <c r="Y21836" s="20"/>
    </row>
    <row r="21837" spans="24:25">
      <c r="X21837" s="19"/>
      <c r="Y21837" s="20"/>
    </row>
    <row r="21838" spans="24:25">
      <c r="X21838" s="19"/>
      <c r="Y21838" s="20"/>
    </row>
    <row r="21839" spans="24:25">
      <c r="X21839" s="19"/>
      <c r="Y21839" s="20"/>
    </row>
    <row r="21840" spans="24:25">
      <c r="X21840" s="19"/>
      <c r="Y21840" s="20"/>
    </row>
    <row r="21841" spans="24:25">
      <c r="X21841" s="19"/>
      <c r="Y21841" s="20"/>
    </row>
    <row r="21842" spans="24:25">
      <c r="X21842" s="19"/>
      <c r="Y21842" s="20"/>
    </row>
    <row r="21843" spans="24:25">
      <c r="X21843" s="19"/>
      <c r="Y21843" s="20"/>
    </row>
    <row r="21844" spans="24:25">
      <c r="X21844" s="19"/>
      <c r="Y21844" s="20"/>
    </row>
    <row r="21845" spans="24:25">
      <c r="X21845" s="19"/>
      <c r="Y21845" s="20"/>
    </row>
    <row r="21846" spans="24:25">
      <c r="X21846" s="19"/>
      <c r="Y21846" s="20"/>
    </row>
    <row r="21847" spans="24:25">
      <c r="X21847" s="19"/>
      <c r="Y21847" s="20"/>
    </row>
    <row r="21848" spans="24:25">
      <c r="X21848" s="19"/>
      <c r="Y21848" s="20"/>
    </row>
    <row r="21849" spans="24:25">
      <c r="X21849" s="19"/>
      <c r="Y21849" s="20"/>
    </row>
    <row r="21850" spans="24:25">
      <c r="X21850" s="19"/>
      <c r="Y21850" s="20"/>
    </row>
    <row r="21851" spans="24:25">
      <c r="X21851" s="19"/>
      <c r="Y21851" s="20"/>
    </row>
    <row r="21852" spans="24:25">
      <c r="X21852" s="19"/>
      <c r="Y21852" s="20"/>
    </row>
    <row r="21853" spans="24:25">
      <c r="X21853" s="19"/>
      <c r="Y21853" s="20"/>
    </row>
    <row r="21854" spans="24:25">
      <c r="X21854" s="19"/>
      <c r="Y21854" s="20"/>
    </row>
    <row r="21855" spans="24:25">
      <c r="X21855" s="19"/>
      <c r="Y21855" s="20"/>
    </row>
    <row r="21856" spans="24:25">
      <c r="X21856" s="19"/>
      <c r="Y21856" s="20"/>
    </row>
    <row r="21857" spans="24:25">
      <c r="X21857" s="19"/>
      <c r="Y21857" s="20"/>
    </row>
    <row r="21858" spans="24:25">
      <c r="X21858" s="19"/>
      <c r="Y21858" s="20"/>
    </row>
    <row r="21859" spans="24:25">
      <c r="X21859" s="19"/>
      <c r="Y21859" s="20"/>
    </row>
    <row r="21860" spans="24:25">
      <c r="X21860" s="19"/>
      <c r="Y21860" s="20"/>
    </row>
    <row r="21861" spans="24:25">
      <c r="X21861" s="19"/>
      <c r="Y21861" s="20"/>
    </row>
    <row r="21862" spans="24:25">
      <c r="X21862" s="19"/>
      <c r="Y21862" s="20"/>
    </row>
    <row r="21863" spans="24:25">
      <c r="X21863" s="19"/>
      <c r="Y21863" s="20"/>
    </row>
    <row r="21864" spans="24:25">
      <c r="X21864" s="19"/>
      <c r="Y21864" s="20"/>
    </row>
    <row r="21865" spans="24:25">
      <c r="X21865" s="19"/>
      <c r="Y21865" s="20"/>
    </row>
    <row r="21866" spans="24:25">
      <c r="X21866" s="19"/>
      <c r="Y21866" s="20"/>
    </row>
    <row r="21867" spans="24:25">
      <c r="X21867" s="19"/>
      <c r="Y21867" s="20"/>
    </row>
    <row r="21868" spans="24:25">
      <c r="X21868" s="19"/>
      <c r="Y21868" s="20"/>
    </row>
    <row r="21869" spans="24:25">
      <c r="X21869" s="19"/>
      <c r="Y21869" s="20"/>
    </row>
    <row r="21870" spans="24:25">
      <c r="X21870" s="19"/>
      <c r="Y21870" s="20"/>
    </row>
    <row r="21871" spans="24:25">
      <c r="X21871" s="19"/>
      <c r="Y21871" s="20"/>
    </row>
    <row r="21872" spans="24:25">
      <c r="X21872" s="19"/>
      <c r="Y21872" s="20"/>
    </row>
    <row r="21873" spans="24:25">
      <c r="X21873" s="19"/>
      <c r="Y21873" s="20"/>
    </row>
    <row r="21874" spans="24:25">
      <c r="X21874" s="19"/>
      <c r="Y21874" s="20"/>
    </row>
    <row r="21875" spans="24:25">
      <c r="X21875" s="19"/>
      <c r="Y21875" s="20"/>
    </row>
    <row r="21876" spans="24:25">
      <c r="X21876" s="19"/>
      <c r="Y21876" s="20"/>
    </row>
    <row r="21877" spans="24:25">
      <c r="X21877" s="19"/>
      <c r="Y21877" s="20"/>
    </row>
    <row r="21878" spans="24:25">
      <c r="X21878" s="19"/>
      <c r="Y21878" s="20"/>
    </row>
    <row r="21879" spans="24:25">
      <c r="X21879" s="19"/>
      <c r="Y21879" s="20"/>
    </row>
    <row r="21880" spans="24:25">
      <c r="X21880" s="19"/>
      <c r="Y21880" s="20"/>
    </row>
    <row r="21881" spans="24:25">
      <c r="X21881" s="19"/>
      <c r="Y21881" s="20"/>
    </row>
    <row r="21882" spans="24:25">
      <c r="X21882" s="19"/>
      <c r="Y21882" s="20"/>
    </row>
    <row r="21883" spans="24:25">
      <c r="X21883" s="19"/>
      <c r="Y21883" s="20"/>
    </row>
    <row r="21884" spans="24:25">
      <c r="X21884" s="19"/>
      <c r="Y21884" s="20"/>
    </row>
    <row r="21885" spans="24:25">
      <c r="X21885" s="19"/>
      <c r="Y21885" s="20"/>
    </row>
    <row r="21886" spans="24:25">
      <c r="X21886" s="19"/>
      <c r="Y21886" s="20"/>
    </row>
    <row r="21887" spans="24:25">
      <c r="X21887" s="19"/>
      <c r="Y21887" s="20"/>
    </row>
    <row r="21888" spans="24:25">
      <c r="X21888" s="19"/>
      <c r="Y21888" s="20"/>
    </row>
    <row r="21889" spans="24:25">
      <c r="X21889" s="19"/>
      <c r="Y21889" s="20"/>
    </row>
    <row r="21890" spans="24:25">
      <c r="X21890" s="19"/>
      <c r="Y21890" s="20"/>
    </row>
    <row r="21891" spans="24:25">
      <c r="X21891" s="19"/>
      <c r="Y21891" s="20"/>
    </row>
    <row r="21892" spans="24:25">
      <c r="X21892" s="19"/>
      <c r="Y21892" s="20"/>
    </row>
    <row r="21893" spans="24:25">
      <c r="X21893" s="19"/>
      <c r="Y21893" s="20"/>
    </row>
    <row r="21894" spans="24:25">
      <c r="X21894" s="19"/>
      <c r="Y21894" s="20"/>
    </row>
    <row r="21895" spans="24:25">
      <c r="X21895" s="19"/>
      <c r="Y21895" s="20"/>
    </row>
    <row r="21896" spans="24:25">
      <c r="X21896" s="19"/>
      <c r="Y21896" s="20"/>
    </row>
    <row r="21897" spans="24:25">
      <c r="X21897" s="19"/>
      <c r="Y21897" s="20"/>
    </row>
    <row r="21898" spans="24:25">
      <c r="X21898" s="19"/>
      <c r="Y21898" s="20"/>
    </row>
    <row r="21899" spans="24:25">
      <c r="X21899" s="19"/>
      <c r="Y21899" s="20"/>
    </row>
    <row r="21900" spans="24:25">
      <c r="X21900" s="19"/>
      <c r="Y21900" s="20"/>
    </row>
    <row r="21901" spans="24:25">
      <c r="X21901" s="19"/>
      <c r="Y21901" s="20"/>
    </row>
    <row r="21902" spans="24:25">
      <c r="X21902" s="19"/>
      <c r="Y21902" s="20"/>
    </row>
    <row r="21903" spans="24:25">
      <c r="X21903" s="19"/>
      <c r="Y21903" s="20"/>
    </row>
    <row r="21904" spans="24:25">
      <c r="X21904" s="19"/>
      <c r="Y21904" s="20"/>
    </row>
    <row r="21905" spans="24:25">
      <c r="X21905" s="19"/>
      <c r="Y21905" s="20"/>
    </row>
    <row r="21906" spans="24:25">
      <c r="X21906" s="19"/>
      <c r="Y21906" s="20"/>
    </row>
    <row r="21907" spans="24:25">
      <c r="X21907" s="19"/>
      <c r="Y21907" s="20"/>
    </row>
    <row r="21908" spans="24:25">
      <c r="X21908" s="19"/>
      <c r="Y21908" s="20"/>
    </row>
    <row r="21909" spans="24:25">
      <c r="X21909" s="19"/>
      <c r="Y21909" s="20"/>
    </row>
    <row r="21910" spans="24:25">
      <c r="X21910" s="19"/>
      <c r="Y21910" s="20"/>
    </row>
    <row r="21911" spans="24:25">
      <c r="X21911" s="19"/>
      <c r="Y21911" s="20"/>
    </row>
    <row r="21912" spans="24:25">
      <c r="X21912" s="19"/>
      <c r="Y21912" s="20"/>
    </row>
    <row r="21913" spans="24:25">
      <c r="X21913" s="19"/>
      <c r="Y21913" s="20"/>
    </row>
    <row r="21914" spans="24:25">
      <c r="X21914" s="19"/>
      <c r="Y21914" s="20"/>
    </row>
    <row r="21915" spans="24:25">
      <c r="X21915" s="19"/>
      <c r="Y21915" s="20"/>
    </row>
    <row r="21916" spans="24:25">
      <c r="X21916" s="19"/>
      <c r="Y21916" s="20"/>
    </row>
    <row r="21917" spans="24:25">
      <c r="X21917" s="19"/>
      <c r="Y21917" s="20"/>
    </row>
    <row r="21918" spans="24:25">
      <c r="X21918" s="19"/>
      <c r="Y21918" s="20"/>
    </row>
    <row r="21919" spans="24:25">
      <c r="X21919" s="19"/>
      <c r="Y21919" s="20"/>
    </row>
    <row r="21920" spans="24:25">
      <c r="X21920" s="19"/>
      <c r="Y21920" s="20"/>
    </row>
    <row r="21921" spans="24:25">
      <c r="X21921" s="19"/>
      <c r="Y21921" s="20"/>
    </row>
    <row r="21922" spans="24:25">
      <c r="X21922" s="19"/>
      <c r="Y21922" s="20"/>
    </row>
    <row r="21923" spans="24:25">
      <c r="X21923" s="19"/>
      <c r="Y21923" s="20"/>
    </row>
    <row r="21924" spans="24:25">
      <c r="X21924" s="19"/>
      <c r="Y21924" s="20"/>
    </row>
    <row r="21925" spans="24:25">
      <c r="X21925" s="19"/>
      <c r="Y21925" s="20"/>
    </row>
    <row r="21926" spans="24:25">
      <c r="X21926" s="19"/>
      <c r="Y21926" s="20"/>
    </row>
    <row r="21927" spans="24:25">
      <c r="X21927" s="19"/>
      <c r="Y21927" s="20"/>
    </row>
    <row r="21928" spans="24:25">
      <c r="X21928" s="19"/>
      <c r="Y21928" s="20"/>
    </row>
    <row r="21929" spans="24:25">
      <c r="X21929" s="19"/>
      <c r="Y21929" s="20"/>
    </row>
    <row r="21930" spans="24:25">
      <c r="X21930" s="19"/>
      <c r="Y21930" s="20"/>
    </row>
    <row r="21931" spans="24:25">
      <c r="X21931" s="19"/>
      <c r="Y21931" s="20"/>
    </row>
    <row r="21932" spans="24:25">
      <c r="X21932" s="19"/>
      <c r="Y21932" s="20"/>
    </row>
    <row r="21933" spans="24:25">
      <c r="X21933" s="19"/>
      <c r="Y21933" s="20"/>
    </row>
    <row r="21934" spans="24:25">
      <c r="X21934" s="19"/>
      <c r="Y21934" s="20"/>
    </row>
    <row r="21935" spans="24:25">
      <c r="X21935" s="19"/>
      <c r="Y21935" s="20"/>
    </row>
    <row r="21936" spans="24:25">
      <c r="X21936" s="19"/>
      <c r="Y21936" s="20"/>
    </row>
    <row r="21937" spans="24:25">
      <c r="X21937" s="19"/>
      <c r="Y21937" s="20"/>
    </row>
    <row r="21938" spans="24:25">
      <c r="X21938" s="19"/>
      <c r="Y21938" s="20"/>
    </row>
    <row r="21939" spans="24:25">
      <c r="X21939" s="19"/>
      <c r="Y21939" s="20"/>
    </row>
    <row r="21940" spans="24:25">
      <c r="X21940" s="19"/>
      <c r="Y21940" s="20"/>
    </row>
    <row r="21941" spans="24:25">
      <c r="X21941" s="19"/>
      <c r="Y21941" s="20"/>
    </row>
    <row r="21942" spans="24:25">
      <c r="X21942" s="19"/>
      <c r="Y21942" s="20"/>
    </row>
    <row r="21943" spans="24:25">
      <c r="X21943" s="19"/>
      <c r="Y21943" s="20"/>
    </row>
    <row r="21944" spans="24:25">
      <c r="X21944" s="19"/>
      <c r="Y21944" s="20"/>
    </row>
    <row r="21945" spans="24:25">
      <c r="X21945" s="19"/>
      <c r="Y21945" s="20"/>
    </row>
    <row r="21946" spans="24:25">
      <c r="X21946" s="19"/>
      <c r="Y21946" s="20"/>
    </row>
    <row r="21947" spans="24:25">
      <c r="X21947" s="19"/>
      <c r="Y21947" s="20"/>
    </row>
    <row r="21948" spans="24:25">
      <c r="X21948" s="19"/>
      <c r="Y21948" s="20"/>
    </row>
    <row r="21949" spans="24:25">
      <c r="X21949" s="19"/>
      <c r="Y21949" s="20"/>
    </row>
    <row r="21950" spans="24:25">
      <c r="X21950" s="19"/>
      <c r="Y21950" s="20"/>
    </row>
    <row r="21951" spans="24:25">
      <c r="X21951" s="19"/>
      <c r="Y21951" s="20"/>
    </row>
    <row r="21952" spans="24:25">
      <c r="X21952" s="19"/>
      <c r="Y21952" s="20"/>
    </row>
    <row r="21953" spans="24:25">
      <c r="X21953" s="19"/>
      <c r="Y21953" s="20"/>
    </row>
    <row r="21954" spans="24:25">
      <c r="X21954" s="19"/>
      <c r="Y21954" s="20"/>
    </row>
    <row r="21955" spans="24:25">
      <c r="X21955" s="19"/>
      <c r="Y21955" s="20"/>
    </row>
    <row r="21956" spans="24:25">
      <c r="X21956" s="19"/>
      <c r="Y21956" s="20"/>
    </row>
    <row r="21957" spans="24:25">
      <c r="X21957" s="19"/>
      <c r="Y21957" s="20"/>
    </row>
    <row r="21958" spans="24:25">
      <c r="X21958" s="19"/>
      <c r="Y21958" s="20"/>
    </row>
    <row r="21959" spans="24:25">
      <c r="X21959" s="19"/>
      <c r="Y21959" s="20"/>
    </row>
    <row r="21960" spans="24:25">
      <c r="X21960" s="19"/>
      <c r="Y21960" s="20"/>
    </row>
    <row r="21961" spans="24:25">
      <c r="X21961" s="19"/>
      <c r="Y21961" s="20"/>
    </row>
    <row r="21962" spans="24:25">
      <c r="X21962" s="19"/>
      <c r="Y21962" s="20"/>
    </row>
    <row r="21963" spans="24:25">
      <c r="X21963" s="19"/>
      <c r="Y21963" s="20"/>
    </row>
    <row r="21964" spans="24:25">
      <c r="X21964" s="19"/>
      <c r="Y21964" s="20"/>
    </row>
    <row r="21965" spans="24:25">
      <c r="X21965" s="19"/>
      <c r="Y21965" s="20"/>
    </row>
    <row r="21966" spans="24:25">
      <c r="X21966" s="19"/>
      <c r="Y21966" s="20"/>
    </row>
    <row r="21967" spans="24:25">
      <c r="X21967" s="19"/>
      <c r="Y21967" s="20"/>
    </row>
    <row r="21968" spans="24:25">
      <c r="X21968" s="19"/>
      <c r="Y21968" s="20"/>
    </row>
    <row r="21969" spans="24:25">
      <c r="X21969" s="19"/>
      <c r="Y21969" s="20"/>
    </row>
    <row r="21970" spans="24:25">
      <c r="X21970" s="19"/>
      <c r="Y21970" s="20"/>
    </row>
    <row r="21971" spans="24:25">
      <c r="X21971" s="19"/>
      <c r="Y21971" s="20"/>
    </row>
    <row r="21972" spans="24:25">
      <c r="X21972" s="19"/>
      <c r="Y21972" s="20"/>
    </row>
    <row r="21973" spans="24:25">
      <c r="X21973" s="19"/>
      <c r="Y21973" s="20"/>
    </row>
    <row r="21974" spans="24:25">
      <c r="X21974" s="19"/>
      <c r="Y21974" s="20"/>
    </row>
    <row r="21975" spans="24:25">
      <c r="X21975" s="19"/>
      <c r="Y21975" s="20"/>
    </row>
    <row r="21976" spans="24:25">
      <c r="X21976" s="19"/>
      <c r="Y21976" s="20"/>
    </row>
    <row r="21977" spans="24:25">
      <c r="X21977" s="19"/>
      <c r="Y21977" s="20"/>
    </row>
    <row r="21978" spans="24:25">
      <c r="X21978" s="19"/>
      <c r="Y21978" s="20"/>
    </row>
    <row r="21979" spans="24:25">
      <c r="X21979" s="19"/>
      <c r="Y21979" s="20"/>
    </row>
    <row r="21980" spans="24:25">
      <c r="X21980" s="19"/>
      <c r="Y21980" s="20"/>
    </row>
    <row r="21981" spans="24:25">
      <c r="X21981" s="19"/>
      <c r="Y21981" s="20"/>
    </row>
    <row r="21982" spans="24:25">
      <c r="X21982" s="19"/>
      <c r="Y21982" s="20"/>
    </row>
    <row r="21983" spans="24:25">
      <c r="X21983" s="19"/>
      <c r="Y21983" s="20"/>
    </row>
    <row r="21984" spans="24:25">
      <c r="X21984" s="19"/>
      <c r="Y21984" s="20"/>
    </row>
    <row r="21985" spans="24:25">
      <c r="X21985" s="19"/>
      <c r="Y21985" s="20"/>
    </row>
    <row r="21986" spans="24:25">
      <c r="X21986" s="19"/>
      <c r="Y21986" s="20"/>
    </row>
    <row r="21987" spans="24:25">
      <c r="X21987" s="19"/>
      <c r="Y21987" s="20"/>
    </row>
    <row r="21988" spans="24:25">
      <c r="X21988" s="19"/>
      <c r="Y21988" s="20"/>
    </row>
    <row r="21989" spans="24:25">
      <c r="X21989" s="19"/>
      <c r="Y21989" s="20"/>
    </row>
    <row r="21990" spans="24:25">
      <c r="X21990" s="19"/>
      <c r="Y21990" s="20"/>
    </row>
    <row r="21991" spans="24:25">
      <c r="X21991" s="19"/>
      <c r="Y21991" s="20"/>
    </row>
    <row r="21992" spans="24:25">
      <c r="X21992" s="19"/>
      <c r="Y21992" s="20"/>
    </row>
    <row r="21993" spans="24:25">
      <c r="X21993" s="19"/>
      <c r="Y21993" s="20"/>
    </row>
    <row r="21994" spans="24:25">
      <c r="X21994" s="19"/>
      <c r="Y21994" s="20"/>
    </row>
    <row r="21995" spans="24:25">
      <c r="X21995" s="19"/>
      <c r="Y21995" s="20"/>
    </row>
    <row r="21996" spans="24:25">
      <c r="X21996" s="19"/>
      <c r="Y21996" s="20"/>
    </row>
    <row r="21997" spans="24:25">
      <c r="X21997" s="19"/>
      <c r="Y21997" s="20"/>
    </row>
    <row r="21998" spans="24:25">
      <c r="X21998" s="19"/>
      <c r="Y21998" s="20"/>
    </row>
    <row r="21999" spans="24:25">
      <c r="X21999" s="19"/>
      <c r="Y21999" s="20"/>
    </row>
    <row r="22000" spans="24:25">
      <c r="X22000" s="19"/>
      <c r="Y22000" s="20"/>
    </row>
    <row r="22001" spans="24:25">
      <c r="X22001" s="19"/>
      <c r="Y22001" s="20"/>
    </row>
    <row r="22002" spans="24:25">
      <c r="X22002" s="19"/>
      <c r="Y22002" s="20"/>
    </row>
    <row r="22003" spans="24:25">
      <c r="X22003" s="19"/>
      <c r="Y22003" s="20"/>
    </row>
    <row r="22004" spans="24:25">
      <c r="X22004" s="19"/>
      <c r="Y22004" s="20"/>
    </row>
    <row r="22005" spans="24:25">
      <c r="X22005" s="19"/>
      <c r="Y22005" s="20"/>
    </row>
    <row r="22006" spans="24:25">
      <c r="X22006" s="19"/>
      <c r="Y22006" s="20"/>
    </row>
    <row r="22007" spans="24:25">
      <c r="X22007" s="19"/>
      <c r="Y22007" s="20"/>
    </row>
    <row r="22008" spans="24:25">
      <c r="X22008" s="19"/>
      <c r="Y22008" s="20"/>
    </row>
    <row r="22009" spans="24:25">
      <c r="X22009" s="19"/>
      <c r="Y22009" s="20"/>
    </row>
    <row r="22010" spans="24:25">
      <c r="X22010" s="19"/>
      <c r="Y22010" s="20"/>
    </row>
    <row r="22011" spans="24:25">
      <c r="X22011" s="19"/>
      <c r="Y22011" s="20"/>
    </row>
    <row r="22012" spans="24:25">
      <c r="X22012" s="19"/>
      <c r="Y22012" s="20"/>
    </row>
    <row r="22013" spans="24:25">
      <c r="X22013" s="19"/>
      <c r="Y22013" s="20"/>
    </row>
    <row r="22014" spans="24:25">
      <c r="X22014" s="19"/>
      <c r="Y22014" s="20"/>
    </row>
    <row r="22015" spans="24:25">
      <c r="X22015" s="19"/>
      <c r="Y22015" s="20"/>
    </row>
    <row r="22016" spans="24:25">
      <c r="X22016" s="19"/>
      <c r="Y22016" s="20"/>
    </row>
    <row r="22017" spans="24:25">
      <c r="X22017" s="19"/>
      <c r="Y22017" s="20"/>
    </row>
    <row r="22018" spans="24:25">
      <c r="X22018" s="19"/>
      <c r="Y22018" s="20"/>
    </row>
    <row r="22019" spans="24:25">
      <c r="X22019" s="19"/>
      <c r="Y22019" s="20"/>
    </row>
    <row r="22020" spans="24:25">
      <c r="X22020" s="19"/>
      <c r="Y22020" s="20"/>
    </row>
    <row r="22021" spans="24:25">
      <c r="X22021" s="19"/>
      <c r="Y22021" s="20"/>
    </row>
    <row r="22022" spans="24:25">
      <c r="X22022" s="19"/>
      <c r="Y22022" s="20"/>
    </row>
    <row r="22023" spans="24:25">
      <c r="X22023" s="19"/>
      <c r="Y22023" s="20"/>
    </row>
    <row r="22024" spans="24:25">
      <c r="X22024" s="19"/>
      <c r="Y22024" s="20"/>
    </row>
    <row r="22025" spans="24:25">
      <c r="X22025" s="19"/>
      <c r="Y22025" s="20"/>
    </row>
    <row r="22026" spans="24:25">
      <c r="X22026" s="19"/>
      <c r="Y22026" s="20"/>
    </row>
    <row r="22027" spans="24:25">
      <c r="X22027" s="19"/>
      <c r="Y22027" s="20"/>
    </row>
    <row r="22028" spans="24:25">
      <c r="X22028" s="19"/>
      <c r="Y22028" s="20"/>
    </row>
    <row r="22029" spans="24:25">
      <c r="X22029" s="19"/>
      <c r="Y22029" s="20"/>
    </row>
    <row r="22030" spans="24:25">
      <c r="X22030" s="19"/>
      <c r="Y22030" s="20"/>
    </row>
    <row r="22031" spans="24:25">
      <c r="X22031" s="19"/>
      <c r="Y22031" s="20"/>
    </row>
    <row r="22032" spans="24:25">
      <c r="X22032" s="19"/>
      <c r="Y22032" s="20"/>
    </row>
    <row r="22033" spans="24:25">
      <c r="X22033" s="19"/>
      <c r="Y22033" s="20"/>
    </row>
    <row r="22034" spans="24:25">
      <c r="X22034" s="19"/>
      <c r="Y22034" s="20"/>
    </row>
    <row r="22035" spans="24:25">
      <c r="X22035" s="19"/>
      <c r="Y22035" s="20"/>
    </row>
    <row r="22036" spans="24:25">
      <c r="X22036" s="19"/>
      <c r="Y22036" s="20"/>
    </row>
    <row r="22037" spans="24:25">
      <c r="X22037" s="19"/>
      <c r="Y22037" s="20"/>
    </row>
    <row r="22038" spans="24:25">
      <c r="X22038" s="19"/>
      <c r="Y22038" s="20"/>
    </row>
    <row r="22039" spans="24:25">
      <c r="X22039" s="19"/>
      <c r="Y22039" s="20"/>
    </row>
    <row r="22040" spans="24:25">
      <c r="X22040" s="19"/>
      <c r="Y22040" s="20"/>
    </row>
    <row r="22041" spans="24:25">
      <c r="X22041" s="19"/>
      <c r="Y22041" s="20"/>
    </row>
    <row r="22042" spans="24:25">
      <c r="X22042" s="19"/>
      <c r="Y22042" s="20"/>
    </row>
    <row r="22043" spans="24:25">
      <c r="X22043" s="19"/>
      <c r="Y22043" s="20"/>
    </row>
    <row r="22044" spans="24:25">
      <c r="X22044" s="19"/>
      <c r="Y22044" s="20"/>
    </row>
    <row r="22045" spans="24:25">
      <c r="X22045" s="19"/>
      <c r="Y22045" s="20"/>
    </row>
    <row r="22046" spans="24:25">
      <c r="X22046" s="19"/>
      <c r="Y22046" s="20"/>
    </row>
    <row r="22047" spans="24:25">
      <c r="X22047" s="19"/>
      <c r="Y22047" s="20"/>
    </row>
    <row r="22048" spans="24:25">
      <c r="X22048" s="19"/>
      <c r="Y22048" s="20"/>
    </row>
    <row r="22049" spans="24:25">
      <c r="X22049" s="19"/>
      <c r="Y22049" s="20"/>
    </row>
    <row r="22050" spans="24:25">
      <c r="X22050" s="19"/>
      <c r="Y22050" s="20"/>
    </row>
    <row r="22051" spans="24:25">
      <c r="X22051" s="19"/>
      <c r="Y22051" s="20"/>
    </row>
    <row r="22052" spans="24:25">
      <c r="X22052" s="19"/>
      <c r="Y22052" s="20"/>
    </row>
    <row r="22053" spans="24:25">
      <c r="X22053" s="19"/>
      <c r="Y22053" s="20"/>
    </row>
    <row r="22054" spans="24:25">
      <c r="X22054" s="19"/>
      <c r="Y22054" s="20"/>
    </row>
    <row r="22055" spans="24:25">
      <c r="X22055" s="19"/>
      <c r="Y22055" s="20"/>
    </row>
    <row r="22056" spans="24:25">
      <c r="X22056" s="19"/>
      <c r="Y22056" s="20"/>
    </row>
    <row r="22057" spans="24:25">
      <c r="X22057" s="19"/>
      <c r="Y22057" s="20"/>
    </row>
    <row r="22058" spans="24:25">
      <c r="X22058" s="19"/>
      <c r="Y22058" s="20"/>
    </row>
    <row r="22059" spans="24:25">
      <c r="X22059" s="19"/>
      <c r="Y22059" s="20"/>
    </row>
    <row r="22060" spans="24:25">
      <c r="X22060" s="19"/>
      <c r="Y22060" s="20"/>
    </row>
    <row r="22061" spans="24:25">
      <c r="X22061" s="19"/>
      <c r="Y22061" s="20"/>
    </row>
    <row r="22062" spans="24:25">
      <c r="X22062" s="19"/>
      <c r="Y22062" s="20"/>
    </row>
    <row r="22063" spans="24:25">
      <c r="X22063" s="19"/>
      <c r="Y22063" s="20"/>
    </row>
    <row r="22064" spans="24:25">
      <c r="X22064" s="19"/>
      <c r="Y22064" s="20"/>
    </row>
    <row r="22065" spans="24:25">
      <c r="X22065" s="19"/>
      <c r="Y22065" s="20"/>
    </row>
    <row r="22066" spans="24:25">
      <c r="X22066" s="19"/>
      <c r="Y22066" s="20"/>
    </row>
    <row r="22067" spans="24:25">
      <c r="X22067" s="19"/>
      <c r="Y22067" s="20"/>
    </row>
    <row r="22068" spans="24:25">
      <c r="X22068" s="19"/>
      <c r="Y22068" s="20"/>
    </row>
    <row r="22069" spans="24:25">
      <c r="X22069" s="19"/>
      <c r="Y22069" s="20"/>
    </row>
    <row r="22070" spans="24:25">
      <c r="X22070" s="19"/>
      <c r="Y22070" s="20"/>
    </row>
    <row r="22071" spans="24:25">
      <c r="X22071" s="19"/>
      <c r="Y22071" s="20"/>
    </row>
    <row r="22072" spans="24:25">
      <c r="X22072" s="19"/>
      <c r="Y22072" s="20"/>
    </row>
    <row r="22073" spans="24:25">
      <c r="X22073" s="19"/>
      <c r="Y22073" s="20"/>
    </row>
    <row r="22074" spans="24:25">
      <c r="X22074" s="19"/>
      <c r="Y22074" s="20"/>
    </row>
    <row r="22075" spans="24:25">
      <c r="X22075" s="19"/>
      <c r="Y22075" s="20"/>
    </row>
    <row r="22076" spans="24:25">
      <c r="X22076" s="19"/>
      <c r="Y22076" s="20"/>
    </row>
    <row r="22077" spans="24:25">
      <c r="X22077" s="19"/>
      <c r="Y22077" s="20"/>
    </row>
    <row r="22078" spans="24:25">
      <c r="X22078" s="19"/>
      <c r="Y22078" s="20"/>
    </row>
    <row r="22079" spans="24:25">
      <c r="X22079" s="19"/>
      <c r="Y22079" s="20"/>
    </row>
    <row r="22080" spans="24:25">
      <c r="X22080" s="19"/>
      <c r="Y22080" s="20"/>
    </row>
    <row r="22081" spans="24:25">
      <c r="X22081" s="19"/>
      <c r="Y22081" s="20"/>
    </row>
    <row r="22082" spans="24:25">
      <c r="X22082" s="19"/>
      <c r="Y22082" s="20"/>
    </row>
    <row r="22083" spans="24:25">
      <c r="X22083" s="19"/>
      <c r="Y22083" s="20"/>
    </row>
    <row r="22084" spans="24:25">
      <c r="X22084" s="19"/>
      <c r="Y22084" s="20"/>
    </row>
    <row r="22085" spans="24:25">
      <c r="X22085" s="19"/>
      <c r="Y22085" s="20"/>
    </row>
    <row r="22086" spans="24:25">
      <c r="X22086" s="19"/>
      <c r="Y22086" s="20"/>
    </row>
    <row r="22087" spans="24:25">
      <c r="X22087" s="19"/>
      <c r="Y22087" s="20"/>
    </row>
    <row r="22088" spans="24:25">
      <c r="X22088" s="19"/>
      <c r="Y22088" s="20"/>
    </row>
    <row r="22089" spans="24:25">
      <c r="X22089" s="19"/>
      <c r="Y22089" s="20"/>
    </row>
    <row r="22090" spans="24:25">
      <c r="X22090" s="19"/>
      <c r="Y22090" s="20"/>
    </row>
    <row r="22091" spans="24:25">
      <c r="X22091" s="19"/>
      <c r="Y22091" s="20"/>
    </row>
    <row r="22092" spans="24:25">
      <c r="X22092" s="19"/>
      <c r="Y22092" s="20"/>
    </row>
    <row r="22093" spans="24:25">
      <c r="X22093" s="19"/>
      <c r="Y22093" s="20"/>
    </row>
    <row r="22094" spans="24:25">
      <c r="X22094" s="19"/>
      <c r="Y22094" s="20"/>
    </row>
    <row r="22095" spans="24:25">
      <c r="X22095" s="19"/>
      <c r="Y22095" s="20"/>
    </row>
    <row r="22096" spans="24:25">
      <c r="X22096" s="19"/>
      <c r="Y22096" s="20"/>
    </row>
    <row r="22097" spans="24:25">
      <c r="X22097" s="19"/>
      <c r="Y22097" s="20"/>
    </row>
    <row r="22098" spans="24:25">
      <c r="X22098" s="19"/>
      <c r="Y22098" s="20"/>
    </row>
    <row r="22099" spans="24:25">
      <c r="X22099" s="19"/>
      <c r="Y22099" s="20"/>
    </row>
    <row r="22100" spans="24:25">
      <c r="X22100" s="19"/>
      <c r="Y22100" s="20"/>
    </row>
    <row r="22101" spans="24:25">
      <c r="X22101" s="19"/>
      <c r="Y22101" s="20"/>
    </row>
    <row r="22102" spans="24:25">
      <c r="X22102" s="19"/>
      <c r="Y22102" s="20"/>
    </row>
    <row r="22103" spans="24:25">
      <c r="X22103" s="19"/>
      <c r="Y22103" s="20"/>
    </row>
    <row r="22104" spans="24:25">
      <c r="X22104" s="19"/>
      <c r="Y22104" s="20"/>
    </row>
    <row r="22105" spans="24:25">
      <c r="X22105" s="19"/>
      <c r="Y22105" s="20"/>
    </row>
    <row r="22106" spans="24:25">
      <c r="X22106" s="19"/>
      <c r="Y22106" s="20"/>
    </row>
    <row r="22107" spans="24:25">
      <c r="X22107" s="19"/>
      <c r="Y22107" s="20"/>
    </row>
    <row r="22108" spans="24:25">
      <c r="X22108" s="19"/>
      <c r="Y22108" s="20"/>
    </row>
    <row r="22109" spans="24:25">
      <c r="X22109" s="19"/>
      <c r="Y22109" s="20"/>
    </row>
    <row r="22110" spans="24:25">
      <c r="X22110" s="19"/>
      <c r="Y22110" s="20"/>
    </row>
    <row r="22111" spans="24:25">
      <c r="X22111" s="19"/>
      <c r="Y22111" s="20"/>
    </row>
    <row r="22112" spans="24:25">
      <c r="X22112" s="19"/>
      <c r="Y22112" s="20"/>
    </row>
    <row r="22113" spans="24:25">
      <c r="X22113" s="19"/>
      <c r="Y22113" s="20"/>
    </row>
    <row r="22114" spans="24:25">
      <c r="X22114" s="19"/>
      <c r="Y22114" s="20"/>
    </row>
    <row r="22115" spans="24:25">
      <c r="X22115" s="19"/>
      <c r="Y22115" s="20"/>
    </row>
    <row r="22116" spans="24:25">
      <c r="X22116" s="19"/>
      <c r="Y22116" s="20"/>
    </row>
    <row r="22117" spans="24:25">
      <c r="X22117" s="19"/>
      <c r="Y22117" s="20"/>
    </row>
    <row r="22118" spans="24:25">
      <c r="X22118" s="19"/>
      <c r="Y22118" s="20"/>
    </row>
    <row r="22119" spans="24:25">
      <c r="X22119" s="19"/>
      <c r="Y22119" s="20"/>
    </row>
    <row r="22120" spans="24:25">
      <c r="X22120" s="19"/>
      <c r="Y22120" s="20"/>
    </row>
    <row r="22121" spans="24:25">
      <c r="X22121" s="19"/>
      <c r="Y22121" s="20"/>
    </row>
    <row r="22122" spans="24:25">
      <c r="X22122" s="19"/>
      <c r="Y22122" s="20"/>
    </row>
    <row r="22123" spans="24:25">
      <c r="X22123" s="19"/>
      <c r="Y22123" s="20"/>
    </row>
    <row r="22124" spans="24:25">
      <c r="X22124" s="19"/>
      <c r="Y22124" s="20"/>
    </row>
    <row r="22125" spans="24:25">
      <c r="X22125" s="19"/>
      <c r="Y22125" s="20"/>
    </row>
    <row r="22126" spans="24:25">
      <c r="X22126" s="19"/>
      <c r="Y22126" s="20"/>
    </row>
    <row r="22127" spans="24:25">
      <c r="X22127" s="19"/>
      <c r="Y22127" s="20"/>
    </row>
    <row r="22128" spans="24:25">
      <c r="X22128" s="19"/>
      <c r="Y22128" s="20"/>
    </row>
    <row r="22129" spans="24:25">
      <c r="X22129" s="19"/>
      <c r="Y22129" s="20"/>
    </row>
    <row r="22130" spans="24:25">
      <c r="X22130" s="19"/>
      <c r="Y22130" s="20"/>
    </row>
    <row r="22131" spans="24:25">
      <c r="X22131" s="19"/>
      <c r="Y22131" s="20"/>
    </row>
    <row r="22132" spans="24:25">
      <c r="X22132" s="19"/>
      <c r="Y22132" s="20"/>
    </row>
    <row r="22133" spans="24:25">
      <c r="X22133" s="19"/>
      <c r="Y22133" s="20"/>
    </row>
    <row r="22134" spans="24:25">
      <c r="X22134" s="19"/>
      <c r="Y22134" s="20"/>
    </row>
    <row r="22135" spans="24:25">
      <c r="X22135" s="19"/>
      <c r="Y22135" s="20"/>
    </row>
    <row r="22136" spans="24:25">
      <c r="X22136" s="19"/>
      <c r="Y22136" s="20"/>
    </row>
    <row r="22137" spans="24:25">
      <c r="X22137" s="19"/>
      <c r="Y22137" s="20"/>
    </row>
    <row r="22138" spans="24:25">
      <c r="X22138" s="19"/>
      <c r="Y22138" s="20"/>
    </row>
    <row r="22139" spans="24:25">
      <c r="X22139" s="19"/>
      <c r="Y22139" s="20"/>
    </row>
    <row r="22140" spans="24:25">
      <c r="X22140" s="19"/>
      <c r="Y22140" s="20"/>
    </row>
    <row r="22141" spans="24:25">
      <c r="X22141" s="19"/>
      <c r="Y22141" s="20"/>
    </row>
    <row r="22142" spans="24:25">
      <c r="X22142" s="19"/>
      <c r="Y22142" s="20"/>
    </row>
    <row r="22143" spans="24:25">
      <c r="X22143" s="19"/>
      <c r="Y22143" s="20"/>
    </row>
    <row r="22144" spans="24:25">
      <c r="X22144" s="19"/>
      <c r="Y22144" s="20"/>
    </row>
    <row r="22145" spans="24:25">
      <c r="X22145" s="19"/>
      <c r="Y22145" s="20"/>
    </row>
    <row r="22146" spans="24:25">
      <c r="X22146" s="19"/>
      <c r="Y22146" s="20"/>
    </row>
    <row r="22147" spans="24:25">
      <c r="X22147" s="19"/>
      <c r="Y22147" s="20"/>
    </row>
    <row r="22148" spans="24:25">
      <c r="X22148" s="19"/>
      <c r="Y22148" s="20"/>
    </row>
    <row r="22149" spans="24:25">
      <c r="X22149" s="19"/>
      <c r="Y22149" s="20"/>
    </row>
    <row r="22150" spans="24:25">
      <c r="X22150" s="19"/>
      <c r="Y22150" s="20"/>
    </row>
    <row r="22151" spans="24:25">
      <c r="X22151" s="19"/>
      <c r="Y22151" s="20"/>
    </row>
    <row r="22152" spans="24:25">
      <c r="X22152" s="19"/>
      <c r="Y22152" s="20"/>
    </row>
    <row r="22153" spans="24:25">
      <c r="X22153" s="19"/>
      <c r="Y22153" s="20"/>
    </row>
    <row r="22154" spans="24:25">
      <c r="X22154" s="19"/>
      <c r="Y22154" s="20"/>
    </row>
    <row r="22155" spans="24:25">
      <c r="X22155" s="19"/>
      <c r="Y22155" s="20"/>
    </row>
    <row r="22156" spans="24:25">
      <c r="X22156" s="19"/>
      <c r="Y22156" s="20"/>
    </row>
    <row r="22157" spans="24:25">
      <c r="X22157" s="19"/>
      <c r="Y22157" s="20"/>
    </row>
    <row r="22158" spans="24:25">
      <c r="X22158" s="19"/>
      <c r="Y22158" s="20"/>
    </row>
    <row r="22159" spans="24:25">
      <c r="X22159" s="19"/>
      <c r="Y22159" s="20"/>
    </row>
    <row r="22160" spans="24:25">
      <c r="X22160" s="19"/>
      <c r="Y22160" s="20"/>
    </row>
    <row r="22161" spans="24:25">
      <c r="X22161" s="19"/>
      <c r="Y22161" s="20"/>
    </row>
    <row r="22162" spans="24:25">
      <c r="X22162" s="19"/>
      <c r="Y22162" s="20"/>
    </row>
    <row r="22163" spans="24:25">
      <c r="X22163" s="19"/>
      <c r="Y22163" s="20"/>
    </row>
    <row r="22164" spans="24:25">
      <c r="X22164" s="19"/>
      <c r="Y22164" s="20"/>
    </row>
    <row r="22165" spans="24:25">
      <c r="X22165" s="19"/>
      <c r="Y22165" s="20"/>
    </row>
    <row r="22166" spans="24:25">
      <c r="X22166" s="19"/>
      <c r="Y22166" s="20"/>
    </row>
    <row r="22167" spans="24:25">
      <c r="X22167" s="19"/>
      <c r="Y22167" s="20"/>
    </row>
    <row r="22168" spans="24:25">
      <c r="X22168" s="19"/>
      <c r="Y22168" s="20"/>
    </row>
    <row r="22169" spans="24:25">
      <c r="X22169" s="19"/>
      <c r="Y22169" s="20"/>
    </row>
    <row r="22170" spans="24:25">
      <c r="X22170" s="19"/>
      <c r="Y22170" s="20"/>
    </row>
    <row r="22171" spans="24:25">
      <c r="X22171" s="19"/>
      <c r="Y22171" s="20"/>
    </row>
    <row r="22172" spans="24:25">
      <c r="X22172" s="19"/>
      <c r="Y22172" s="20"/>
    </row>
    <row r="22173" spans="24:25">
      <c r="X22173" s="19"/>
      <c r="Y22173" s="20"/>
    </row>
    <row r="22174" spans="24:25">
      <c r="X22174" s="19"/>
      <c r="Y22174" s="20"/>
    </row>
    <row r="22175" spans="24:25">
      <c r="X22175" s="19"/>
      <c r="Y22175" s="20"/>
    </row>
    <row r="22176" spans="24:25">
      <c r="X22176" s="19"/>
      <c r="Y22176" s="20"/>
    </row>
    <row r="22177" spans="24:25">
      <c r="X22177" s="19"/>
      <c r="Y22177" s="20"/>
    </row>
    <row r="22178" spans="24:25">
      <c r="X22178" s="19"/>
      <c r="Y22178" s="20"/>
    </row>
    <row r="22179" spans="24:25">
      <c r="X22179" s="19"/>
      <c r="Y22179" s="20"/>
    </row>
    <row r="22180" spans="24:25">
      <c r="X22180" s="19"/>
      <c r="Y22180" s="20"/>
    </row>
    <row r="22181" spans="24:25">
      <c r="X22181" s="19"/>
      <c r="Y22181" s="20"/>
    </row>
    <row r="22182" spans="24:25">
      <c r="X22182" s="19"/>
      <c r="Y22182" s="20"/>
    </row>
    <row r="22183" spans="24:25">
      <c r="X22183" s="19"/>
      <c r="Y22183" s="20"/>
    </row>
    <row r="22184" spans="24:25">
      <c r="X22184" s="19"/>
      <c r="Y22184" s="20"/>
    </row>
    <row r="22185" spans="24:25">
      <c r="X22185" s="19"/>
      <c r="Y22185" s="20"/>
    </row>
    <row r="22186" spans="24:25">
      <c r="X22186" s="19"/>
      <c r="Y22186" s="20"/>
    </row>
    <row r="22187" spans="24:25">
      <c r="X22187" s="19"/>
      <c r="Y22187" s="20"/>
    </row>
    <row r="22188" spans="24:25">
      <c r="X22188" s="19"/>
      <c r="Y22188" s="20"/>
    </row>
    <row r="22189" spans="24:25">
      <c r="X22189" s="19"/>
      <c r="Y22189" s="20"/>
    </row>
    <row r="22190" spans="24:25">
      <c r="X22190" s="19"/>
      <c r="Y22190" s="20"/>
    </row>
    <row r="22191" spans="24:25">
      <c r="X22191" s="19"/>
      <c r="Y22191" s="20"/>
    </row>
    <row r="22192" spans="24:25">
      <c r="X22192" s="19"/>
      <c r="Y22192" s="20"/>
    </row>
    <row r="22193" spans="24:25">
      <c r="X22193" s="19"/>
      <c r="Y22193" s="20"/>
    </row>
    <row r="22194" spans="24:25">
      <c r="X22194" s="19"/>
      <c r="Y22194" s="20"/>
    </row>
    <row r="22195" spans="24:25">
      <c r="X22195" s="19"/>
      <c r="Y22195" s="20"/>
    </row>
    <row r="22196" spans="24:25">
      <c r="X22196" s="19"/>
      <c r="Y22196" s="20"/>
    </row>
    <row r="22197" spans="24:25">
      <c r="X22197" s="19"/>
      <c r="Y22197" s="20"/>
    </row>
    <row r="22198" spans="24:25">
      <c r="X22198" s="19"/>
      <c r="Y22198" s="20"/>
    </row>
    <row r="22199" spans="24:25">
      <c r="X22199" s="19"/>
      <c r="Y22199" s="20"/>
    </row>
    <row r="22200" spans="24:25">
      <c r="X22200" s="19"/>
      <c r="Y22200" s="20"/>
    </row>
    <row r="22201" spans="24:25">
      <c r="X22201" s="19"/>
      <c r="Y22201" s="20"/>
    </row>
    <row r="22202" spans="24:25">
      <c r="X22202" s="19"/>
      <c r="Y22202" s="20"/>
    </row>
    <row r="22203" spans="24:25">
      <c r="X22203" s="19"/>
      <c r="Y22203" s="20"/>
    </row>
    <row r="22204" spans="24:25">
      <c r="X22204" s="19"/>
      <c r="Y22204" s="20"/>
    </row>
    <row r="22205" spans="24:25">
      <c r="X22205" s="19"/>
      <c r="Y22205" s="20"/>
    </row>
    <row r="22206" spans="24:25">
      <c r="X22206" s="19"/>
      <c r="Y22206" s="20"/>
    </row>
    <row r="22207" spans="24:25">
      <c r="X22207" s="19"/>
      <c r="Y22207" s="20"/>
    </row>
    <row r="22208" spans="24:25">
      <c r="X22208" s="19"/>
      <c r="Y22208" s="20"/>
    </row>
    <row r="22209" spans="24:25">
      <c r="X22209" s="19"/>
      <c r="Y22209" s="20"/>
    </row>
    <row r="22210" spans="24:25">
      <c r="X22210" s="19"/>
      <c r="Y22210" s="20"/>
    </row>
    <row r="22211" spans="24:25">
      <c r="X22211" s="19"/>
      <c r="Y22211" s="20"/>
    </row>
    <row r="22212" spans="24:25">
      <c r="X22212" s="19"/>
      <c r="Y22212" s="20"/>
    </row>
    <row r="22213" spans="24:25">
      <c r="X22213" s="19"/>
      <c r="Y22213" s="20"/>
    </row>
    <row r="22214" spans="24:25">
      <c r="X22214" s="19"/>
      <c r="Y22214" s="20"/>
    </row>
    <row r="22215" spans="24:25">
      <c r="X22215" s="19"/>
      <c r="Y22215" s="20"/>
    </row>
    <row r="22216" spans="24:25">
      <c r="X22216" s="19"/>
      <c r="Y22216" s="20"/>
    </row>
    <row r="22217" spans="24:25">
      <c r="X22217" s="19"/>
      <c r="Y22217" s="20"/>
    </row>
    <row r="22218" spans="24:25">
      <c r="X22218" s="19"/>
      <c r="Y22218" s="20"/>
    </row>
    <row r="22219" spans="24:25">
      <c r="X22219" s="19"/>
      <c r="Y22219" s="20"/>
    </row>
    <row r="22220" spans="24:25">
      <c r="X22220" s="19"/>
      <c r="Y22220" s="20"/>
    </row>
    <row r="22221" spans="24:25">
      <c r="X22221" s="19"/>
      <c r="Y22221" s="20"/>
    </row>
    <row r="22222" spans="24:25">
      <c r="X22222" s="19"/>
      <c r="Y22222" s="20"/>
    </row>
    <row r="22223" spans="24:25">
      <c r="X22223" s="19"/>
      <c r="Y22223" s="20"/>
    </row>
    <row r="22224" spans="24:25">
      <c r="X22224" s="19"/>
      <c r="Y22224" s="20"/>
    </row>
    <row r="22225" spans="24:25">
      <c r="X22225" s="19"/>
      <c r="Y22225" s="20"/>
    </row>
    <row r="22226" spans="24:25">
      <c r="X22226" s="19"/>
      <c r="Y22226" s="20"/>
    </row>
    <row r="22227" spans="24:25">
      <c r="X22227" s="19"/>
      <c r="Y22227" s="20"/>
    </row>
    <row r="22228" spans="24:25">
      <c r="X22228" s="19"/>
      <c r="Y22228" s="20"/>
    </row>
    <row r="22229" spans="24:25">
      <c r="X22229" s="19"/>
      <c r="Y22229" s="20"/>
    </row>
    <row r="22230" spans="24:25">
      <c r="X22230" s="19"/>
      <c r="Y22230" s="20"/>
    </row>
    <row r="22231" spans="24:25">
      <c r="X22231" s="19"/>
      <c r="Y22231" s="20"/>
    </row>
    <row r="22232" spans="24:25">
      <c r="X22232" s="19"/>
      <c r="Y22232" s="20"/>
    </row>
    <row r="22233" spans="24:25">
      <c r="X22233" s="19"/>
      <c r="Y22233" s="20"/>
    </row>
    <row r="22234" spans="24:25">
      <c r="X22234" s="19"/>
      <c r="Y22234" s="20"/>
    </row>
    <row r="22235" spans="24:25">
      <c r="X22235" s="19"/>
      <c r="Y22235" s="20"/>
    </row>
    <row r="22236" spans="24:25">
      <c r="X22236" s="19"/>
      <c r="Y22236" s="20"/>
    </row>
    <row r="22237" spans="24:25">
      <c r="X22237" s="19"/>
      <c r="Y22237" s="20"/>
    </row>
    <row r="22238" spans="24:25">
      <c r="X22238" s="19"/>
      <c r="Y22238" s="20"/>
    </row>
    <row r="22239" spans="24:25">
      <c r="X22239" s="19"/>
      <c r="Y22239" s="20"/>
    </row>
    <row r="22240" spans="24:25">
      <c r="X22240" s="19"/>
      <c r="Y22240" s="20"/>
    </row>
    <row r="22241" spans="24:25">
      <c r="X22241" s="19"/>
      <c r="Y22241" s="20"/>
    </row>
    <row r="22242" spans="24:25">
      <c r="X22242" s="19"/>
      <c r="Y22242" s="20"/>
    </row>
    <row r="22243" spans="24:25">
      <c r="X22243" s="19"/>
      <c r="Y22243" s="20"/>
    </row>
    <row r="22244" spans="24:25">
      <c r="X22244" s="19"/>
      <c r="Y22244" s="20"/>
    </row>
    <row r="22245" spans="24:25">
      <c r="X22245" s="19"/>
      <c r="Y22245" s="20"/>
    </row>
    <row r="22246" spans="24:25">
      <c r="X22246" s="19"/>
      <c r="Y22246" s="20"/>
    </row>
    <row r="22247" spans="24:25">
      <c r="X22247" s="19"/>
      <c r="Y22247" s="20"/>
    </row>
    <row r="22248" spans="24:25">
      <c r="X22248" s="19"/>
      <c r="Y22248" s="20"/>
    </row>
    <row r="22249" spans="24:25">
      <c r="X22249" s="19"/>
      <c r="Y22249" s="20"/>
    </row>
    <row r="22250" spans="24:25">
      <c r="X22250" s="19"/>
      <c r="Y22250" s="20"/>
    </row>
    <row r="22251" spans="24:25">
      <c r="X22251" s="19"/>
      <c r="Y22251" s="20"/>
    </row>
    <row r="22252" spans="24:25">
      <c r="X22252" s="19"/>
      <c r="Y22252" s="20"/>
    </row>
    <row r="22253" spans="24:25">
      <c r="X22253" s="19"/>
      <c r="Y22253" s="20"/>
    </row>
    <row r="22254" spans="24:25">
      <c r="X22254" s="19"/>
      <c r="Y22254" s="20"/>
    </row>
    <row r="22255" spans="24:25">
      <c r="X22255" s="19"/>
      <c r="Y22255" s="20"/>
    </row>
    <row r="22256" spans="24:25">
      <c r="X22256" s="19"/>
      <c r="Y22256" s="20"/>
    </row>
    <row r="22257" spans="24:25">
      <c r="X22257" s="19"/>
      <c r="Y22257" s="20"/>
    </row>
    <row r="22258" spans="24:25">
      <c r="X22258" s="19"/>
      <c r="Y22258" s="20"/>
    </row>
    <row r="22259" spans="24:25">
      <c r="X22259" s="19"/>
      <c r="Y22259" s="20"/>
    </row>
    <row r="22260" spans="24:25">
      <c r="X22260" s="19"/>
      <c r="Y22260" s="20"/>
    </row>
    <row r="22261" spans="24:25">
      <c r="X22261" s="19"/>
      <c r="Y22261" s="20"/>
    </row>
    <row r="22262" spans="24:25">
      <c r="X22262" s="19"/>
      <c r="Y22262" s="20"/>
    </row>
    <row r="22263" spans="24:25">
      <c r="X22263" s="19"/>
      <c r="Y22263" s="20"/>
    </row>
    <row r="22264" spans="24:25">
      <c r="X22264" s="19"/>
      <c r="Y22264" s="20"/>
    </row>
    <row r="22265" spans="24:25">
      <c r="X22265" s="19"/>
      <c r="Y22265" s="20"/>
    </row>
    <row r="22266" spans="24:25">
      <c r="X22266" s="19"/>
      <c r="Y22266" s="20"/>
    </row>
    <row r="22267" spans="24:25">
      <c r="X22267" s="19"/>
      <c r="Y22267" s="20"/>
    </row>
    <row r="22268" spans="24:25">
      <c r="X22268" s="19"/>
      <c r="Y22268" s="20"/>
    </row>
    <row r="22269" spans="24:25">
      <c r="X22269" s="19"/>
      <c r="Y22269" s="20"/>
    </row>
    <row r="22270" spans="24:25">
      <c r="X22270" s="19"/>
      <c r="Y22270" s="20"/>
    </row>
    <row r="22271" spans="24:25">
      <c r="X22271" s="19"/>
      <c r="Y22271" s="20"/>
    </row>
    <row r="22272" spans="24:25">
      <c r="X22272" s="19"/>
      <c r="Y22272" s="20"/>
    </row>
    <row r="22273" spans="24:25">
      <c r="X22273" s="19"/>
      <c r="Y22273" s="20"/>
    </row>
    <row r="22274" spans="24:25">
      <c r="X22274" s="19"/>
      <c r="Y22274" s="20"/>
    </row>
    <row r="22275" spans="24:25">
      <c r="X22275" s="19"/>
      <c r="Y22275" s="20"/>
    </row>
    <row r="22276" spans="24:25">
      <c r="X22276" s="19"/>
      <c r="Y22276" s="20"/>
    </row>
    <row r="22277" spans="24:25">
      <c r="X22277" s="19"/>
      <c r="Y22277" s="20"/>
    </row>
    <row r="22278" spans="24:25">
      <c r="X22278" s="19"/>
      <c r="Y22278" s="20"/>
    </row>
    <row r="22279" spans="24:25">
      <c r="X22279" s="19"/>
      <c r="Y22279" s="20"/>
    </row>
    <row r="22280" spans="24:25">
      <c r="X22280" s="19"/>
      <c r="Y22280" s="20"/>
    </row>
    <row r="22281" spans="24:25">
      <c r="X22281" s="19"/>
      <c r="Y22281" s="20"/>
    </row>
    <row r="22282" spans="24:25">
      <c r="X22282" s="19"/>
      <c r="Y22282" s="20"/>
    </row>
    <row r="22283" spans="24:25">
      <c r="X22283" s="19"/>
      <c r="Y22283" s="20"/>
    </row>
    <row r="22284" spans="24:25">
      <c r="X22284" s="19"/>
      <c r="Y22284" s="20"/>
    </row>
    <row r="22285" spans="24:25">
      <c r="X22285" s="19"/>
      <c r="Y22285" s="20"/>
    </row>
    <row r="22286" spans="24:25">
      <c r="X22286" s="19"/>
      <c r="Y22286" s="20"/>
    </row>
    <row r="22287" spans="24:25">
      <c r="X22287" s="19"/>
      <c r="Y22287" s="20"/>
    </row>
    <row r="22288" spans="24:25">
      <c r="X22288" s="19"/>
      <c r="Y22288" s="20"/>
    </row>
    <row r="22289" spans="24:25">
      <c r="X22289" s="19"/>
      <c r="Y22289" s="20"/>
    </row>
    <row r="22290" spans="24:25">
      <c r="X22290" s="19"/>
      <c r="Y22290" s="20"/>
    </row>
    <row r="22291" spans="24:25">
      <c r="X22291" s="19"/>
      <c r="Y22291" s="20"/>
    </row>
    <row r="22292" spans="24:25">
      <c r="X22292" s="19"/>
      <c r="Y22292" s="20"/>
    </row>
    <row r="22293" spans="24:25">
      <c r="X22293" s="19"/>
      <c r="Y22293" s="20"/>
    </row>
    <row r="22294" spans="24:25">
      <c r="X22294" s="19"/>
      <c r="Y22294" s="20"/>
    </row>
    <row r="22295" spans="24:25">
      <c r="X22295" s="19"/>
      <c r="Y22295" s="20"/>
    </row>
    <row r="22296" spans="24:25">
      <c r="X22296" s="19"/>
      <c r="Y22296" s="20"/>
    </row>
    <row r="22297" spans="24:25">
      <c r="X22297" s="19"/>
      <c r="Y22297" s="20"/>
    </row>
    <row r="22298" spans="24:25">
      <c r="X22298" s="19"/>
      <c r="Y22298" s="20"/>
    </row>
    <row r="22299" spans="24:25">
      <c r="X22299" s="19"/>
      <c r="Y22299" s="20"/>
    </row>
    <row r="22300" spans="24:25">
      <c r="X22300" s="19"/>
      <c r="Y22300" s="20"/>
    </row>
    <row r="22301" spans="24:25">
      <c r="X22301" s="19"/>
      <c r="Y22301" s="20"/>
    </row>
    <row r="22302" spans="24:25">
      <c r="X22302" s="19"/>
      <c r="Y22302" s="20"/>
    </row>
    <row r="22303" spans="24:25">
      <c r="X22303" s="19"/>
      <c r="Y22303" s="20"/>
    </row>
    <row r="22304" spans="24:25">
      <c r="X22304" s="19"/>
      <c r="Y22304" s="20"/>
    </row>
    <row r="22305" spans="24:25">
      <c r="X22305" s="19"/>
      <c r="Y22305" s="20"/>
    </row>
    <row r="22306" spans="24:25">
      <c r="X22306" s="19"/>
      <c r="Y22306" s="20"/>
    </row>
    <row r="22307" spans="24:25">
      <c r="X22307" s="19"/>
      <c r="Y22307" s="20"/>
    </row>
    <row r="22308" spans="24:25">
      <c r="X22308" s="19"/>
      <c r="Y22308" s="20"/>
    </row>
    <row r="22309" spans="24:25">
      <c r="X22309" s="19"/>
      <c r="Y22309" s="20"/>
    </row>
    <row r="22310" spans="24:25">
      <c r="X22310" s="19"/>
      <c r="Y22310" s="20"/>
    </row>
    <row r="22311" spans="24:25">
      <c r="X22311" s="19"/>
      <c r="Y22311" s="20"/>
    </row>
    <row r="22312" spans="24:25">
      <c r="X22312" s="19"/>
      <c r="Y22312" s="20"/>
    </row>
    <row r="22313" spans="24:25">
      <c r="X22313" s="19"/>
      <c r="Y22313" s="20"/>
    </row>
    <row r="22314" spans="24:25">
      <c r="X22314" s="19"/>
      <c r="Y22314" s="20"/>
    </row>
    <row r="22315" spans="24:25">
      <c r="X22315" s="19"/>
      <c r="Y22315" s="20"/>
    </row>
    <row r="22316" spans="24:25">
      <c r="X22316" s="19"/>
      <c r="Y22316" s="20"/>
    </row>
    <row r="22317" spans="24:25">
      <c r="X22317" s="19"/>
      <c r="Y22317" s="20"/>
    </row>
    <row r="22318" spans="24:25">
      <c r="X22318" s="19"/>
      <c r="Y22318" s="20"/>
    </row>
    <row r="22319" spans="24:25">
      <c r="X22319" s="19"/>
      <c r="Y22319" s="20"/>
    </row>
    <row r="22320" spans="24:25">
      <c r="X22320" s="19"/>
      <c r="Y22320" s="20"/>
    </row>
    <row r="22321" spans="24:25">
      <c r="X22321" s="19"/>
      <c r="Y22321" s="20"/>
    </row>
    <row r="22322" spans="24:25">
      <c r="X22322" s="19"/>
      <c r="Y22322" s="20"/>
    </row>
    <row r="22323" spans="24:25">
      <c r="X22323" s="19"/>
      <c r="Y22323" s="20"/>
    </row>
    <row r="22324" spans="24:25">
      <c r="X22324" s="19"/>
      <c r="Y22324" s="20"/>
    </row>
    <row r="22325" spans="24:25">
      <c r="X22325" s="19"/>
      <c r="Y22325" s="20"/>
    </row>
    <row r="22326" spans="24:25">
      <c r="X22326" s="19"/>
      <c r="Y22326" s="20"/>
    </row>
    <row r="22327" spans="24:25">
      <c r="X22327" s="19"/>
      <c r="Y22327" s="20"/>
    </row>
    <row r="22328" spans="24:25">
      <c r="X22328" s="19"/>
      <c r="Y22328" s="20"/>
    </row>
    <row r="22329" spans="24:25">
      <c r="X22329" s="19"/>
      <c r="Y22329" s="20"/>
    </row>
    <row r="22330" spans="24:25">
      <c r="X22330" s="19"/>
      <c r="Y22330" s="20"/>
    </row>
    <row r="22331" spans="24:25">
      <c r="X22331" s="19"/>
      <c r="Y22331" s="20"/>
    </row>
    <row r="22332" spans="24:25">
      <c r="X22332" s="19"/>
      <c r="Y22332" s="20"/>
    </row>
    <row r="22333" spans="24:25">
      <c r="X22333" s="19"/>
      <c r="Y22333" s="20"/>
    </row>
    <row r="22334" spans="24:25">
      <c r="X22334" s="19"/>
      <c r="Y22334" s="20"/>
    </row>
    <row r="22335" spans="24:25">
      <c r="X22335" s="19"/>
      <c r="Y22335" s="20"/>
    </row>
    <row r="22336" spans="24:25">
      <c r="X22336" s="19"/>
      <c r="Y22336" s="20"/>
    </row>
    <row r="22337" spans="24:25">
      <c r="X22337" s="19"/>
      <c r="Y22337" s="20"/>
    </row>
    <row r="22338" spans="24:25">
      <c r="X22338" s="19"/>
      <c r="Y22338" s="20"/>
    </row>
    <row r="22339" spans="24:25">
      <c r="X22339" s="19"/>
      <c r="Y22339" s="20"/>
    </row>
    <row r="22340" spans="24:25">
      <c r="X22340" s="19"/>
      <c r="Y22340" s="20"/>
    </row>
    <row r="22341" spans="24:25">
      <c r="X22341" s="19"/>
      <c r="Y22341" s="20"/>
    </row>
    <row r="22342" spans="24:25">
      <c r="X22342" s="19"/>
      <c r="Y22342" s="20"/>
    </row>
    <row r="22343" spans="24:25">
      <c r="X22343" s="19"/>
      <c r="Y22343" s="20"/>
    </row>
    <row r="22344" spans="24:25">
      <c r="X22344" s="19"/>
      <c r="Y22344" s="20"/>
    </row>
    <row r="22345" spans="24:25">
      <c r="X22345" s="19"/>
      <c r="Y22345" s="20"/>
    </row>
    <row r="22346" spans="24:25">
      <c r="X22346" s="19"/>
      <c r="Y22346" s="20"/>
    </row>
    <row r="22347" spans="24:25">
      <c r="X22347" s="19"/>
      <c r="Y22347" s="20"/>
    </row>
    <row r="22348" spans="24:25">
      <c r="X22348" s="19"/>
      <c r="Y22348" s="20"/>
    </row>
    <row r="22349" spans="24:25">
      <c r="X22349" s="19"/>
      <c r="Y22349" s="20"/>
    </row>
    <row r="22350" spans="24:25">
      <c r="X22350" s="19"/>
      <c r="Y22350" s="20"/>
    </row>
    <row r="22351" spans="24:25">
      <c r="X22351" s="19"/>
      <c r="Y22351" s="20"/>
    </row>
    <row r="22352" spans="24:25">
      <c r="X22352" s="19"/>
      <c r="Y22352" s="20"/>
    </row>
    <row r="22353" spans="24:25">
      <c r="X22353" s="19"/>
      <c r="Y22353" s="20"/>
    </row>
    <row r="22354" spans="24:25">
      <c r="X22354" s="19"/>
      <c r="Y22354" s="20"/>
    </row>
    <row r="22355" spans="24:25">
      <c r="X22355" s="19"/>
      <c r="Y22355" s="20"/>
    </row>
    <row r="22356" spans="24:25">
      <c r="X22356" s="19"/>
      <c r="Y22356" s="20"/>
    </row>
    <row r="22357" spans="24:25">
      <c r="X22357" s="19"/>
      <c r="Y22357" s="20"/>
    </row>
    <row r="22358" spans="24:25">
      <c r="X22358" s="19"/>
      <c r="Y22358" s="20"/>
    </row>
    <row r="22359" spans="24:25">
      <c r="X22359" s="19"/>
      <c r="Y22359" s="20"/>
    </row>
    <row r="22360" spans="24:25">
      <c r="X22360" s="19"/>
      <c r="Y22360" s="20"/>
    </row>
    <row r="22361" spans="24:25">
      <c r="X22361" s="19"/>
      <c r="Y22361" s="20"/>
    </row>
    <row r="22362" spans="24:25">
      <c r="X22362" s="19"/>
      <c r="Y22362" s="20"/>
    </row>
    <row r="22363" spans="24:25">
      <c r="X22363" s="19"/>
      <c r="Y22363" s="20"/>
    </row>
    <row r="22364" spans="24:25">
      <c r="X22364" s="19"/>
      <c r="Y22364" s="20"/>
    </row>
    <row r="22365" spans="24:25">
      <c r="X22365" s="19"/>
      <c r="Y22365" s="20"/>
    </row>
    <row r="22366" spans="24:25">
      <c r="X22366" s="19"/>
      <c r="Y22366" s="20"/>
    </row>
    <row r="22367" spans="24:25">
      <c r="X22367" s="19"/>
      <c r="Y22367" s="20"/>
    </row>
    <row r="22368" spans="24:25">
      <c r="X22368" s="19"/>
      <c r="Y22368" s="20"/>
    </row>
    <row r="22369" spans="24:25">
      <c r="X22369" s="19"/>
      <c r="Y22369" s="20"/>
    </row>
    <row r="22370" spans="24:25">
      <c r="X22370" s="19"/>
      <c r="Y22370" s="20"/>
    </row>
    <row r="22371" spans="24:25">
      <c r="X22371" s="19"/>
      <c r="Y22371" s="20"/>
    </row>
    <row r="22372" spans="24:25">
      <c r="X22372" s="19"/>
      <c r="Y22372" s="20"/>
    </row>
    <row r="22373" spans="24:25">
      <c r="X22373" s="19"/>
      <c r="Y22373" s="20"/>
    </row>
    <row r="22374" spans="24:25">
      <c r="X22374" s="19"/>
      <c r="Y22374" s="20"/>
    </row>
    <row r="22375" spans="24:25">
      <c r="X22375" s="19"/>
      <c r="Y22375" s="20"/>
    </row>
    <row r="22376" spans="24:25">
      <c r="X22376" s="19"/>
      <c r="Y22376" s="20"/>
    </row>
    <row r="22377" spans="24:25">
      <c r="X22377" s="19"/>
      <c r="Y22377" s="20"/>
    </row>
    <row r="22378" spans="24:25">
      <c r="X22378" s="19"/>
      <c r="Y22378" s="20"/>
    </row>
    <row r="22379" spans="24:25">
      <c r="X22379" s="19"/>
      <c r="Y22379" s="20"/>
    </row>
    <row r="22380" spans="24:25">
      <c r="X22380" s="19"/>
      <c r="Y22380" s="20"/>
    </row>
    <row r="22381" spans="24:25">
      <c r="X22381" s="19"/>
      <c r="Y22381" s="20"/>
    </row>
    <row r="22382" spans="24:25">
      <c r="X22382" s="19"/>
      <c r="Y22382" s="20"/>
    </row>
    <row r="22383" spans="24:25">
      <c r="X22383" s="19"/>
      <c r="Y22383" s="20"/>
    </row>
    <row r="22384" spans="24:25">
      <c r="X22384" s="19"/>
      <c r="Y22384" s="20"/>
    </row>
    <row r="22385" spans="24:25">
      <c r="X22385" s="19"/>
      <c r="Y22385" s="20"/>
    </row>
    <row r="22386" spans="24:25">
      <c r="X22386" s="19"/>
      <c r="Y22386" s="20"/>
    </row>
    <row r="22387" spans="24:25">
      <c r="X22387" s="19"/>
      <c r="Y22387" s="20"/>
    </row>
    <row r="22388" spans="24:25">
      <c r="X22388" s="19"/>
      <c r="Y22388" s="20"/>
    </row>
    <row r="22389" spans="24:25">
      <c r="X22389" s="19"/>
      <c r="Y22389" s="20"/>
    </row>
    <row r="22390" spans="24:25">
      <c r="X22390" s="19"/>
      <c r="Y22390" s="20"/>
    </row>
    <row r="22391" spans="24:25">
      <c r="X22391" s="19"/>
      <c r="Y22391" s="20"/>
    </row>
    <row r="22392" spans="24:25">
      <c r="X22392" s="19"/>
      <c r="Y22392" s="20"/>
    </row>
    <row r="22393" spans="24:25">
      <c r="X22393" s="19"/>
      <c r="Y22393" s="20"/>
    </row>
    <row r="22394" spans="24:25">
      <c r="X22394" s="19"/>
      <c r="Y22394" s="20"/>
    </row>
    <row r="22395" spans="24:25">
      <c r="X22395" s="19"/>
      <c r="Y22395" s="20"/>
    </row>
    <row r="22396" spans="24:25">
      <c r="X22396" s="19"/>
      <c r="Y22396" s="20"/>
    </row>
    <row r="22397" spans="24:25">
      <c r="X22397" s="19"/>
      <c r="Y22397" s="20"/>
    </row>
    <row r="22398" spans="24:25">
      <c r="X22398" s="19"/>
      <c r="Y22398" s="20"/>
    </row>
    <row r="22399" spans="24:25">
      <c r="X22399" s="19"/>
      <c r="Y22399" s="20"/>
    </row>
    <row r="22400" spans="24:25">
      <c r="X22400" s="19"/>
      <c r="Y22400" s="20"/>
    </row>
    <row r="22401" spans="24:25">
      <c r="X22401" s="19"/>
      <c r="Y22401" s="20"/>
    </row>
    <row r="22402" spans="24:25">
      <c r="X22402" s="19"/>
      <c r="Y22402" s="20"/>
    </row>
    <row r="22403" spans="24:25">
      <c r="X22403" s="19"/>
      <c r="Y22403" s="20"/>
    </row>
    <row r="22404" spans="24:25">
      <c r="X22404" s="19"/>
      <c r="Y22404" s="20"/>
    </row>
    <row r="22405" spans="24:25">
      <c r="X22405" s="19"/>
      <c r="Y22405" s="20"/>
    </row>
    <row r="22406" spans="24:25">
      <c r="X22406" s="19"/>
      <c r="Y22406" s="20"/>
    </row>
    <row r="22407" spans="24:25">
      <c r="X22407" s="19"/>
      <c r="Y22407" s="20"/>
    </row>
    <row r="22408" spans="24:25">
      <c r="X22408" s="19"/>
      <c r="Y22408" s="20"/>
    </row>
    <row r="22409" spans="24:25">
      <c r="X22409" s="19"/>
      <c r="Y22409" s="20"/>
    </row>
    <row r="22410" spans="24:25">
      <c r="X22410" s="19"/>
      <c r="Y22410" s="20"/>
    </row>
    <row r="22411" spans="24:25">
      <c r="X22411" s="19"/>
      <c r="Y22411" s="20"/>
    </row>
    <row r="22412" spans="24:25">
      <c r="X22412" s="19"/>
      <c r="Y22412" s="20"/>
    </row>
    <row r="22413" spans="24:25">
      <c r="X22413" s="19"/>
      <c r="Y22413" s="20"/>
    </row>
    <row r="22414" spans="24:25">
      <c r="X22414" s="19"/>
      <c r="Y22414" s="20"/>
    </row>
    <row r="22415" spans="24:25">
      <c r="X22415" s="19"/>
      <c r="Y22415" s="20"/>
    </row>
    <row r="22416" spans="24:25">
      <c r="X22416" s="19"/>
      <c r="Y22416" s="20"/>
    </row>
    <row r="22417" spans="24:25">
      <c r="X22417" s="19"/>
      <c r="Y22417" s="20"/>
    </row>
    <row r="22418" spans="24:25">
      <c r="X22418" s="19"/>
      <c r="Y22418" s="20"/>
    </row>
    <row r="22419" spans="24:25">
      <c r="X22419" s="19"/>
      <c r="Y22419" s="20"/>
    </row>
    <row r="22420" spans="24:25">
      <c r="X22420" s="19"/>
      <c r="Y22420" s="20"/>
    </row>
    <row r="22421" spans="24:25">
      <c r="X22421" s="19"/>
      <c r="Y22421" s="20"/>
    </row>
    <row r="22422" spans="24:25">
      <c r="X22422" s="19"/>
      <c r="Y22422" s="20"/>
    </row>
    <row r="22423" spans="24:25">
      <c r="X22423" s="19"/>
      <c r="Y22423" s="20"/>
    </row>
    <row r="22424" spans="24:25">
      <c r="X22424" s="19"/>
      <c r="Y22424" s="20"/>
    </row>
    <row r="22425" spans="24:25">
      <c r="X22425" s="19"/>
      <c r="Y22425" s="20"/>
    </row>
    <row r="22426" spans="24:25">
      <c r="X22426" s="19"/>
      <c r="Y22426" s="20"/>
    </row>
    <row r="22427" spans="24:25">
      <c r="X22427" s="19"/>
      <c r="Y22427" s="20"/>
    </row>
    <row r="22428" spans="24:25">
      <c r="X22428" s="19"/>
      <c r="Y22428" s="20"/>
    </row>
    <row r="22429" spans="24:25">
      <c r="X22429" s="19"/>
      <c r="Y22429" s="20"/>
    </row>
    <row r="22430" spans="24:25">
      <c r="X22430" s="19"/>
      <c r="Y22430" s="20"/>
    </row>
    <row r="22431" spans="24:25">
      <c r="X22431" s="19"/>
      <c r="Y22431" s="20"/>
    </row>
    <row r="22432" spans="24:25">
      <c r="X22432" s="19"/>
      <c r="Y22432" s="20"/>
    </row>
    <row r="22433" spans="24:25">
      <c r="X22433" s="19"/>
      <c r="Y22433" s="20"/>
    </row>
    <row r="22434" spans="24:25">
      <c r="X22434" s="19"/>
      <c r="Y22434" s="20"/>
    </row>
    <row r="22435" spans="24:25">
      <c r="X22435" s="19"/>
      <c r="Y22435" s="20"/>
    </row>
    <row r="22436" spans="24:25">
      <c r="X22436" s="19"/>
      <c r="Y22436" s="20"/>
    </row>
    <row r="22437" spans="24:25">
      <c r="X22437" s="19"/>
      <c r="Y22437" s="20"/>
    </row>
    <row r="22438" spans="24:25">
      <c r="X22438" s="19"/>
      <c r="Y22438" s="20"/>
    </row>
    <row r="22439" spans="24:25">
      <c r="X22439" s="19"/>
      <c r="Y22439" s="20"/>
    </row>
    <row r="22440" spans="24:25">
      <c r="X22440" s="19"/>
      <c r="Y22440" s="20"/>
    </row>
    <row r="22441" spans="24:25">
      <c r="X22441" s="19"/>
      <c r="Y22441" s="20"/>
    </row>
    <row r="22442" spans="24:25">
      <c r="X22442" s="19"/>
      <c r="Y22442" s="20"/>
    </row>
    <row r="22443" spans="24:25">
      <c r="X22443" s="19"/>
      <c r="Y22443" s="20"/>
    </row>
    <row r="22444" spans="24:25">
      <c r="X22444" s="19"/>
      <c r="Y22444" s="20"/>
    </row>
    <row r="22445" spans="24:25">
      <c r="X22445" s="19"/>
      <c r="Y22445" s="20"/>
    </row>
    <row r="22446" spans="24:25">
      <c r="X22446" s="19"/>
      <c r="Y22446" s="20"/>
    </row>
    <row r="22447" spans="24:25">
      <c r="X22447" s="19"/>
      <c r="Y22447" s="20"/>
    </row>
    <row r="22448" spans="24:25">
      <c r="X22448" s="19"/>
      <c r="Y22448" s="20"/>
    </row>
    <row r="22449" spans="24:25">
      <c r="X22449" s="19"/>
      <c r="Y22449" s="20"/>
    </row>
    <row r="22450" spans="24:25">
      <c r="X22450" s="19"/>
      <c r="Y22450" s="20"/>
    </row>
    <row r="22451" spans="24:25">
      <c r="X22451" s="19"/>
      <c r="Y22451" s="20"/>
    </row>
    <row r="22452" spans="24:25">
      <c r="X22452" s="19"/>
      <c r="Y22452" s="20"/>
    </row>
    <row r="22453" spans="24:25">
      <c r="X22453" s="19"/>
      <c r="Y22453" s="20"/>
    </row>
    <row r="22454" spans="24:25">
      <c r="X22454" s="19"/>
      <c r="Y22454" s="20"/>
    </row>
    <row r="22455" spans="24:25">
      <c r="X22455" s="19"/>
      <c r="Y22455" s="20"/>
    </row>
    <row r="22456" spans="24:25">
      <c r="X22456" s="19"/>
      <c r="Y22456" s="20"/>
    </row>
    <row r="22457" spans="24:25">
      <c r="X22457" s="19"/>
      <c r="Y22457" s="20"/>
    </row>
    <row r="22458" spans="24:25">
      <c r="X22458" s="19"/>
      <c r="Y22458" s="20"/>
    </row>
    <row r="22459" spans="24:25">
      <c r="X22459" s="19"/>
      <c r="Y22459" s="20"/>
    </row>
    <row r="22460" spans="24:25">
      <c r="X22460" s="19"/>
      <c r="Y22460" s="20"/>
    </row>
    <row r="22461" spans="24:25">
      <c r="X22461" s="19"/>
      <c r="Y22461" s="20"/>
    </row>
    <row r="22462" spans="24:25">
      <c r="X22462" s="19"/>
      <c r="Y22462" s="20"/>
    </row>
    <row r="22463" spans="24:25">
      <c r="X22463" s="19"/>
      <c r="Y22463" s="20"/>
    </row>
    <row r="22464" spans="24:25">
      <c r="X22464" s="19"/>
      <c r="Y22464" s="20"/>
    </row>
    <row r="22465" spans="24:25">
      <c r="X22465" s="19"/>
      <c r="Y22465" s="20"/>
    </row>
    <row r="22466" spans="24:25">
      <c r="X22466" s="19"/>
      <c r="Y22466" s="20"/>
    </row>
    <row r="22467" spans="24:25">
      <c r="X22467" s="19"/>
      <c r="Y22467" s="20"/>
    </row>
    <row r="22468" spans="24:25">
      <c r="X22468" s="19"/>
      <c r="Y22468" s="20"/>
    </row>
    <row r="22469" spans="24:25">
      <c r="X22469" s="19"/>
      <c r="Y22469" s="20"/>
    </row>
    <row r="22470" spans="24:25">
      <c r="X22470" s="19"/>
      <c r="Y22470" s="20"/>
    </row>
    <row r="22471" spans="24:25">
      <c r="X22471" s="19"/>
      <c r="Y22471" s="20"/>
    </row>
    <row r="22472" spans="24:25">
      <c r="X22472" s="19"/>
      <c r="Y22472" s="20"/>
    </row>
    <row r="22473" spans="24:25">
      <c r="X22473" s="19"/>
      <c r="Y22473" s="20"/>
    </row>
    <row r="22474" spans="24:25">
      <c r="X22474" s="19"/>
      <c r="Y22474" s="20"/>
    </row>
    <row r="22475" spans="24:25">
      <c r="X22475" s="19"/>
      <c r="Y22475" s="20"/>
    </row>
    <row r="22476" spans="24:25">
      <c r="X22476" s="19"/>
      <c r="Y22476" s="20"/>
    </row>
    <row r="22477" spans="24:25">
      <c r="X22477" s="19"/>
      <c r="Y22477" s="20"/>
    </row>
    <row r="22478" spans="24:25">
      <c r="X22478" s="19"/>
      <c r="Y22478" s="20"/>
    </row>
    <row r="22479" spans="24:25">
      <c r="X22479" s="19"/>
      <c r="Y22479" s="20"/>
    </row>
    <row r="22480" spans="24:25">
      <c r="X22480" s="19"/>
      <c r="Y22480" s="20"/>
    </row>
    <row r="22481" spans="24:25">
      <c r="X22481" s="19"/>
      <c r="Y22481" s="20"/>
    </row>
    <row r="22482" spans="24:25">
      <c r="X22482" s="19"/>
      <c r="Y22482" s="20"/>
    </row>
    <row r="22483" spans="24:25">
      <c r="X22483" s="19"/>
      <c r="Y22483" s="20"/>
    </row>
    <row r="22484" spans="24:25">
      <c r="X22484" s="19"/>
      <c r="Y22484" s="20"/>
    </row>
    <row r="22485" spans="24:25">
      <c r="X22485" s="19"/>
      <c r="Y22485" s="20"/>
    </row>
    <row r="22486" spans="24:25">
      <c r="X22486" s="19"/>
      <c r="Y22486" s="20"/>
    </row>
    <row r="22487" spans="24:25">
      <c r="X22487" s="19"/>
      <c r="Y22487" s="20"/>
    </row>
    <row r="22488" spans="24:25">
      <c r="X22488" s="19"/>
      <c r="Y22488" s="20"/>
    </row>
    <row r="22489" spans="24:25">
      <c r="X22489" s="19"/>
      <c r="Y22489" s="20"/>
    </row>
    <row r="22490" spans="24:25">
      <c r="X22490" s="19"/>
      <c r="Y22490" s="20"/>
    </row>
    <row r="22491" spans="24:25">
      <c r="X22491" s="19"/>
      <c r="Y22491" s="20"/>
    </row>
    <row r="22492" spans="24:25">
      <c r="X22492" s="19"/>
      <c r="Y22492" s="20"/>
    </row>
    <row r="22493" spans="24:25">
      <c r="X22493" s="19"/>
      <c r="Y22493" s="20"/>
    </row>
    <row r="22494" spans="24:25">
      <c r="X22494" s="19"/>
      <c r="Y22494" s="20"/>
    </row>
    <row r="22495" spans="24:25">
      <c r="X22495" s="19"/>
      <c r="Y22495" s="20"/>
    </row>
    <row r="22496" spans="24:25">
      <c r="X22496" s="19"/>
      <c r="Y22496" s="20"/>
    </row>
    <row r="22497" spans="24:25">
      <c r="X22497" s="19"/>
      <c r="Y22497" s="20"/>
    </row>
    <row r="22498" spans="24:25">
      <c r="X22498" s="19"/>
      <c r="Y22498" s="20"/>
    </row>
    <row r="22499" spans="24:25">
      <c r="X22499" s="19"/>
      <c r="Y22499" s="20"/>
    </row>
    <row r="22500" spans="24:25">
      <c r="X22500" s="19"/>
      <c r="Y22500" s="20"/>
    </row>
    <row r="22501" spans="24:25">
      <c r="X22501" s="19"/>
      <c r="Y22501" s="20"/>
    </row>
    <row r="22502" spans="24:25">
      <c r="X22502" s="19"/>
      <c r="Y22502" s="20"/>
    </row>
    <row r="22503" spans="24:25">
      <c r="X22503" s="19"/>
      <c r="Y22503" s="20"/>
    </row>
    <row r="22504" spans="24:25">
      <c r="X22504" s="19"/>
      <c r="Y22504" s="20"/>
    </row>
    <row r="22505" spans="24:25">
      <c r="X22505" s="19"/>
      <c r="Y22505" s="20"/>
    </row>
    <row r="22506" spans="24:25">
      <c r="X22506" s="19"/>
      <c r="Y22506" s="20"/>
    </row>
    <row r="22507" spans="24:25">
      <c r="X22507" s="19"/>
      <c r="Y22507" s="20"/>
    </row>
    <row r="22508" spans="24:25">
      <c r="X22508" s="19"/>
      <c r="Y22508" s="20"/>
    </row>
    <row r="22509" spans="24:25">
      <c r="X22509" s="19"/>
      <c r="Y22509" s="20"/>
    </row>
    <row r="22510" spans="24:25">
      <c r="X22510" s="19"/>
      <c r="Y22510" s="20"/>
    </row>
    <row r="22511" spans="24:25">
      <c r="X22511" s="19"/>
      <c r="Y22511" s="20"/>
    </row>
    <row r="22512" spans="24:25">
      <c r="X22512" s="19"/>
      <c r="Y22512" s="20"/>
    </row>
    <row r="22513" spans="24:25">
      <c r="X22513" s="19"/>
      <c r="Y22513" s="20"/>
    </row>
    <row r="22514" spans="24:25">
      <c r="X22514" s="19"/>
      <c r="Y22514" s="20"/>
    </row>
    <row r="22515" spans="24:25">
      <c r="X22515" s="19"/>
      <c r="Y22515" s="20"/>
    </row>
    <row r="22516" spans="24:25">
      <c r="X22516" s="19"/>
      <c r="Y22516" s="20"/>
    </row>
    <row r="22517" spans="24:25">
      <c r="X22517" s="19"/>
      <c r="Y22517" s="20"/>
    </row>
    <row r="22518" spans="24:25">
      <c r="X22518" s="19"/>
      <c r="Y22518" s="20"/>
    </row>
    <row r="22519" spans="24:25">
      <c r="X22519" s="19"/>
      <c r="Y22519" s="20"/>
    </row>
    <row r="22520" spans="24:25">
      <c r="X22520" s="19"/>
      <c r="Y22520" s="20"/>
    </row>
    <row r="22521" spans="24:25">
      <c r="X22521" s="19"/>
      <c r="Y22521" s="20"/>
    </row>
    <row r="22522" spans="24:25">
      <c r="X22522" s="19"/>
      <c r="Y22522" s="20"/>
    </row>
    <row r="22523" spans="24:25">
      <c r="X22523" s="19"/>
      <c r="Y22523" s="20"/>
    </row>
    <row r="22524" spans="24:25">
      <c r="X22524" s="19"/>
      <c r="Y22524" s="20"/>
    </row>
    <row r="22525" spans="24:25">
      <c r="X22525" s="19"/>
      <c r="Y22525" s="20"/>
    </row>
    <row r="22526" spans="24:25">
      <c r="X22526" s="19"/>
      <c r="Y22526" s="20"/>
    </row>
    <row r="22527" spans="24:25">
      <c r="X22527" s="19"/>
      <c r="Y22527" s="20"/>
    </row>
    <row r="22528" spans="24:25">
      <c r="X22528" s="19"/>
      <c r="Y22528" s="20"/>
    </row>
    <row r="22529" spans="24:25">
      <c r="X22529" s="19"/>
      <c r="Y22529" s="20"/>
    </row>
    <row r="22530" spans="24:25">
      <c r="X22530" s="19"/>
      <c r="Y22530" s="20"/>
    </row>
    <row r="22531" spans="24:25">
      <c r="X22531" s="19"/>
      <c r="Y22531" s="20"/>
    </row>
    <row r="22532" spans="24:25">
      <c r="X22532" s="19"/>
      <c r="Y22532" s="20"/>
    </row>
    <row r="22533" spans="24:25">
      <c r="X22533" s="19"/>
      <c r="Y22533" s="20"/>
    </row>
    <row r="22534" spans="24:25">
      <c r="X22534" s="19"/>
      <c r="Y22534" s="20"/>
    </row>
    <row r="22535" spans="24:25">
      <c r="X22535" s="19"/>
      <c r="Y22535" s="20"/>
    </row>
    <row r="22536" spans="24:25">
      <c r="X22536" s="19"/>
      <c r="Y22536" s="20"/>
    </row>
    <row r="22537" spans="24:25">
      <c r="X22537" s="19"/>
      <c r="Y22537" s="20"/>
    </row>
    <row r="22538" spans="24:25">
      <c r="X22538" s="19"/>
      <c r="Y22538" s="20"/>
    </row>
    <row r="22539" spans="24:25">
      <c r="X22539" s="19"/>
      <c r="Y22539" s="20"/>
    </row>
    <row r="22540" spans="24:25">
      <c r="X22540" s="19"/>
      <c r="Y22540" s="20"/>
    </row>
    <row r="22541" spans="24:25">
      <c r="X22541" s="19"/>
      <c r="Y22541" s="20"/>
    </row>
    <row r="22542" spans="24:25">
      <c r="X22542" s="19"/>
      <c r="Y22542" s="20"/>
    </row>
    <row r="22543" spans="24:25">
      <c r="X22543" s="19"/>
      <c r="Y22543" s="20"/>
    </row>
    <row r="22544" spans="24:25">
      <c r="X22544" s="19"/>
      <c r="Y22544" s="20"/>
    </row>
    <row r="22545" spans="24:25">
      <c r="X22545" s="19"/>
      <c r="Y22545" s="20"/>
    </row>
    <row r="22546" spans="24:25">
      <c r="X22546" s="19"/>
      <c r="Y22546" s="20"/>
    </row>
    <row r="22547" spans="24:25">
      <c r="X22547" s="19"/>
      <c r="Y22547" s="20"/>
    </row>
    <row r="22548" spans="24:25">
      <c r="X22548" s="19"/>
      <c r="Y22548" s="20"/>
    </row>
    <row r="22549" spans="24:25">
      <c r="X22549" s="19"/>
      <c r="Y22549" s="20"/>
    </row>
    <row r="22550" spans="24:25">
      <c r="X22550" s="19"/>
      <c r="Y22550" s="20"/>
    </row>
    <row r="22551" spans="24:25">
      <c r="X22551" s="19"/>
      <c r="Y22551" s="20"/>
    </row>
    <row r="22552" spans="24:25">
      <c r="X22552" s="19"/>
      <c r="Y22552" s="20"/>
    </row>
    <row r="22553" spans="24:25">
      <c r="X22553" s="19"/>
      <c r="Y22553" s="20"/>
    </row>
    <row r="22554" spans="24:25">
      <c r="X22554" s="19"/>
      <c r="Y22554" s="20"/>
    </row>
    <row r="22555" spans="24:25">
      <c r="X22555" s="19"/>
      <c r="Y22555" s="20"/>
    </row>
    <row r="22556" spans="24:25">
      <c r="X22556" s="19"/>
      <c r="Y22556" s="20"/>
    </row>
    <row r="22557" spans="24:25">
      <c r="X22557" s="19"/>
      <c r="Y22557" s="20"/>
    </row>
    <row r="22558" spans="24:25">
      <c r="X22558" s="19"/>
      <c r="Y22558" s="20"/>
    </row>
    <row r="22559" spans="24:25">
      <c r="X22559" s="19"/>
      <c r="Y22559" s="20"/>
    </row>
    <row r="22560" spans="24:25">
      <c r="X22560" s="19"/>
      <c r="Y22560" s="20"/>
    </row>
    <row r="22561" spans="24:25">
      <c r="X22561" s="19"/>
      <c r="Y22561" s="20"/>
    </row>
    <row r="22562" spans="24:25">
      <c r="X22562" s="19"/>
      <c r="Y22562" s="20"/>
    </row>
    <row r="22563" spans="24:25">
      <c r="X22563" s="19"/>
      <c r="Y22563" s="20"/>
    </row>
    <row r="22564" spans="24:25">
      <c r="X22564" s="19"/>
      <c r="Y22564" s="20"/>
    </row>
    <row r="22565" spans="24:25">
      <c r="X22565" s="19"/>
      <c r="Y22565" s="20"/>
    </row>
    <row r="22566" spans="24:25">
      <c r="X22566" s="19"/>
      <c r="Y22566" s="20"/>
    </row>
    <row r="22567" spans="24:25">
      <c r="X22567" s="19"/>
      <c r="Y22567" s="20"/>
    </row>
    <row r="22568" spans="24:25">
      <c r="X22568" s="19"/>
      <c r="Y22568" s="20"/>
    </row>
    <row r="22569" spans="24:25">
      <c r="X22569" s="19"/>
      <c r="Y22569" s="20"/>
    </row>
    <row r="22570" spans="24:25">
      <c r="X22570" s="19"/>
      <c r="Y22570" s="20"/>
    </row>
    <row r="22571" spans="24:25">
      <c r="X22571" s="19"/>
      <c r="Y22571" s="20"/>
    </row>
    <row r="22572" spans="24:25">
      <c r="X22572" s="19"/>
      <c r="Y22572" s="20"/>
    </row>
    <row r="22573" spans="24:25">
      <c r="X22573" s="19"/>
      <c r="Y22573" s="20"/>
    </row>
    <row r="22574" spans="24:25">
      <c r="X22574" s="19"/>
      <c r="Y22574" s="20"/>
    </row>
    <row r="22575" spans="24:25">
      <c r="X22575" s="19"/>
      <c r="Y22575" s="20"/>
    </row>
    <row r="22576" spans="24:25">
      <c r="X22576" s="19"/>
      <c r="Y22576" s="20"/>
    </row>
    <row r="22577" spans="24:25">
      <c r="X22577" s="19"/>
      <c r="Y22577" s="20"/>
    </row>
    <row r="22578" spans="24:25">
      <c r="X22578" s="19"/>
      <c r="Y22578" s="20"/>
    </row>
    <row r="22579" spans="24:25">
      <c r="X22579" s="19"/>
      <c r="Y22579" s="20"/>
    </row>
    <row r="22580" spans="24:25">
      <c r="X22580" s="19"/>
      <c r="Y22580" s="20"/>
    </row>
    <row r="22581" spans="24:25">
      <c r="X22581" s="19"/>
      <c r="Y22581" s="20"/>
    </row>
    <row r="22582" spans="24:25">
      <c r="X22582" s="19"/>
      <c r="Y22582" s="20"/>
    </row>
    <row r="22583" spans="24:25">
      <c r="X22583" s="19"/>
      <c r="Y22583" s="20"/>
    </row>
    <row r="22584" spans="24:25">
      <c r="X22584" s="19"/>
      <c r="Y22584" s="20"/>
    </row>
    <row r="22585" spans="24:25">
      <c r="X22585" s="19"/>
      <c r="Y22585" s="20"/>
    </row>
    <row r="22586" spans="24:25">
      <c r="X22586" s="19"/>
      <c r="Y22586" s="20"/>
    </row>
    <row r="22587" spans="24:25">
      <c r="X22587" s="19"/>
      <c r="Y22587" s="20"/>
    </row>
    <row r="22588" spans="24:25">
      <c r="X22588" s="19"/>
      <c r="Y22588" s="20"/>
    </row>
    <row r="22589" spans="24:25">
      <c r="X22589" s="19"/>
      <c r="Y22589" s="20"/>
    </row>
    <row r="22590" spans="24:25">
      <c r="X22590" s="19"/>
      <c r="Y22590" s="20"/>
    </row>
    <row r="22591" spans="24:25">
      <c r="X22591" s="19"/>
      <c r="Y22591" s="20"/>
    </row>
    <row r="22592" spans="24:25">
      <c r="X22592" s="19"/>
      <c r="Y22592" s="20"/>
    </row>
    <row r="22593" spans="24:25">
      <c r="X22593" s="19"/>
      <c r="Y22593" s="20"/>
    </row>
    <row r="22594" spans="24:25">
      <c r="X22594" s="19"/>
      <c r="Y22594" s="20"/>
    </row>
    <row r="22595" spans="24:25">
      <c r="X22595" s="19"/>
      <c r="Y22595" s="20"/>
    </row>
    <row r="22596" spans="24:25">
      <c r="X22596" s="19"/>
      <c r="Y22596" s="20"/>
    </row>
    <row r="22597" spans="24:25">
      <c r="X22597" s="19"/>
      <c r="Y22597" s="20"/>
    </row>
    <row r="22598" spans="24:25">
      <c r="X22598" s="19"/>
      <c r="Y22598" s="20"/>
    </row>
    <row r="22599" spans="24:25">
      <c r="X22599" s="19"/>
      <c r="Y22599" s="20"/>
    </row>
    <row r="22600" spans="24:25">
      <c r="X22600" s="19"/>
      <c r="Y22600" s="20"/>
    </row>
    <row r="22601" spans="24:25">
      <c r="X22601" s="19"/>
      <c r="Y22601" s="20"/>
    </row>
    <row r="22602" spans="24:25">
      <c r="X22602" s="19"/>
      <c r="Y22602" s="20"/>
    </row>
    <row r="22603" spans="24:25">
      <c r="X22603" s="19"/>
      <c r="Y22603" s="20"/>
    </row>
    <row r="22604" spans="24:25">
      <c r="X22604" s="19"/>
      <c r="Y22604" s="20"/>
    </row>
    <row r="22605" spans="24:25">
      <c r="X22605" s="19"/>
      <c r="Y22605" s="20"/>
    </row>
    <row r="22606" spans="24:25">
      <c r="X22606" s="19"/>
      <c r="Y22606" s="20"/>
    </row>
    <row r="22607" spans="24:25">
      <c r="X22607" s="19"/>
      <c r="Y22607" s="20"/>
    </row>
    <row r="22608" spans="24:25">
      <c r="X22608" s="19"/>
      <c r="Y22608" s="20"/>
    </row>
    <row r="22609" spans="24:25">
      <c r="X22609" s="19"/>
      <c r="Y22609" s="20"/>
    </row>
    <row r="22610" spans="24:25">
      <c r="X22610" s="19"/>
      <c r="Y22610" s="20"/>
    </row>
    <row r="22611" spans="24:25">
      <c r="X22611" s="19"/>
      <c r="Y22611" s="20"/>
    </row>
    <row r="22612" spans="24:25">
      <c r="X22612" s="19"/>
      <c r="Y22612" s="20"/>
    </row>
    <row r="22613" spans="24:25">
      <c r="X22613" s="19"/>
      <c r="Y22613" s="20"/>
    </row>
    <row r="22614" spans="24:25">
      <c r="X22614" s="19"/>
      <c r="Y22614" s="20"/>
    </row>
    <row r="22615" spans="24:25">
      <c r="X22615" s="19"/>
      <c r="Y22615" s="20"/>
    </row>
    <row r="22616" spans="24:25">
      <c r="X22616" s="19"/>
      <c r="Y22616" s="20"/>
    </row>
    <row r="22617" spans="24:25">
      <c r="X22617" s="19"/>
      <c r="Y22617" s="20"/>
    </row>
    <row r="22618" spans="24:25">
      <c r="X22618" s="19"/>
      <c r="Y22618" s="20"/>
    </row>
    <row r="22619" spans="24:25">
      <c r="X22619" s="19"/>
      <c r="Y22619" s="20"/>
    </row>
    <row r="22620" spans="24:25">
      <c r="X22620" s="19"/>
      <c r="Y22620" s="20"/>
    </row>
    <row r="22621" spans="24:25">
      <c r="X22621" s="19"/>
      <c r="Y22621" s="20"/>
    </row>
    <row r="22622" spans="24:25">
      <c r="X22622" s="19"/>
      <c r="Y22622" s="20"/>
    </row>
    <row r="22623" spans="24:25">
      <c r="X22623" s="19"/>
      <c r="Y22623" s="20"/>
    </row>
    <row r="22624" spans="24:25">
      <c r="X22624" s="19"/>
      <c r="Y22624" s="20"/>
    </row>
    <row r="22625" spans="24:25">
      <c r="X22625" s="19"/>
      <c r="Y22625" s="20"/>
    </row>
    <row r="22626" spans="24:25">
      <c r="X22626" s="19"/>
      <c r="Y22626" s="20"/>
    </row>
    <row r="22627" spans="24:25">
      <c r="X22627" s="19"/>
      <c r="Y22627" s="20"/>
    </row>
    <row r="22628" spans="24:25">
      <c r="X22628" s="19"/>
      <c r="Y22628" s="20"/>
    </row>
    <row r="22629" spans="24:25">
      <c r="X22629" s="19"/>
      <c r="Y22629" s="20"/>
    </row>
    <row r="22630" spans="24:25">
      <c r="X22630" s="19"/>
      <c r="Y22630" s="20"/>
    </row>
    <row r="22631" spans="24:25">
      <c r="X22631" s="19"/>
      <c r="Y22631" s="20"/>
    </row>
    <row r="22632" spans="24:25">
      <c r="X22632" s="19"/>
      <c r="Y22632" s="20"/>
    </row>
    <row r="22633" spans="24:25">
      <c r="X22633" s="19"/>
      <c r="Y22633" s="20"/>
    </row>
    <row r="22634" spans="24:25">
      <c r="X22634" s="19"/>
      <c r="Y22634" s="20"/>
    </row>
    <row r="22635" spans="24:25">
      <c r="X22635" s="19"/>
      <c r="Y22635" s="20"/>
    </row>
    <row r="22636" spans="24:25">
      <c r="X22636" s="19"/>
      <c r="Y22636" s="20"/>
    </row>
    <row r="22637" spans="24:25">
      <c r="X22637" s="19"/>
      <c r="Y22637" s="20"/>
    </row>
    <row r="22638" spans="24:25">
      <c r="X22638" s="19"/>
      <c r="Y22638" s="20"/>
    </row>
    <row r="22639" spans="24:25">
      <c r="X22639" s="19"/>
      <c r="Y22639" s="20"/>
    </row>
    <row r="22640" spans="24:25">
      <c r="X22640" s="19"/>
      <c r="Y22640" s="20"/>
    </row>
    <row r="22641" spans="24:25">
      <c r="X22641" s="19"/>
      <c r="Y22641" s="20"/>
    </row>
    <row r="22642" spans="24:25">
      <c r="X22642" s="19"/>
      <c r="Y22642" s="20"/>
    </row>
    <row r="22643" spans="24:25">
      <c r="X22643" s="19"/>
      <c r="Y22643" s="20"/>
    </row>
    <row r="22644" spans="24:25">
      <c r="X22644" s="19"/>
      <c r="Y22644" s="20"/>
    </row>
    <row r="22645" spans="24:25">
      <c r="X22645" s="19"/>
      <c r="Y22645" s="20"/>
    </row>
    <row r="22646" spans="24:25">
      <c r="X22646" s="19"/>
      <c r="Y22646" s="20"/>
    </row>
    <row r="22647" spans="24:25">
      <c r="X22647" s="19"/>
      <c r="Y22647" s="20"/>
    </row>
    <row r="22648" spans="24:25">
      <c r="X22648" s="19"/>
      <c r="Y22648" s="20"/>
    </row>
    <row r="22649" spans="24:25">
      <c r="X22649" s="19"/>
      <c r="Y22649" s="20"/>
    </row>
    <row r="22650" spans="24:25">
      <c r="X22650" s="19"/>
      <c r="Y22650" s="20"/>
    </row>
    <row r="22651" spans="24:25">
      <c r="X22651" s="19"/>
      <c r="Y22651" s="20"/>
    </row>
    <row r="22652" spans="24:25">
      <c r="X22652" s="19"/>
      <c r="Y22652" s="20"/>
    </row>
    <row r="22653" spans="24:25">
      <c r="X22653" s="19"/>
      <c r="Y22653" s="20"/>
    </row>
    <row r="22654" spans="24:25">
      <c r="X22654" s="19"/>
      <c r="Y22654" s="20"/>
    </row>
    <row r="22655" spans="24:25">
      <c r="X22655" s="19"/>
      <c r="Y22655" s="20"/>
    </row>
    <row r="22656" spans="24:25">
      <c r="X22656" s="19"/>
      <c r="Y22656" s="20"/>
    </row>
    <row r="22657" spans="24:25">
      <c r="X22657" s="19"/>
      <c r="Y22657" s="20"/>
    </row>
    <row r="22658" spans="24:25">
      <c r="X22658" s="19"/>
      <c r="Y22658" s="20"/>
    </row>
    <row r="22659" spans="24:25">
      <c r="X22659" s="19"/>
      <c r="Y22659" s="20"/>
    </row>
    <row r="22660" spans="24:25">
      <c r="X22660" s="19"/>
      <c r="Y22660" s="20"/>
    </row>
    <row r="22661" spans="24:25">
      <c r="X22661" s="19"/>
      <c r="Y22661" s="20"/>
    </row>
    <row r="22662" spans="24:25">
      <c r="X22662" s="19"/>
      <c r="Y22662" s="20"/>
    </row>
    <row r="22663" spans="24:25">
      <c r="X22663" s="19"/>
      <c r="Y22663" s="20"/>
    </row>
    <row r="22664" spans="24:25">
      <c r="X22664" s="19"/>
      <c r="Y22664" s="20"/>
    </row>
    <row r="22665" spans="24:25">
      <c r="X22665" s="19"/>
      <c r="Y22665" s="20"/>
    </row>
    <row r="22666" spans="24:25">
      <c r="X22666" s="19"/>
      <c r="Y22666" s="20"/>
    </row>
    <row r="22667" spans="24:25">
      <c r="X22667" s="19"/>
      <c r="Y22667" s="20"/>
    </row>
    <row r="22668" spans="24:25">
      <c r="X22668" s="19"/>
      <c r="Y22668" s="20"/>
    </row>
    <row r="22669" spans="24:25">
      <c r="X22669" s="19"/>
      <c r="Y22669" s="20"/>
    </row>
    <row r="22670" spans="24:25">
      <c r="X22670" s="19"/>
      <c r="Y22670" s="20"/>
    </row>
    <row r="22671" spans="24:25">
      <c r="X22671" s="19"/>
      <c r="Y22671" s="20"/>
    </row>
    <row r="22672" spans="24:25">
      <c r="X22672" s="19"/>
      <c r="Y22672" s="20"/>
    </row>
    <row r="22673" spans="24:25">
      <c r="X22673" s="19"/>
      <c r="Y22673" s="20"/>
    </row>
    <row r="22674" spans="24:25">
      <c r="X22674" s="19"/>
      <c r="Y22674" s="20"/>
    </row>
    <row r="22675" spans="24:25">
      <c r="X22675" s="19"/>
      <c r="Y22675" s="20"/>
    </row>
    <row r="22676" spans="24:25">
      <c r="X22676" s="19"/>
      <c r="Y22676" s="20"/>
    </row>
    <row r="22677" spans="24:25">
      <c r="X22677" s="19"/>
      <c r="Y22677" s="20"/>
    </row>
    <row r="22678" spans="24:25">
      <c r="X22678" s="19"/>
      <c r="Y22678" s="20"/>
    </row>
    <row r="22679" spans="24:25">
      <c r="X22679" s="19"/>
      <c r="Y22679" s="20"/>
    </row>
    <row r="22680" spans="24:25">
      <c r="X22680" s="19"/>
      <c r="Y22680" s="20"/>
    </row>
    <row r="22681" spans="24:25">
      <c r="X22681" s="19"/>
      <c r="Y22681" s="20"/>
    </row>
    <row r="22682" spans="24:25">
      <c r="X22682" s="19"/>
      <c r="Y22682" s="20"/>
    </row>
    <row r="22683" spans="24:25">
      <c r="X22683" s="19"/>
      <c r="Y22683" s="20"/>
    </row>
    <row r="22684" spans="24:25">
      <c r="X22684" s="19"/>
      <c r="Y22684" s="20"/>
    </row>
    <row r="22685" spans="24:25">
      <c r="X22685" s="19"/>
      <c r="Y22685" s="20"/>
    </row>
    <row r="22686" spans="24:25">
      <c r="X22686" s="19"/>
      <c r="Y22686" s="20"/>
    </row>
    <row r="22687" spans="24:25">
      <c r="X22687" s="19"/>
      <c r="Y22687" s="20"/>
    </row>
    <row r="22688" spans="24:25">
      <c r="X22688" s="19"/>
      <c r="Y22688" s="20"/>
    </row>
    <row r="22689" spans="24:25">
      <c r="X22689" s="19"/>
      <c r="Y22689" s="20"/>
    </row>
    <row r="22690" spans="24:25">
      <c r="X22690" s="19"/>
      <c r="Y22690" s="20"/>
    </row>
    <row r="22691" spans="24:25">
      <c r="X22691" s="19"/>
      <c r="Y22691" s="20"/>
    </row>
    <row r="22692" spans="24:25">
      <c r="X22692" s="19"/>
      <c r="Y22692" s="20"/>
    </row>
    <row r="22693" spans="24:25">
      <c r="X22693" s="19"/>
      <c r="Y22693" s="20"/>
    </row>
    <row r="22694" spans="24:25">
      <c r="X22694" s="19"/>
      <c r="Y22694" s="20"/>
    </row>
    <row r="22695" spans="24:25">
      <c r="X22695" s="19"/>
      <c r="Y22695" s="20"/>
    </row>
    <row r="22696" spans="24:25">
      <c r="X22696" s="19"/>
      <c r="Y22696" s="20"/>
    </row>
    <row r="22697" spans="24:25">
      <c r="X22697" s="19"/>
      <c r="Y22697" s="20"/>
    </row>
    <row r="22698" spans="24:25">
      <c r="X22698" s="19"/>
      <c r="Y22698" s="20"/>
    </row>
    <row r="22699" spans="24:25">
      <c r="X22699" s="19"/>
      <c r="Y22699" s="20"/>
    </row>
    <row r="22700" spans="24:25">
      <c r="X22700" s="19"/>
      <c r="Y22700" s="20"/>
    </row>
    <row r="22701" spans="24:25">
      <c r="X22701" s="19"/>
      <c r="Y22701" s="20"/>
    </row>
    <row r="22702" spans="24:25">
      <c r="X22702" s="19"/>
      <c r="Y22702" s="20"/>
    </row>
    <row r="22703" spans="24:25">
      <c r="X22703" s="19"/>
      <c r="Y22703" s="20"/>
    </row>
    <row r="22704" spans="24:25">
      <c r="X22704" s="19"/>
      <c r="Y22704" s="20"/>
    </row>
    <row r="22705" spans="24:25">
      <c r="X22705" s="19"/>
      <c r="Y22705" s="20"/>
    </row>
    <row r="22706" spans="24:25">
      <c r="X22706" s="19"/>
      <c r="Y22706" s="20"/>
    </row>
    <row r="22707" spans="24:25">
      <c r="X22707" s="19"/>
      <c r="Y22707" s="20"/>
    </row>
    <row r="22708" spans="24:25">
      <c r="X22708" s="19"/>
      <c r="Y22708" s="20"/>
    </row>
    <row r="22709" spans="24:25">
      <c r="X22709" s="19"/>
      <c r="Y22709" s="20"/>
    </row>
    <row r="22710" spans="24:25">
      <c r="X22710" s="19"/>
      <c r="Y22710" s="20"/>
    </row>
    <row r="22711" spans="24:25">
      <c r="X22711" s="19"/>
      <c r="Y22711" s="20"/>
    </row>
    <row r="22712" spans="24:25">
      <c r="X22712" s="19"/>
      <c r="Y22712" s="20"/>
    </row>
    <row r="22713" spans="24:25">
      <c r="X22713" s="19"/>
      <c r="Y22713" s="20"/>
    </row>
    <row r="22714" spans="24:25">
      <c r="X22714" s="19"/>
      <c r="Y22714" s="20"/>
    </row>
    <row r="22715" spans="24:25">
      <c r="X22715" s="19"/>
      <c r="Y22715" s="20"/>
    </row>
    <row r="22716" spans="24:25">
      <c r="X22716" s="19"/>
      <c r="Y22716" s="20"/>
    </row>
    <row r="22717" spans="24:25">
      <c r="X22717" s="19"/>
      <c r="Y22717" s="20"/>
    </row>
    <row r="22718" spans="24:25">
      <c r="X22718" s="19"/>
      <c r="Y22718" s="20"/>
    </row>
    <row r="22719" spans="24:25">
      <c r="X22719" s="19"/>
      <c r="Y22719" s="20"/>
    </row>
    <row r="22720" spans="24:25">
      <c r="X22720" s="19"/>
      <c r="Y22720" s="20"/>
    </row>
    <row r="22721" spans="24:25">
      <c r="X22721" s="19"/>
      <c r="Y22721" s="20"/>
    </row>
    <row r="22722" spans="24:25">
      <c r="X22722" s="19"/>
      <c r="Y22722" s="20"/>
    </row>
    <row r="22723" spans="24:25">
      <c r="X22723" s="19"/>
      <c r="Y22723" s="20"/>
    </row>
    <row r="22724" spans="24:25">
      <c r="X22724" s="19"/>
      <c r="Y22724" s="20"/>
    </row>
    <row r="22725" spans="24:25">
      <c r="X22725" s="19"/>
      <c r="Y22725" s="20"/>
    </row>
    <row r="22726" spans="24:25">
      <c r="X22726" s="19"/>
      <c r="Y22726" s="20"/>
    </row>
    <row r="22727" spans="24:25">
      <c r="X22727" s="19"/>
      <c r="Y22727" s="20"/>
    </row>
    <row r="22728" spans="24:25">
      <c r="X22728" s="19"/>
      <c r="Y22728" s="20"/>
    </row>
    <row r="22729" spans="24:25">
      <c r="X22729" s="19"/>
      <c r="Y22729" s="20"/>
    </row>
    <row r="22730" spans="24:25">
      <c r="X22730" s="19"/>
      <c r="Y22730" s="20"/>
    </row>
    <row r="22731" spans="24:25">
      <c r="X22731" s="19"/>
      <c r="Y22731" s="20"/>
    </row>
    <row r="22732" spans="24:25">
      <c r="X22732" s="19"/>
      <c r="Y22732" s="20"/>
    </row>
    <row r="22733" spans="24:25">
      <c r="X22733" s="19"/>
      <c r="Y22733" s="20"/>
    </row>
    <row r="22734" spans="24:25">
      <c r="X22734" s="19"/>
      <c r="Y22734" s="20"/>
    </row>
    <row r="22735" spans="24:25">
      <c r="X22735" s="19"/>
      <c r="Y22735" s="20"/>
    </row>
    <row r="22736" spans="24:25">
      <c r="X22736" s="19"/>
      <c r="Y22736" s="20"/>
    </row>
    <row r="22737" spans="24:25">
      <c r="X22737" s="19"/>
      <c r="Y22737" s="20"/>
    </row>
    <row r="22738" spans="24:25">
      <c r="X22738" s="19"/>
      <c r="Y22738" s="20"/>
    </row>
    <row r="22739" spans="24:25">
      <c r="X22739" s="19"/>
      <c r="Y22739" s="20"/>
    </row>
    <row r="22740" spans="24:25">
      <c r="X22740" s="19"/>
      <c r="Y22740" s="20"/>
    </row>
    <row r="22741" spans="24:25">
      <c r="X22741" s="19"/>
      <c r="Y22741" s="20"/>
    </row>
    <row r="22742" spans="24:25">
      <c r="X22742" s="19"/>
      <c r="Y22742" s="20"/>
    </row>
    <row r="22743" spans="24:25">
      <c r="X22743" s="19"/>
      <c r="Y22743" s="20"/>
    </row>
    <row r="22744" spans="24:25">
      <c r="X22744" s="19"/>
      <c r="Y22744" s="20"/>
    </row>
    <row r="22745" spans="24:25">
      <c r="X22745" s="19"/>
      <c r="Y22745" s="20"/>
    </row>
    <row r="22746" spans="24:25">
      <c r="X22746" s="19"/>
      <c r="Y22746" s="20"/>
    </row>
    <row r="22747" spans="24:25">
      <c r="X22747" s="19"/>
      <c r="Y22747" s="20"/>
    </row>
    <row r="22748" spans="24:25">
      <c r="X22748" s="19"/>
      <c r="Y22748" s="20"/>
    </row>
    <row r="22749" spans="24:25">
      <c r="X22749" s="19"/>
      <c r="Y22749" s="20"/>
    </row>
    <row r="22750" spans="24:25">
      <c r="X22750" s="19"/>
      <c r="Y22750" s="20"/>
    </row>
    <row r="22751" spans="24:25">
      <c r="X22751" s="19"/>
      <c r="Y22751" s="20"/>
    </row>
    <row r="22752" spans="24:25">
      <c r="X22752" s="19"/>
      <c r="Y22752" s="20"/>
    </row>
    <row r="22753" spans="24:25">
      <c r="X22753" s="19"/>
      <c r="Y22753" s="20"/>
    </row>
    <row r="22754" spans="24:25">
      <c r="X22754" s="19"/>
      <c r="Y22754" s="20"/>
    </row>
    <row r="22755" spans="24:25">
      <c r="X22755" s="19"/>
      <c r="Y22755" s="20"/>
    </row>
    <row r="22756" spans="24:25">
      <c r="X22756" s="19"/>
      <c r="Y22756" s="20"/>
    </row>
    <row r="22757" spans="24:25">
      <c r="X22757" s="19"/>
      <c r="Y22757" s="20"/>
    </row>
    <row r="22758" spans="24:25">
      <c r="X22758" s="19"/>
      <c r="Y22758" s="20"/>
    </row>
    <row r="22759" spans="24:25">
      <c r="X22759" s="19"/>
      <c r="Y22759" s="20"/>
    </row>
    <row r="22760" spans="24:25">
      <c r="X22760" s="19"/>
      <c r="Y22760" s="20"/>
    </row>
    <row r="22761" spans="24:25">
      <c r="X22761" s="19"/>
      <c r="Y22761" s="20"/>
    </row>
    <row r="22762" spans="24:25">
      <c r="X22762" s="19"/>
      <c r="Y22762" s="20"/>
    </row>
    <row r="22763" spans="24:25">
      <c r="X22763" s="19"/>
      <c r="Y22763" s="20"/>
    </row>
    <row r="22764" spans="24:25">
      <c r="X22764" s="19"/>
      <c r="Y22764" s="20"/>
    </row>
    <row r="22765" spans="24:25">
      <c r="X22765" s="19"/>
      <c r="Y22765" s="20"/>
    </row>
    <row r="22766" spans="24:25">
      <c r="X22766" s="19"/>
      <c r="Y22766" s="20"/>
    </row>
    <row r="22767" spans="24:25">
      <c r="X22767" s="19"/>
      <c r="Y22767" s="20"/>
    </row>
    <row r="22768" spans="24:25">
      <c r="X22768" s="19"/>
      <c r="Y22768" s="20"/>
    </row>
    <row r="22769" spans="24:25">
      <c r="X22769" s="19"/>
      <c r="Y22769" s="20"/>
    </row>
    <row r="22770" spans="24:25">
      <c r="X22770" s="19"/>
      <c r="Y22770" s="20"/>
    </row>
    <row r="22771" spans="24:25">
      <c r="X22771" s="19"/>
      <c r="Y22771" s="20"/>
    </row>
    <row r="22772" spans="24:25">
      <c r="X22772" s="19"/>
      <c r="Y22772" s="20"/>
    </row>
    <row r="22773" spans="24:25">
      <c r="X22773" s="19"/>
      <c r="Y22773" s="20"/>
    </row>
    <row r="22774" spans="24:25">
      <c r="X22774" s="19"/>
      <c r="Y22774" s="20"/>
    </row>
    <row r="22775" spans="24:25">
      <c r="X22775" s="19"/>
      <c r="Y22775" s="20"/>
    </row>
    <row r="22776" spans="24:25">
      <c r="X22776" s="19"/>
      <c r="Y22776" s="20"/>
    </row>
    <row r="22777" spans="24:25">
      <c r="X22777" s="19"/>
      <c r="Y22777" s="20"/>
    </row>
    <row r="22778" spans="24:25">
      <c r="X22778" s="19"/>
      <c r="Y22778" s="20"/>
    </row>
    <row r="22779" spans="24:25">
      <c r="X22779" s="19"/>
      <c r="Y22779" s="20"/>
    </row>
    <row r="22780" spans="24:25">
      <c r="X22780" s="19"/>
      <c r="Y22780" s="20"/>
    </row>
    <row r="22781" spans="24:25">
      <c r="X22781" s="19"/>
      <c r="Y22781" s="20"/>
    </row>
    <row r="22782" spans="24:25">
      <c r="X22782" s="19"/>
      <c r="Y22782" s="20"/>
    </row>
    <row r="22783" spans="24:25">
      <c r="X22783" s="19"/>
      <c r="Y22783" s="20"/>
    </row>
    <row r="22784" spans="24:25">
      <c r="X22784" s="19"/>
      <c r="Y22784" s="20"/>
    </row>
    <row r="22785" spans="24:25">
      <c r="X22785" s="19"/>
      <c r="Y22785" s="20"/>
    </row>
    <row r="22786" spans="24:25">
      <c r="X22786" s="19"/>
      <c r="Y22786" s="20"/>
    </row>
    <row r="22787" spans="24:25">
      <c r="X22787" s="19"/>
      <c r="Y22787" s="20"/>
    </row>
    <row r="22788" spans="24:25">
      <c r="X22788" s="19"/>
      <c r="Y22788" s="20"/>
    </row>
    <row r="22789" spans="24:25">
      <c r="X22789" s="19"/>
      <c r="Y22789" s="20"/>
    </row>
    <row r="22790" spans="24:25">
      <c r="X22790" s="19"/>
      <c r="Y22790" s="20"/>
    </row>
    <row r="22791" spans="24:25">
      <c r="X22791" s="19"/>
      <c r="Y22791" s="20"/>
    </row>
    <row r="22792" spans="24:25">
      <c r="X22792" s="19"/>
      <c r="Y22792" s="20"/>
    </row>
    <row r="22793" spans="24:25">
      <c r="X22793" s="19"/>
      <c r="Y22793" s="20"/>
    </row>
    <row r="22794" spans="24:25">
      <c r="X22794" s="19"/>
      <c r="Y22794" s="20"/>
    </row>
    <row r="22795" spans="24:25">
      <c r="X22795" s="19"/>
      <c r="Y22795" s="20"/>
    </row>
    <row r="22796" spans="24:25">
      <c r="X22796" s="19"/>
      <c r="Y22796" s="20"/>
    </row>
    <row r="22797" spans="24:25">
      <c r="X22797" s="19"/>
      <c r="Y22797" s="20"/>
    </row>
    <row r="22798" spans="24:25">
      <c r="X22798" s="19"/>
      <c r="Y22798" s="20"/>
    </row>
    <row r="22799" spans="24:25">
      <c r="X22799" s="19"/>
      <c r="Y22799" s="20"/>
    </row>
    <row r="22800" spans="24:25">
      <c r="X22800" s="19"/>
      <c r="Y22800" s="20"/>
    </row>
    <row r="22801" spans="24:25">
      <c r="X22801" s="19"/>
      <c r="Y22801" s="20"/>
    </row>
    <row r="22802" spans="24:25">
      <c r="X22802" s="19"/>
      <c r="Y22802" s="20"/>
    </row>
    <row r="22803" spans="24:25">
      <c r="X22803" s="19"/>
      <c r="Y22803" s="20"/>
    </row>
    <row r="22804" spans="24:25">
      <c r="X22804" s="19"/>
      <c r="Y22804" s="20"/>
    </row>
    <row r="22805" spans="24:25">
      <c r="X22805" s="19"/>
      <c r="Y22805" s="20"/>
    </row>
    <row r="22806" spans="24:25">
      <c r="X22806" s="19"/>
      <c r="Y22806" s="20"/>
    </row>
    <row r="22807" spans="24:25">
      <c r="X22807" s="19"/>
      <c r="Y22807" s="20"/>
    </row>
    <row r="22808" spans="24:25">
      <c r="X22808" s="19"/>
      <c r="Y22808" s="20"/>
    </row>
    <row r="22809" spans="24:25">
      <c r="X22809" s="19"/>
      <c r="Y22809" s="20"/>
    </row>
    <row r="22810" spans="24:25">
      <c r="X22810" s="19"/>
      <c r="Y22810" s="20"/>
    </row>
    <row r="22811" spans="24:25">
      <c r="X22811" s="19"/>
      <c r="Y22811" s="20"/>
    </row>
    <row r="22812" spans="24:25">
      <c r="X22812" s="19"/>
      <c r="Y22812" s="20"/>
    </row>
    <row r="22813" spans="24:25">
      <c r="X22813" s="19"/>
      <c r="Y22813" s="20"/>
    </row>
    <row r="22814" spans="24:25">
      <c r="X22814" s="19"/>
      <c r="Y22814" s="20"/>
    </row>
    <row r="22815" spans="24:25">
      <c r="X22815" s="19"/>
      <c r="Y22815" s="20"/>
    </row>
    <row r="22816" spans="24:25">
      <c r="X22816" s="19"/>
      <c r="Y22816" s="20"/>
    </row>
    <row r="22817" spans="24:25">
      <c r="X22817" s="19"/>
      <c r="Y22817" s="20"/>
    </row>
    <row r="22818" spans="24:25">
      <c r="X22818" s="19"/>
      <c r="Y22818" s="20"/>
    </row>
    <row r="22819" spans="24:25">
      <c r="X22819" s="19"/>
      <c r="Y22819" s="20"/>
    </row>
    <row r="22820" spans="24:25">
      <c r="X22820" s="19"/>
      <c r="Y22820" s="20"/>
    </row>
    <row r="22821" spans="24:25">
      <c r="X22821" s="19"/>
      <c r="Y22821" s="20"/>
    </row>
    <row r="22822" spans="24:25">
      <c r="X22822" s="19"/>
      <c r="Y22822" s="20"/>
    </row>
    <row r="22823" spans="24:25">
      <c r="X22823" s="19"/>
      <c r="Y22823" s="20"/>
    </row>
    <row r="22824" spans="24:25">
      <c r="X22824" s="19"/>
      <c r="Y22824" s="20"/>
    </row>
    <row r="22825" spans="24:25">
      <c r="X22825" s="19"/>
      <c r="Y22825" s="20"/>
    </row>
    <row r="22826" spans="24:25">
      <c r="X22826" s="19"/>
      <c r="Y22826" s="20"/>
    </row>
    <row r="22827" spans="24:25">
      <c r="X22827" s="19"/>
      <c r="Y22827" s="20"/>
    </row>
    <row r="22828" spans="24:25">
      <c r="X22828" s="19"/>
      <c r="Y22828" s="20"/>
    </row>
    <row r="22829" spans="24:25">
      <c r="X22829" s="19"/>
      <c r="Y22829" s="20"/>
    </row>
    <row r="22830" spans="24:25">
      <c r="X22830" s="19"/>
      <c r="Y22830" s="20"/>
    </row>
    <row r="22831" spans="24:25">
      <c r="X22831" s="19"/>
      <c r="Y22831" s="20"/>
    </row>
    <row r="22832" spans="24:25">
      <c r="X22832" s="19"/>
      <c r="Y22832" s="20"/>
    </row>
    <row r="22833" spans="24:25">
      <c r="X22833" s="19"/>
      <c r="Y22833" s="20"/>
    </row>
    <row r="22834" spans="24:25">
      <c r="X22834" s="19"/>
      <c r="Y22834" s="20"/>
    </row>
    <row r="22835" spans="24:25">
      <c r="X22835" s="19"/>
      <c r="Y22835" s="20"/>
    </row>
    <row r="22836" spans="24:25">
      <c r="X22836" s="19"/>
      <c r="Y22836" s="20"/>
    </row>
    <row r="22837" spans="24:25">
      <c r="X22837" s="19"/>
      <c r="Y22837" s="20"/>
    </row>
    <row r="22838" spans="24:25">
      <c r="X22838" s="19"/>
      <c r="Y22838" s="20"/>
    </row>
    <row r="22839" spans="24:25">
      <c r="X22839" s="19"/>
      <c r="Y22839" s="20"/>
    </row>
    <row r="22840" spans="24:25">
      <c r="X22840" s="19"/>
      <c r="Y22840" s="20"/>
    </row>
    <row r="22841" spans="24:25">
      <c r="X22841" s="19"/>
      <c r="Y22841" s="20"/>
    </row>
    <row r="22842" spans="24:25">
      <c r="X22842" s="19"/>
      <c r="Y22842" s="20"/>
    </row>
    <row r="22843" spans="24:25">
      <c r="X22843" s="19"/>
      <c r="Y22843" s="20"/>
    </row>
    <row r="22844" spans="24:25">
      <c r="X22844" s="19"/>
      <c r="Y22844" s="20"/>
    </row>
    <row r="22845" spans="24:25">
      <c r="X22845" s="19"/>
      <c r="Y22845" s="20"/>
    </row>
    <row r="22846" spans="24:25">
      <c r="X22846" s="19"/>
      <c r="Y22846" s="20"/>
    </row>
    <row r="22847" spans="24:25">
      <c r="X22847" s="19"/>
      <c r="Y22847" s="20"/>
    </row>
    <row r="22848" spans="24:25">
      <c r="X22848" s="19"/>
      <c r="Y22848" s="20"/>
    </row>
    <row r="22849" spans="24:25">
      <c r="X22849" s="19"/>
      <c r="Y22849" s="20"/>
    </row>
    <row r="22850" spans="24:25">
      <c r="X22850" s="19"/>
      <c r="Y22850" s="20"/>
    </row>
    <row r="22851" spans="24:25">
      <c r="X22851" s="19"/>
      <c r="Y22851" s="20"/>
    </row>
    <row r="22852" spans="24:25">
      <c r="X22852" s="19"/>
      <c r="Y22852" s="20"/>
    </row>
    <row r="22853" spans="24:25">
      <c r="X22853" s="19"/>
      <c r="Y22853" s="20"/>
    </row>
    <row r="22854" spans="24:25">
      <c r="X22854" s="19"/>
      <c r="Y22854" s="20"/>
    </row>
    <row r="22855" spans="24:25">
      <c r="X22855" s="19"/>
      <c r="Y22855" s="20"/>
    </row>
    <row r="22856" spans="24:25">
      <c r="X22856" s="19"/>
      <c r="Y22856" s="20"/>
    </row>
    <row r="22857" spans="24:25">
      <c r="X22857" s="19"/>
      <c r="Y22857" s="20"/>
    </row>
    <row r="22858" spans="24:25">
      <c r="X22858" s="19"/>
      <c r="Y22858" s="20"/>
    </row>
    <row r="22859" spans="24:25">
      <c r="X22859" s="19"/>
      <c r="Y22859" s="20"/>
    </row>
    <row r="22860" spans="24:25">
      <c r="X22860" s="19"/>
      <c r="Y22860" s="20"/>
    </row>
    <row r="22861" spans="24:25">
      <c r="X22861" s="19"/>
      <c r="Y22861" s="20"/>
    </row>
    <row r="22862" spans="24:25">
      <c r="X22862" s="19"/>
      <c r="Y22862" s="20"/>
    </row>
    <row r="22863" spans="24:25">
      <c r="X22863" s="19"/>
      <c r="Y22863" s="20"/>
    </row>
    <row r="22864" spans="24:25">
      <c r="X22864" s="19"/>
      <c r="Y22864" s="20"/>
    </row>
    <row r="22865" spans="24:25">
      <c r="X22865" s="19"/>
      <c r="Y22865" s="20"/>
    </row>
    <row r="22866" spans="24:25">
      <c r="X22866" s="19"/>
      <c r="Y22866" s="20"/>
    </row>
    <row r="22867" spans="24:25">
      <c r="X22867" s="19"/>
      <c r="Y22867" s="20"/>
    </row>
    <row r="22868" spans="24:25">
      <c r="X22868" s="19"/>
      <c r="Y22868" s="20"/>
    </row>
    <row r="22869" spans="24:25">
      <c r="X22869" s="19"/>
      <c r="Y22869" s="20"/>
    </row>
    <row r="22870" spans="24:25">
      <c r="X22870" s="19"/>
      <c r="Y22870" s="20"/>
    </row>
    <row r="22871" spans="24:25">
      <c r="X22871" s="19"/>
      <c r="Y22871" s="20"/>
    </row>
    <row r="22872" spans="24:25">
      <c r="X22872" s="19"/>
      <c r="Y22872" s="20"/>
    </row>
    <row r="22873" spans="24:25">
      <c r="X22873" s="19"/>
      <c r="Y22873" s="20"/>
    </row>
    <row r="22874" spans="24:25">
      <c r="X22874" s="19"/>
      <c r="Y22874" s="20"/>
    </row>
    <row r="22875" spans="24:25">
      <c r="X22875" s="19"/>
      <c r="Y22875" s="20"/>
    </row>
    <row r="22876" spans="24:25">
      <c r="X22876" s="19"/>
      <c r="Y22876" s="20"/>
    </row>
    <row r="22877" spans="24:25">
      <c r="X22877" s="19"/>
      <c r="Y22877" s="20"/>
    </row>
    <row r="22878" spans="24:25">
      <c r="X22878" s="19"/>
      <c r="Y22878" s="20"/>
    </row>
    <row r="22879" spans="24:25">
      <c r="X22879" s="19"/>
      <c r="Y22879" s="20"/>
    </row>
    <row r="22880" spans="24:25">
      <c r="X22880" s="19"/>
      <c r="Y22880" s="20"/>
    </row>
    <row r="22881" spans="24:25">
      <c r="X22881" s="19"/>
      <c r="Y22881" s="20"/>
    </row>
    <row r="22882" spans="24:25">
      <c r="X22882" s="19"/>
      <c r="Y22882" s="20"/>
    </row>
    <row r="22883" spans="24:25">
      <c r="X22883" s="19"/>
      <c r="Y22883" s="20"/>
    </row>
    <row r="22884" spans="24:25">
      <c r="X22884" s="19"/>
      <c r="Y22884" s="20"/>
    </row>
    <row r="22885" spans="24:25">
      <c r="X22885" s="19"/>
      <c r="Y22885" s="20"/>
    </row>
    <row r="22886" spans="24:25">
      <c r="X22886" s="19"/>
      <c r="Y22886" s="20"/>
    </row>
    <row r="22887" spans="24:25">
      <c r="X22887" s="19"/>
      <c r="Y22887" s="20"/>
    </row>
    <row r="22888" spans="24:25">
      <c r="X22888" s="19"/>
      <c r="Y22888" s="20"/>
    </row>
    <row r="22889" spans="24:25">
      <c r="X22889" s="19"/>
      <c r="Y22889" s="20"/>
    </row>
    <row r="22890" spans="24:25">
      <c r="X22890" s="19"/>
      <c r="Y22890" s="20"/>
    </row>
    <row r="22891" spans="24:25">
      <c r="X22891" s="19"/>
      <c r="Y22891" s="20"/>
    </row>
    <row r="22892" spans="24:25">
      <c r="X22892" s="19"/>
      <c r="Y22892" s="20"/>
    </row>
    <row r="22893" spans="24:25">
      <c r="X22893" s="19"/>
      <c r="Y22893" s="20"/>
    </row>
    <row r="22894" spans="24:25">
      <c r="X22894" s="19"/>
      <c r="Y22894" s="20"/>
    </row>
    <row r="22895" spans="24:25">
      <c r="X22895" s="19"/>
      <c r="Y22895" s="20"/>
    </row>
    <row r="22896" spans="24:25">
      <c r="X22896" s="19"/>
      <c r="Y22896" s="20"/>
    </row>
    <row r="22897" spans="24:25">
      <c r="X22897" s="19"/>
      <c r="Y22897" s="20"/>
    </row>
    <row r="22898" spans="24:25">
      <c r="X22898" s="19"/>
      <c r="Y22898" s="20"/>
    </row>
    <row r="22899" spans="24:25">
      <c r="X22899" s="19"/>
      <c r="Y22899" s="20"/>
    </row>
    <row r="22900" spans="24:25">
      <c r="X22900" s="19"/>
      <c r="Y22900" s="20"/>
    </row>
    <row r="22901" spans="24:25">
      <c r="X22901" s="19"/>
      <c r="Y22901" s="20"/>
    </row>
    <row r="22902" spans="24:25">
      <c r="X22902" s="19"/>
      <c r="Y22902" s="20"/>
    </row>
    <row r="22903" spans="24:25">
      <c r="X22903" s="19"/>
      <c r="Y22903" s="20"/>
    </row>
    <row r="22904" spans="24:25">
      <c r="X22904" s="19"/>
      <c r="Y22904" s="20"/>
    </row>
    <row r="22905" spans="24:25">
      <c r="X22905" s="19"/>
      <c r="Y22905" s="20"/>
    </row>
    <row r="22906" spans="24:25">
      <c r="X22906" s="19"/>
      <c r="Y22906" s="20"/>
    </row>
    <row r="22907" spans="24:25">
      <c r="X22907" s="19"/>
      <c r="Y22907" s="20"/>
    </row>
    <row r="22908" spans="24:25">
      <c r="X22908" s="19"/>
      <c r="Y22908" s="20"/>
    </row>
    <row r="22909" spans="24:25">
      <c r="X22909" s="19"/>
      <c r="Y22909" s="20"/>
    </row>
    <row r="22910" spans="24:25">
      <c r="X22910" s="19"/>
      <c r="Y22910" s="20"/>
    </row>
    <row r="22911" spans="24:25">
      <c r="X22911" s="19"/>
      <c r="Y22911" s="20"/>
    </row>
    <row r="22912" spans="24:25">
      <c r="X22912" s="19"/>
      <c r="Y22912" s="20"/>
    </row>
    <row r="22913" spans="24:25">
      <c r="X22913" s="19"/>
      <c r="Y22913" s="20"/>
    </row>
    <row r="22914" spans="24:25">
      <c r="X22914" s="19"/>
      <c r="Y22914" s="20"/>
    </row>
    <row r="22915" spans="24:25">
      <c r="X22915" s="19"/>
      <c r="Y22915" s="20"/>
    </row>
    <row r="22916" spans="24:25">
      <c r="X22916" s="19"/>
      <c r="Y22916" s="20"/>
    </row>
    <row r="22917" spans="24:25">
      <c r="X22917" s="19"/>
      <c r="Y22917" s="20"/>
    </row>
    <row r="22918" spans="24:25">
      <c r="X22918" s="19"/>
      <c r="Y22918" s="20"/>
    </row>
    <row r="22919" spans="24:25">
      <c r="X22919" s="19"/>
      <c r="Y22919" s="20"/>
    </row>
    <row r="22920" spans="24:25">
      <c r="X22920" s="19"/>
      <c r="Y22920" s="20"/>
    </row>
    <row r="22921" spans="24:25">
      <c r="X22921" s="19"/>
      <c r="Y22921" s="20"/>
    </row>
    <row r="22922" spans="24:25">
      <c r="X22922" s="19"/>
      <c r="Y22922" s="20"/>
    </row>
    <row r="22923" spans="24:25">
      <c r="X22923" s="19"/>
      <c r="Y22923" s="20"/>
    </row>
    <row r="22924" spans="24:25">
      <c r="X22924" s="19"/>
      <c r="Y22924" s="20"/>
    </row>
    <row r="22925" spans="24:25">
      <c r="X22925" s="19"/>
      <c r="Y22925" s="20"/>
    </row>
    <row r="22926" spans="24:25">
      <c r="X22926" s="19"/>
      <c r="Y22926" s="20"/>
    </row>
    <row r="22927" spans="24:25">
      <c r="X22927" s="19"/>
      <c r="Y22927" s="20"/>
    </row>
    <row r="22928" spans="24:25">
      <c r="X22928" s="19"/>
      <c r="Y22928" s="20"/>
    </row>
    <row r="22929" spans="24:25">
      <c r="X22929" s="19"/>
      <c r="Y22929" s="20"/>
    </row>
    <row r="22930" spans="24:25">
      <c r="X22930" s="19"/>
      <c r="Y22930" s="20"/>
    </row>
    <row r="22931" spans="24:25">
      <c r="X22931" s="19"/>
      <c r="Y22931" s="20"/>
    </row>
    <row r="22932" spans="24:25">
      <c r="X22932" s="19"/>
      <c r="Y22932" s="20"/>
    </row>
    <row r="22933" spans="24:25">
      <c r="X22933" s="19"/>
      <c r="Y22933" s="20"/>
    </row>
    <row r="22934" spans="24:25">
      <c r="X22934" s="19"/>
      <c r="Y22934" s="20"/>
    </row>
    <row r="22935" spans="24:25">
      <c r="X22935" s="19"/>
      <c r="Y22935" s="20"/>
    </row>
    <row r="22936" spans="24:25">
      <c r="X22936" s="19"/>
      <c r="Y22936" s="20"/>
    </row>
    <row r="22937" spans="24:25">
      <c r="X22937" s="19"/>
      <c r="Y22937" s="20"/>
    </row>
    <row r="22938" spans="24:25">
      <c r="X22938" s="19"/>
      <c r="Y22938" s="20"/>
    </row>
    <row r="22939" spans="24:25">
      <c r="X22939" s="19"/>
      <c r="Y22939" s="20"/>
    </row>
    <row r="22940" spans="24:25">
      <c r="X22940" s="19"/>
      <c r="Y22940" s="20"/>
    </row>
    <row r="22941" spans="24:25">
      <c r="X22941" s="19"/>
      <c r="Y22941" s="20"/>
    </row>
    <row r="22942" spans="24:25">
      <c r="X22942" s="19"/>
      <c r="Y22942" s="20"/>
    </row>
    <row r="22943" spans="24:25">
      <c r="X22943" s="19"/>
      <c r="Y22943" s="20"/>
    </row>
    <row r="22944" spans="24:25">
      <c r="X22944" s="19"/>
      <c r="Y22944" s="20"/>
    </row>
    <row r="22945" spans="24:25">
      <c r="X22945" s="19"/>
      <c r="Y22945" s="20"/>
    </row>
    <row r="22946" spans="24:25">
      <c r="X22946" s="19"/>
      <c r="Y22946" s="20"/>
    </row>
    <row r="22947" spans="24:25">
      <c r="X22947" s="19"/>
      <c r="Y22947" s="20"/>
    </row>
    <row r="22948" spans="24:25">
      <c r="X22948" s="19"/>
      <c r="Y22948" s="20"/>
    </row>
    <row r="22949" spans="24:25">
      <c r="X22949" s="19"/>
      <c r="Y22949" s="20"/>
    </row>
    <row r="22950" spans="24:25">
      <c r="X22950" s="19"/>
      <c r="Y22950" s="20"/>
    </row>
    <row r="22951" spans="24:25">
      <c r="X22951" s="19"/>
      <c r="Y22951" s="20"/>
    </row>
    <row r="22952" spans="24:25">
      <c r="X22952" s="19"/>
      <c r="Y22952" s="20"/>
    </row>
    <row r="22953" spans="24:25">
      <c r="X22953" s="19"/>
      <c r="Y22953" s="20"/>
    </row>
    <row r="22954" spans="24:25">
      <c r="X22954" s="19"/>
      <c r="Y22954" s="20"/>
    </row>
    <row r="22955" spans="24:25">
      <c r="X22955" s="19"/>
      <c r="Y22955" s="20"/>
    </row>
    <row r="22956" spans="24:25">
      <c r="X22956" s="19"/>
      <c r="Y22956" s="20"/>
    </row>
    <row r="22957" spans="24:25">
      <c r="X22957" s="19"/>
      <c r="Y22957" s="20"/>
    </row>
    <row r="22958" spans="24:25">
      <c r="X22958" s="19"/>
      <c r="Y22958" s="20"/>
    </row>
    <row r="22959" spans="24:25">
      <c r="X22959" s="19"/>
      <c r="Y22959" s="20"/>
    </row>
    <row r="22960" spans="24:25">
      <c r="X22960" s="19"/>
      <c r="Y22960" s="20"/>
    </row>
    <row r="22961" spans="24:25">
      <c r="X22961" s="19"/>
      <c r="Y22961" s="20"/>
    </row>
    <row r="22962" spans="24:25">
      <c r="X22962" s="19"/>
      <c r="Y22962" s="20"/>
    </row>
    <row r="22963" spans="24:25">
      <c r="X22963" s="19"/>
      <c r="Y22963" s="20"/>
    </row>
    <row r="22964" spans="24:25">
      <c r="X22964" s="19"/>
      <c r="Y22964" s="20"/>
    </row>
    <row r="22965" spans="24:25">
      <c r="X22965" s="19"/>
      <c r="Y22965" s="20"/>
    </row>
    <row r="22966" spans="24:25">
      <c r="X22966" s="19"/>
      <c r="Y22966" s="20"/>
    </row>
    <row r="22967" spans="24:25">
      <c r="X22967" s="19"/>
      <c r="Y22967" s="20"/>
    </row>
    <row r="22968" spans="24:25">
      <c r="X22968" s="19"/>
      <c r="Y22968" s="20"/>
    </row>
    <row r="22969" spans="24:25">
      <c r="X22969" s="19"/>
      <c r="Y22969" s="20"/>
    </row>
    <row r="22970" spans="24:25">
      <c r="X22970" s="19"/>
      <c r="Y22970" s="20"/>
    </row>
    <row r="22971" spans="24:25">
      <c r="X22971" s="19"/>
      <c r="Y22971" s="20"/>
    </row>
    <row r="22972" spans="24:25">
      <c r="X22972" s="19"/>
      <c r="Y22972" s="20"/>
    </row>
    <row r="22973" spans="24:25">
      <c r="X22973" s="19"/>
      <c r="Y22973" s="20"/>
    </row>
    <row r="22974" spans="24:25">
      <c r="X22974" s="19"/>
      <c r="Y22974" s="20"/>
    </row>
    <row r="22975" spans="24:25">
      <c r="X22975" s="19"/>
      <c r="Y22975" s="20"/>
    </row>
    <row r="22976" spans="24:25">
      <c r="X22976" s="19"/>
      <c r="Y22976" s="20"/>
    </row>
    <row r="22977" spans="24:25">
      <c r="X22977" s="19"/>
      <c r="Y22977" s="20"/>
    </row>
    <row r="22978" spans="24:25">
      <c r="X22978" s="19"/>
      <c r="Y22978" s="20"/>
    </row>
    <row r="22979" spans="24:25">
      <c r="X22979" s="19"/>
      <c r="Y22979" s="20"/>
    </row>
    <row r="22980" spans="24:25">
      <c r="X22980" s="19"/>
      <c r="Y22980" s="20"/>
    </row>
    <row r="22981" spans="24:25">
      <c r="X22981" s="19"/>
      <c r="Y22981" s="20"/>
    </row>
    <row r="22982" spans="24:25">
      <c r="X22982" s="19"/>
      <c r="Y22982" s="20"/>
    </row>
    <row r="22983" spans="24:25">
      <c r="X22983" s="19"/>
      <c r="Y22983" s="20"/>
    </row>
    <row r="22984" spans="24:25">
      <c r="X22984" s="19"/>
      <c r="Y22984" s="20"/>
    </row>
    <row r="22985" spans="24:25">
      <c r="X22985" s="19"/>
      <c r="Y22985" s="20"/>
    </row>
    <row r="22986" spans="24:25">
      <c r="X22986" s="19"/>
      <c r="Y22986" s="20"/>
    </row>
    <row r="22987" spans="24:25">
      <c r="X22987" s="19"/>
      <c r="Y22987" s="20"/>
    </row>
    <row r="22988" spans="24:25">
      <c r="X22988" s="19"/>
      <c r="Y22988" s="20"/>
    </row>
    <row r="22989" spans="24:25">
      <c r="X22989" s="19"/>
      <c r="Y22989" s="20"/>
    </row>
    <row r="22990" spans="24:25">
      <c r="X22990" s="19"/>
      <c r="Y22990" s="20"/>
    </row>
    <row r="22991" spans="24:25">
      <c r="X22991" s="19"/>
      <c r="Y22991" s="20"/>
    </row>
    <row r="22992" spans="24:25">
      <c r="X22992" s="19"/>
      <c r="Y22992" s="20"/>
    </row>
    <row r="22993" spans="24:25">
      <c r="X22993" s="19"/>
      <c r="Y22993" s="20"/>
    </row>
    <row r="22994" spans="24:25">
      <c r="X22994" s="19"/>
      <c r="Y22994" s="20"/>
    </row>
    <row r="22995" spans="24:25">
      <c r="X22995" s="19"/>
      <c r="Y22995" s="20"/>
    </row>
    <row r="22996" spans="24:25">
      <c r="X22996" s="19"/>
      <c r="Y22996" s="20"/>
    </row>
    <row r="22997" spans="24:25">
      <c r="X22997" s="19"/>
      <c r="Y22997" s="20"/>
    </row>
    <row r="22998" spans="24:25">
      <c r="X22998" s="19"/>
      <c r="Y22998" s="20"/>
    </row>
    <row r="22999" spans="24:25">
      <c r="X22999" s="19"/>
      <c r="Y22999" s="20"/>
    </row>
    <row r="23000" spans="24:25">
      <c r="X23000" s="19"/>
      <c r="Y23000" s="20"/>
    </row>
    <row r="23001" spans="24:25">
      <c r="X23001" s="19"/>
      <c r="Y23001" s="20"/>
    </row>
    <row r="23002" spans="24:25">
      <c r="X23002" s="19"/>
      <c r="Y23002" s="20"/>
    </row>
    <row r="23003" spans="24:25">
      <c r="X23003" s="19"/>
      <c r="Y23003" s="20"/>
    </row>
    <row r="23004" spans="24:25">
      <c r="X23004" s="19"/>
      <c r="Y23004" s="20"/>
    </row>
    <row r="23005" spans="24:25">
      <c r="X23005" s="19"/>
      <c r="Y23005" s="20"/>
    </row>
    <row r="23006" spans="24:25">
      <c r="X23006" s="19"/>
      <c r="Y23006" s="20"/>
    </row>
    <row r="23007" spans="24:25">
      <c r="X23007" s="19"/>
      <c r="Y23007" s="20"/>
    </row>
    <row r="23008" spans="24:25">
      <c r="X23008" s="19"/>
      <c r="Y23008" s="20"/>
    </row>
    <row r="23009" spans="24:25">
      <c r="X23009" s="19"/>
      <c r="Y23009" s="20"/>
    </row>
    <row r="23010" spans="24:25">
      <c r="X23010" s="19"/>
      <c r="Y23010" s="20"/>
    </row>
    <row r="23011" spans="24:25">
      <c r="X23011" s="19"/>
      <c r="Y23011" s="20"/>
    </row>
    <row r="23012" spans="24:25">
      <c r="X23012" s="19"/>
      <c r="Y23012" s="20"/>
    </row>
    <row r="23013" spans="24:25">
      <c r="X23013" s="19"/>
      <c r="Y23013" s="20"/>
    </row>
    <row r="23014" spans="24:25">
      <c r="X23014" s="19"/>
      <c r="Y23014" s="20"/>
    </row>
    <row r="23015" spans="24:25">
      <c r="X23015" s="19"/>
      <c r="Y23015" s="20"/>
    </row>
    <row r="23016" spans="24:25">
      <c r="X23016" s="19"/>
      <c r="Y23016" s="20"/>
    </row>
    <row r="23017" spans="24:25">
      <c r="X23017" s="19"/>
      <c r="Y23017" s="20"/>
    </row>
    <row r="23018" spans="24:25">
      <c r="X23018" s="19"/>
      <c r="Y23018" s="20"/>
    </row>
    <row r="23019" spans="24:25">
      <c r="X23019" s="19"/>
      <c r="Y23019" s="20"/>
    </row>
    <row r="23020" spans="24:25">
      <c r="X23020" s="19"/>
      <c r="Y23020" s="20"/>
    </row>
    <row r="23021" spans="24:25">
      <c r="X23021" s="19"/>
      <c r="Y23021" s="20"/>
    </row>
    <row r="23022" spans="24:25">
      <c r="X23022" s="19"/>
      <c r="Y23022" s="20"/>
    </row>
    <row r="23023" spans="24:25">
      <c r="X23023" s="19"/>
      <c r="Y23023" s="20"/>
    </row>
    <row r="23024" spans="24:25">
      <c r="X23024" s="19"/>
      <c r="Y23024" s="20"/>
    </row>
    <row r="23025" spans="24:25">
      <c r="X23025" s="19"/>
      <c r="Y23025" s="20"/>
    </row>
    <row r="23026" spans="24:25">
      <c r="X23026" s="19"/>
      <c r="Y23026" s="20"/>
    </row>
    <row r="23027" spans="24:25">
      <c r="X23027" s="19"/>
      <c r="Y23027" s="20"/>
    </row>
    <row r="23028" spans="24:25">
      <c r="X23028" s="19"/>
      <c r="Y23028" s="20"/>
    </row>
    <row r="23029" spans="24:25">
      <c r="X23029" s="19"/>
      <c r="Y23029" s="20"/>
    </row>
    <row r="23030" spans="24:25">
      <c r="X23030" s="19"/>
      <c r="Y23030" s="20"/>
    </row>
    <row r="23031" spans="24:25">
      <c r="X23031" s="19"/>
      <c r="Y23031" s="20"/>
    </row>
    <row r="23032" spans="24:25">
      <c r="X23032" s="19"/>
      <c r="Y23032" s="20"/>
    </row>
    <row r="23033" spans="24:25">
      <c r="X23033" s="19"/>
      <c r="Y23033" s="20"/>
    </row>
    <row r="23034" spans="24:25">
      <c r="X23034" s="19"/>
      <c r="Y23034" s="20"/>
    </row>
    <row r="23035" spans="24:25">
      <c r="X23035" s="19"/>
      <c r="Y23035" s="20"/>
    </row>
    <row r="23036" spans="24:25">
      <c r="X23036" s="19"/>
      <c r="Y23036" s="20"/>
    </row>
    <row r="23037" spans="24:25">
      <c r="X23037" s="19"/>
      <c r="Y23037" s="20"/>
    </row>
    <row r="23038" spans="24:25">
      <c r="X23038" s="19"/>
      <c r="Y23038" s="20"/>
    </row>
    <row r="23039" spans="24:25">
      <c r="X23039" s="19"/>
      <c r="Y23039" s="20"/>
    </row>
    <row r="23040" spans="24:25">
      <c r="X23040" s="19"/>
      <c r="Y23040" s="20"/>
    </row>
    <row r="23041" spans="24:25">
      <c r="X23041" s="19"/>
      <c r="Y23041" s="20"/>
    </row>
    <row r="23042" spans="24:25">
      <c r="X23042" s="19"/>
      <c r="Y23042" s="20"/>
    </row>
    <row r="23043" spans="24:25">
      <c r="X23043" s="19"/>
      <c r="Y23043" s="20"/>
    </row>
    <row r="23044" spans="24:25">
      <c r="X23044" s="19"/>
      <c r="Y23044" s="20"/>
    </row>
    <row r="23045" spans="24:25">
      <c r="X23045" s="19"/>
      <c r="Y23045" s="20"/>
    </row>
    <row r="23046" spans="24:25">
      <c r="X23046" s="19"/>
      <c r="Y23046" s="20"/>
    </row>
    <row r="23047" spans="24:25">
      <c r="X23047" s="19"/>
      <c r="Y23047" s="20"/>
    </row>
    <row r="23048" spans="24:25">
      <c r="X23048" s="19"/>
      <c r="Y23048" s="20"/>
    </row>
    <row r="23049" spans="24:25">
      <c r="X23049" s="19"/>
      <c r="Y23049" s="20"/>
    </row>
    <row r="23050" spans="24:25">
      <c r="X23050" s="19"/>
      <c r="Y23050" s="20"/>
    </row>
    <row r="23051" spans="24:25">
      <c r="X23051" s="19"/>
      <c r="Y23051" s="20"/>
    </row>
    <row r="23052" spans="24:25">
      <c r="X23052" s="19"/>
      <c r="Y23052" s="20"/>
    </row>
    <row r="23053" spans="24:25">
      <c r="X23053" s="19"/>
      <c r="Y23053" s="20"/>
    </row>
    <row r="23054" spans="24:25">
      <c r="X23054" s="19"/>
      <c r="Y23054" s="20"/>
    </row>
    <row r="23055" spans="24:25">
      <c r="X23055" s="19"/>
      <c r="Y23055" s="20"/>
    </row>
    <row r="23056" spans="24:25">
      <c r="X23056" s="19"/>
      <c r="Y23056" s="20"/>
    </row>
    <row r="23057" spans="24:25">
      <c r="X23057" s="19"/>
      <c r="Y23057" s="20"/>
    </row>
    <row r="23058" spans="24:25">
      <c r="X23058" s="19"/>
      <c r="Y23058" s="20"/>
    </row>
    <row r="23059" spans="24:25">
      <c r="X23059" s="19"/>
      <c r="Y23059" s="20"/>
    </row>
    <row r="23060" spans="24:25">
      <c r="X23060" s="19"/>
      <c r="Y23060" s="20"/>
    </row>
    <row r="23061" spans="24:25">
      <c r="X23061" s="19"/>
      <c r="Y23061" s="20"/>
    </row>
    <row r="23062" spans="24:25">
      <c r="X23062" s="19"/>
      <c r="Y23062" s="20"/>
    </row>
    <row r="23063" spans="24:25">
      <c r="X23063" s="19"/>
      <c r="Y23063" s="20"/>
    </row>
    <row r="23064" spans="24:25">
      <c r="X23064" s="19"/>
      <c r="Y23064" s="20"/>
    </row>
    <row r="23065" spans="24:25">
      <c r="X23065" s="19"/>
      <c r="Y23065" s="20"/>
    </row>
    <row r="23066" spans="24:25">
      <c r="X23066" s="19"/>
      <c r="Y23066" s="20"/>
    </row>
    <row r="23067" spans="24:25">
      <c r="X23067" s="19"/>
      <c r="Y23067" s="20"/>
    </row>
    <row r="23068" spans="24:25">
      <c r="X23068" s="19"/>
      <c r="Y23068" s="20"/>
    </row>
    <row r="23069" spans="24:25">
      <c r="X23069" s="19"/>
      <c r="Y23069" s="20"/>
    </row>
    <row r="23070" spans="24:25">
      <c r="X23070" s="19"/>
      <c r="Y23070" s="20"/>
    </row>
    <row r="23071" spans="24:25">
      <c r="X23071" s="19"/>
      <c r="Y23071" s="20"/>
    </row>
    <row r="23072" spans="24:25">
      <c r="X23072" s="19"/>
      <c r="Y23072" s="20"/>
    </row>
    <row r="23073" spans="24:25">
      <c r="X23073" s="19"/>
      <c r="Y23073" s="20"/>
    </row>
    <row r="23074" spans="24:25">
      <c r="X23074" s="19"/>
      <c r="Y23074" s="20"/>
    </row>
    <row r="23075" spans="24:25">
      <c r="X23075" s="19"/>
      <c r="Y23075" s="20"/>
    </row>
    <row r="23076" spans="24:25">
      <c r="X23076" s="19"/>
      <c r="Y23076" s="20"/>
    </row>
    <row r="23077" spans="24:25">
      <c r="X23077" s="19"/>
      <c r="Y23077" s="20"/>
    </row>
    <row r="23078" spans="24:25">
      <c r="X23078" s="19"/>
      <c r="Y23078" s="20"/>
    </row>
    <row r="23079" spans="24:25">
      <c r="X23079" s="19"/>
      <c r="Y23079" s="20"/>
    </row>
    <row r="23080" spans="24:25">
      <c r="X23080" s="19"/>
      <c r="Y23080" s="20"/>
    </row>
    <row r="23081" spans="24:25">
      <c r="X23081" s="19"/>
      <c r="Y23081" s="20"/>
    </row>
    <row r="23082" spans="24:25">
      <c r="X23082" s="19"/>
      <c r="Y23082" s="20"/>
    </row>
    <row r="23083" spans="24:25">
      <c r="X23083" s="19"/>
      <c r="Y23083" s="20"/>
    </row>
    <row r="23084" spans="24:25">
      <c r="X23084" s="19"/>
      <c r="Y23084" s="20"/>
    </row>
    <row r="23085" spans="24:25">
      <c r="X23085" s="19"/>
      <c r="Y23085" s="20"/>
    </row>
    <row r="23086" spans="24:25">
      <c r="X23086" s="19"/>
      <c r="Y23086" s="20"/>
    </row>
    <row r="23087" spans="24:25">
      <c r="X23087" s="19"/>
      <c r="Y23087" s="20"/>
    </row>
    <row r="23088" spans="24:25">
      <c r="X23088" s="19"/>
      <c r="Y23088" s="20"/>
    </row>
    <row r="23089" spans="24:25">
      <c r="X23089" s="19"/>
      <c r="Y23089" s="20"/>
    </row>
    <row r="23090" spans="24:25">
      <c r="X23090" s="19"/>
      <c r="Y23090" s="20"/>
    </row>
    <row r="23091" spans="24:25">
      <c r="X23091" s="19"/>
      <c r="Y23091" s="20"/>
    </row>
    <row r="23092" spans="24:25">
      <c r="X23092" s="19"/>
      <c r="Y23092" s="20"/>
    </row>
    <row r="23093" spans="24:25">
      <c r="X23093" s="19"/>
      <c r="Y23093" s="20"/>
    </row>
    <row r="23094" spans="24:25">
      <c r="X23094" s="19"/>
      <c r="Y23094" s="20"/>
    </row>
    <row r="23095" spans="24:25">
      <c r="X23095" s="19"/>
      <c r="Y23095" s="20"/>
    </row>
    <row r="23096" spans="24:25">
      <c r="X23096" s="19"/>
      <c r="Y23096" s="20"/>
    </row>
    <row r="23097" spans="24:25">
      <c r="X23097" s="19"/>
      <c r="Y23097" s="20"/>
    </row>
    <row r="23098" spans="24:25">
      <c r="X23098" s="19"/>
      <c r="Y23098" s="20"/>
    </row>
    <row r="23099" spans="24:25">
      <c r="X23099" s="19"/>
      <c r="Y23099" s="20"/>
    </row>
    <row r="23100" spans="24:25">
      <c r="X23100" s="19"/>
      <c r="Y23100" s="20"/>
    </row>
    <row r="23101" spans="24:25">
      <c r="X23101" s="19"/>
      <c r="Y23101" s="20"/>
    </row>
    <row r="23102" spans="24:25">
      <c r="X23102" s="19"/>
      <c r="Y23102" s="20"/>
    </row>
    <row r="23103" spans="24:25">
      <c r="X23103" s="19"/>
      <c r="Y23103" s="20"/>
    </row>
    <row r="23104" spans="24:25">
      <c r="X23104" s="19"/>
      <c r="Y23104" s="20"/>
    </row>
    <row r="23105" spans="24:25">
      <c r="X23105" s="19"/>
      <c r="Y23105" s="20"/>
    </row>
    <row r="23106" spans="24:25">
      <c r="X23106" s="19"/>
      <c r="Y23106" s="20"/>
    </row>
    <row r="23107" spans="24:25">
      <c r="X23107" s="19"/>
      <c r="Y23107" s="20"/>
    </row>
    <row r="23108" spans="24:25">
      <c r="X23108" s="19"/>
      <c r="Y23108" s="20"/>
    </row>
    <row r="23109" spans="24:25">
      <c r="X23109" s="19"/>
      <c r="Y23109" s="20"/>
    </row>
    <row r="23110" spans="24:25">
      <c r="X23110" s="19"/>
      <c r="Y23110" s="20"/>
    </row>
    <row r="23111" spans="24:25">
      <c r="X23111" s="19"/>
      <c r="Y23111" s="20"/>
    </row>
    <row r="23112" spans="24:25">
      <c r="X23112" s="19"/>
      <c r="Y23112" s="20"/>
    </row>
    <row r="23113" spans="24:25">
      <c r="X23113" s="19"/>
      <c r="Y23113" s="20"/>
    </row>
    <row r="23114" spans="24:25">
      <c r="X23114" s="19"/>
      <c r="Y23114" s="20"/>
    </row>
    <row r="23115" spans="24:25">
      <c r="X23115" s="19"/>
      <c r="Y23115" s="20"/>
    </row>
    <row r="23116" spans="24:25">
      <c r="X23116" s="19"/>
      <c r="Y23116" s="20"/>
    </row>
    <row r="23117" spans="24:25">
      <c r="X23117" s="19"/>
      <c r="Y23117" s="20"/>
    </row>
    <row r="23118" spans="24:25">
      <c r="X23118" s="19"/>
      <c r="Y23118" s="20"/>
    </row>
    <row r="23119" spans="24:25">
      <c r="X23119" s="19"/>
      <c r="Y23119" s="20"/>
    </row>
    <row r="23120" spans="24:25">
      <c r="X23120" s="19"/>
      <c r="Y23120" s="20"/>
    </row>
    <row r="23121" spans="24:25">
      <c r="X23121" s="19"/>
      <c r="Y23121" s="20"/>
    </row>
    <row r="23122" spans="24:25">
      <c r="X23122" s="19"/>
      <c r="Y23122" s="20"/>
    </row>
    <row r="23123" spans="24:25">
      <c r="X23123" s="19"/>
      <c r="Y23123" s="20"/>
    </row>
    <row r="23124" spans="24:25">
      <c r="X23124" s="19"/>
      <c r="Y23124" s="20"/>
    </row>
    <row r="23125" spans="24:25">
      <c r="X23125" s="19"/>
      <c r="Y23125" s="20"/>
    </row>
    <row r="23126" spans="24:25">
      <c r="X23126" s="19"/>
      <c r="Y23126" s="20"/>
    </row>
    <row r="23127" spans="24:25">
      <c r="X23127" s="19"/>
      <c r="Y23127" s="20"/>
    </row>
    <row r="23128" spans="24:25">
      <c r="X23128" s="19"/>
      <c r="Y23128" s="20"/>
    </row>
    <row r="23129" spans="24:25">
      <c r="X23129" s="19"/>
      <c r="Y23129" s="20"/>
    </row>
    <row r="23130" spans="24:25">
      <c r="X23130" s="19"/>
      <c r="Y23130" s="20"/>
    </row>
    <row r="23131" spans="24:25">
      <c r="X23131" s="19"/>
      <c r="Y23131" s="20"/>
    </row>
    <row r="23132" spans="24:25">
      <c r="X23132" s="19"/>
      <c r="Y23132" s="20"/>
    </row>
    <row r="23133" spans="24:25">
      <c r="X23133" s="19"/>
      <c r="Y23133" s="20"/>
    </row>
    <row r="23134" spans="24:25">
      <c r="X23134" s="19"/>
      <c r="Y23134" s="20"/>
    </row>
    <row r="23135" spans="24:25">
      <c r="X23135" s="19"/>
      <c r="Y23135" s="20"/>
    </row>
    <row r="23136" spans="24:25">
      <c r="X23136" s="19"/>
      <c r="Y23136" s="20"/>
    </row>
    <row r="23137" spans="24:25">
      <c r="X23137" s="19"/>
      <c r="Y23137" s="20"/>
    </row>
    <row r="23138" spans="24:25">
      <c r="X23138" s="19"/>
      <c r="Y23138" s="20"/>
    </row>
    <row r="23139" spans="24:25">
      <c r="X23139" s="19"/>
      <c r="Y23139" s="20"/>
    </row>
    <row r="23140" spans="24:25">
      <c r="X23140" s="19"/>
      <c r="Y23140" s="20"/>
    </row>
    <row r="23141" spans="24:25">
      <c r="X23141" s="19"/>
      <c r="Y23141" s="20"/>
    </row>
    <row r="23142" spans="24:25">
      <c r="X23142" s="19"/>
      <c r="Y23142" s="20"/>
    </row>
    <row r="23143" spans="24:25">
      <c r="X23143" s="19"/>
      <c r="Y23143" s="20"/>
    </row>
    <row r="23144" spans="24:25">
      <c r="X23144" s="19"/>
      <c r="Y23144" s="20"/>
    </row>
    <row r="23145" spans="24:25">
      <c r="X23145" s="19"/>
      <c r="Y23145" s="20"/>
    </row>
    <row r="23146" spans="24:25">
      <c r="X23146" s="19"/>
      <c r="Y23146" s="20"/>
    </row>
    <row r="23147" spans="24:25">
      <c r="X23147" s="19"/>
      <c r="Y23147" s="20"/>
    </row>
    <row r="23148" spans="24:25">
      <c r="X23148" s="19"/>
      <c r="Y23148" s="20"/>
    </row>
    <row r="23149" spans="24:25">
      <c r="X23149" s="19"/>
      <c r="Y23149" s="20"/>
    </row>
    <row r="23150" spans="24:25">
      <c r="X23150" s="19"/>
      <c r="Y23150" s="20"/>
    </row>
    <row r="23151" spans="24:25">
      <c r="X23151" s="19"/>
      <c r="Y23151" s="20"/>
    </row>
    <row r="23152" spans="24:25">
      <c r="X23152" s="19"/>
      <c r="Y23152" s="20"/>
    </row>
    <row r="23153" spans="24:25">
      <c r="X23153" s="19"/>
      <c r="Y23153" s="20"/>
    </row>
    <row r="23154" spans="24:25">
      <c r="X23154" s="19"/>
      <c r="Y23154" s="20"/>
    </row>
    <row r="23155" spans="24:25">
      <c r="X23155" s="19"/>
      <c r="Y23155" s="20"/>
    </row>
    <row r="23156" spans="24:25">
      <c r="X23156" s="19"/>
      <c r="Y23156" s="20"/>
    </row>
    <row r="23157" spans="24:25">
      <c r="X23157" s="19"/>
      <c r="Y23157" s="20"/>
    </row>
    <row r="23158" spans="24:25">
      <c r="X23158" s="19"/>
      <c r="Y23158" s="20"/>
    </row>
    <row r="23159" spans="24:25">
      <c r="X23159" s="19"/>
      <c r="Y23159" s="20"/>
    </row>
    <row r="23160" spans="24:25">
      <c r="X23160" s="19"/>
      <c r="Y23160" s="20"/>
    </row>
    <row r="23161" spans="24:25">
      <c r="X23161" s="19"/>
      <c r="Y23161" s="20"/>
    </row>
    <row r="23162" spans="24:25">
      <c r="X23162" s="19"/>
      <c r="Y23162" s="20"/>
    </row>
    <row r="23163" spans="24:25">
      <c r="X23163" s="19"/>
      <c r="Y23163" s="20"/>
    </row>
    <row r="23164" spans="24:25">
      <c r="X23164" s="19"/>
      <c r="Y23164" s="20"/>
    </row>
    <row r="23165" spans="24:25">
      <c r="X23165" s="19"/>
      <c r="Y23165" s="20"/>
    </row>
    <row r="23166" spans="24:25">
      <c r="X23166" s="19"/>
      <c r="Y23166" s="20"/>
    </row>
    <row r="23167" spans="24:25">
      <c r="X23167" s="19"/>
      <c r="Y23167" s="20"/>
    </row>
    <row r="23168" spans="24:25">
      <c r="X23168" s="19"/>
      <c r="Y23168" s="20"/>
    </row>
    <row r="23169" spans="24:25">
      <c r="X23169" s="19"/>
      <c r="Y23169" s="20"/>
    </row>
    <row r="23170" spans="24:25">
      <c r="X23170" s="19"/>
      <c r="Y23170" s="20"/>
    </row>
    <row r="23171" spans="24:25">
      <c r="X23171" s="19"/>
      <c r="Y23171" s="20"/>
    </row>
    <row r="23172" spans="24:25">
      <c r="X23172" s="19"/>
      <c r="Y23172" s="20"/>
    </row>
    <row r="23173" spans="24:25">
      <c r="X23173" s="19"/>
      <c r="Y23173" s="20"/>
    </row>
    <row r="23174" spans="24:25">
      <c r="X23174" s="19"/>
      <c r="Y23174" s="20"/>
    </row>
    <row r="23175" spans="24:25">
      <c r="X23175" s="19"/>
      <c r="Y23175" s="20"/>
    </row>
    <row r="23176" spans="24:25">
      <c r="X23176" s="19"/>
      <c r="Y23176" s="20"/>
    </row>
    <row r="23177" spans="24:25">
      <c r="X23177" s="19"/>
      <c r="Y23177" s="20"/>
    </row>
    <row r="23178" spans="24:25">
      <c r="X23178" s="19"/>
      <c r="Y23178" s="20"/>
    </row>
    <row r="23179" spans="24:25">
      <c r="X23179" s="19"/>
      <c r="Y23179" s="20"/>
    </row>
    <row r="23180" spans="24:25">
      <c r="X23180" s="19"/>
      <c r="Y23180" s="20"/>
    </row>
    <row r="23181" spans="24:25">
      <c r="X23181" s="19"/>
      <c r="Y23181" s="20"/>
    </row>
    <row r="23182" spans="24:25">
      <c r="X23182" s="19"/>
      <c r="Y23182" s="20"/>
    </row>
    <row r="23183" spans="24:25">
      <c r="X23183" s="19"/>
      <c r="Y23183" s="20"/>
    </row>
    <row r="23184" spans="24:25">
      <c r="X23184" s="19"/>
      <c r="Y23184" s="20"/>
    </row>
    <row r="23185" spans="24:25">
      <c r="X23185" s="19"/>
      <c r="Y23185" s="20"/>
    </row>
    <row r="23186" spans="24:25">
      <c r="X23186" s="19"/>
      <c r="Y23186" s="20"/>
    </row>
    <row r="23187" spans="24:25">
      <c r="X23187" s="19"/>
      <c r="Y23187" s="20"/>
    </row>
    <row r="23188" spans="24:25">
      <c r="X23188" s="19"/>
      <c r="Y23188" s="20"/>
    </row>
    <row r="23189" spans="24:25">
      <c r="X23189" s="19"/>
      <c r="Y23189" s="20"/>
    </row>
    <row r="23190" spans="24:25">
      <c r="X23190" s="19"/>
      <c r="Y23190" s="20"/>
    </row>
    <row r="23191" spans="24:25">
      <c r="X23191" s="19"/>
      <c r="Y23191" s="20"/>
    </row>
    <row r="23192" spans="24:25">
      <c r="X23192" s="19"/>
      <c r="Y23192" s="20"/>
    </row>
    <row r="23193" spans="24:25">
      <c r="X23193" s="19"/>
      <c r="Y23193" s="20"/>
    </row>
    <row r="23194" spans="24:25">
      <c r="X23194" s="19"/>
      <c r="Y23194" s="20"/>
    </row>
    <row r="23195" spans="24:25">
      <c r="X23195" s="19"/>
      <c r="Y23195" s="20"/>
    </row>
    <row r="23196" spans="24:25">
      <c r="X23196" s="19"/>
      <c r="Y23196" s="20"/>
    </row>
    <row r="23197" spans="24:25">
      <c r="X23197" s="19"/>
      <c r="Y23197" s="20"/>
    </row>
    <row r="23198" spans="24:25">
      <c r="X23198" s="19"/>
      <c r="Y23198" s="20"/>
    </row>
    <row r="23199" spans="24:25">
      <c r="X23199" s="19"/>
      <c r="Y23199" s="20"/>
    </row>
    <row r="23200" spans="24:25">
      <c r="X23200" s="19"/>
      <c r="Y23200" s="20"/>
    </row>
    <row r="23201" spans="24:25">
      <c r="X23201" s="19"/>
      <c r="Y23201" s="20"/>
    </row>
    <row r="23202" spans="24:25">
      <c r="X23202" s="19"/>
      <c r="Y23202" s="20"/>
    </row>
    <row r="23203" spans="24:25">
      <c r="X23203" s="19"/>
      <c r="Y23203" s="20"/>
    </row>
    <row r="23204" spans="24:25">
      <c r="X23204" s="19"/>
      <c r="Y23204" s="20"/>
    </row>
    <row r="23205" spans="24:25">
      <c r="X23205" s="19"/>
      <c r="Y23205" s="20"/>
    </row>
    <row r="23206" spans="24:25">
      <c r="X23206" s="19"/>
      <c r="Y23206" s="20"/>
    </row>
    <row r="23207" spans="24:25">
      <c r="X23207" s="19"/>
      <c r="Y23207" s="20"/>
    </row>
    <row r="23208" spans="24:25">
      <c r="X23208" s="19"/>
      <c r="Y23208" s="20"/>
    </row>
    <row r="23209" spans="24:25">
      <c r="X23209" s="19"/>
      <c r="Y23209" s="20"/>
    </row>
    <row r="23210" spans="24:25">
      <c r="X23210" s="19"/>
      <c r="Y23210" s="20"/>
    </row>
    <row r="23211" spans="24:25">
      <c r="X23211" s="19"/>
      <c r="Y23211" s="20"/>
    </row>
    <row r="23212" spans="24:25">
      <c r="X23212" s="19"/>
      <c r="Y23212" s="20"/>
    </row>
    <row r="23213" spans="24:25">
      <c r="X23213" s="19"/>
      <c r="Y23213" s="20"/>
    </row>
    <row r="23214" spans="24:25">
      <c r="X23214" s="19"/>
      <c r="Y23214" s="20"/>
    </row>
    <row r="23215" spans="24:25">
      <c r="X23215" s="19"/>
      <c r="Y23215" s="20"/>
    </row>
    <row r="23216" spans="24:25">
      <c r="X23216" s="19"/>
      <c r="Y23216" s="20"/>
    </row>
    <row r="23217" spans="24:25">
      <c r="X23217" s="19"/>
      <c r="Y23217" s="20"/>
    </row>
    <row r="23218" spans="24:25">
      <c r="X23218" s="19"/>
      <c r="Y23218" s="20"/>
    </row>
    <row r="23219" spans="24:25">
      <c r="X23219" s="19"/>
      <c r="Y23219" s="20"/>
    </row>
    <row r="23220" spans="24:25">
      <c r="X23220" s="19"/>
      <c r="Y23220" s="20"/>
    </row>
    <row r="23221" spans="24:25">
      <c r="X23221" s="19"/>
      <c r="Y23221" s="20"/>
    </row>
    <row r="23222" spans="24:25">
      <c r="X23222" s="19"/>
      <c r="Y23222" s="20"/>
    </row>
    <row r="23223" spans="24:25">
      <c r="X23223" s="19"/>
      <c r="Y23223" s="20"/>
    </row>
    <row r="23224" spans="24:25">
      <c r="X23224" s="19"/>
      <c r="Y23224" s="20"/>
    </row>
    <row r="23225" spans="24:25">
      <c r="X23225" s="19"/>
      <c r="Y23225" s="20"/>
    </row>
    <row r="23226" spans="24:25">
      <c r="X23226" s="19"/>
      <c r="Y23226" s="20"/>
    </row>
    <row r="23227" spans="24:25">
      <c r="X23227" s="19"/>
      <c r="Y23227" s="20"/>
    </row>
    <row r="23228" spans="24:25">
      <c r="X23228" s="19"/>
      <c r="Y23228" s="20"/>
    </row>
    <row r="23229" spans="24:25">
      <c r="X23229" s="19"/>
      <c r="Y23229" s="20"/>
    </row>
    <row r="23230" spans="24:25">
      <c r="X23230" s="19"/>
      <c r="Y23230" s="20"/>
    </row>
    <row r="23231" spans="24:25">
      <c r="X23231" s="19"/>
      <c r="Y23231" s="20"/>
    </row>
    <row r="23232" spans="24:25">
      <c r="X23232" s="19"/>
      <c r="Y23232" s="20"/>
    </row>
    <row r="23233" spans="24:25">
      <c r="X23233" s="19"/>
      <c r="Y23233" s="20"/>
    </row>
    <row r="23234" spans="24:25">
      <c r="X23234" s="19"/>
      <c r="Y23234" s="20"/>
    </row>
    <row r="23235" spans="24:25">
      <c r="X23235" s="19"/>
      <c r="Y23235" s="20"/>
    </row>
    <row r="23236" spans="24:25">
      <c r="X23236" s="19"/>
      <c r="Y23236" s="20"/>
    </row>
    <row r="23237" spans="24:25">
      <c r="X23237" s="19"/>
      <c r="Y23237" s="20"/>
    </row>
    <row r="23238" spans="24:25">
      <c r="X23238" s="19"/>
      <c r="Y23238" s="20"/>
    </row>
    <row r="23239" spans="24:25">
      <c r="X23239" s="19"/>
      <c r="Y23239" s="20"/>
    </row>
    <row r="23240" spans="24:25">
      <c r="X23240" s="19"/>
      <c r="Y23240" s="20"/>
    </row>
    <row r="23241" spans="24:25">
      <c r="X23241" s="19"/>
      <c r="Y23241" s="20"/>
    </row>
    <row r="23242" spans="24:25">
      <c r="X23242" s="19"/>
      <c r="Y23242" s="20"/>
    </row>
    <row r="23243" spans="24:25">
      <c r="X23243" s="19"/>
      <c r="Y23243" s="20"/>
    </row>
    <row r="23244" spans="24:25">
      <c r="X23244" s="19"/>
      <c r="Y23244" s="20"/>
    </row>
    <row r="23245" spans="24:25">
      <c r="X23245" s="19"/>
      <c r="Y23245" s="20"/>
    </row>
    <row r="23246" spans="24:25">
      <c r="X23246" s="19"/>
      <c r="Y23246" s="20"/>
    </row>
    <row r="23247" spans="24:25">
      <c r="X23247" s="19"/>
      <c r="Y23247" s="20"/>
    </row>
    <row r="23248" spans="24:25">
      <c r="X23248" s="19"/>
      <c r="Y23248" s="20"/>
    </row>
    <row r="23249" spans="24:25">
      <c r="X23249" s="19"/>
      <c r="Y23249" s="20"/>
    </row>
    <row r="23250" spans="24:25">
      <c r="X23250" s="19"/>
      <c r="Y23250" s="20"/>
    </row>
    <row r="23251" spans="24:25">
      <c r="X23251" s="19"/>
      <c r="Y23251" s="20"/>
    </row>
    <row r="23252" spans="24:25">
      <c r="X23252" s="19"/>
      <c r="Y23252" s="20"/>
    </row>
    <row r="23253" spans="24:25">
      <c r="X23253" s="19"/>
      <c r="Y23253" s="20"/>
    </row>
    <row r="23254" spans="24:25">
      <c r="X23254" s="19"/>
      <c r="Y23254" s="20"/>
    </row>
    <row r="23255" spans="24:25">
      <c r="X23255" s="19"/>
      <c r="Y23255" s="20"/>
    </row>
    <row r="23256" spans="24:25">
      <c r="X23256" s="19"/>
      <c r="Y23256" s="20"/>
    </row>
    <row r="23257" spans="24:25">
      <c r="X23257" s="19"/>
      <c r="Y23257" s="20"/>
    </row>
    <row r="23258" spans="24:25">
      <c r="X23258" s="19"/>
      <c r="Y23258" s="20"/>
    </row>
    <row r="23259" spans="24:25">
      <c r="X23259" s="19"/>
      <c r="Y23259" s="20"/>
    </row>
    <row r="23260" spans="24:25">
      <c r="X23260" s="19"/>
      <c r="Y23260" s="20"/>
    </row>
    <row r="23261" spans="24:25">
      <c r="X23261" s="19"/>
      <c r="Y23261" s="20"/>
    </row>
    <row r="23262" spans="24:25">
      <c r="X23262" s="19"/>
      <c r="Y23262" s="20"/>
    </row>
    <row r="23263" spans="24:25">
      <c r="X23263" s="19"/>
      <c r="Y23263" s="20"/>
    </row>
    <row r="23264" spans="24:25">
      <c r="X23264" s="19"/>
      <c r="Y23264" s="20"/>
    </row>
    <row r="23265" spans="24:25">
      <c r="X23265" s="19"/>
      <c r="Y23265" s="20"/>
    </row>
    <row r="23266" spans="24:25">
      <c r="X23266" s="19"/>
      <c r="Y23266" s="20"/>
    </row>
    <row r="23267" spans="24:25">
      <c r="X23267" s="19"/>
      <c r="Y23267" s="20"/>
    </row>
    <row r="23268" spans="24:25">
      <c r="X23268" s="19"/>
      <c r="Y23268" s="20"/>
    </row>
    <row r="23269" spans="24:25">
      <c r="X23269" s="19"/>
      <c r="Y23269" s="20"/>
    </row>
    <row r="23270" spans="24:25">
      <c r="X23270" s="19"/>
      <c r="Y23270" s="20"/>
    </row>
    <row r="23271" spans="24:25">
      <c r="X23271" s="19"/>
      <c r="Y23271" s="20"/>
    </row>
    <row r="23272" spans="24:25">
      <c r="X23272" s="19"/>
      <c r="Y23272" s="20"/>
    </row>
    <row r="23273" spans="24:25">
      <c r="X23273" s="19"/>
      <c r="Y23273" s="20"/>
    </row>
    <row r="23274" spans="24:25">
      <c r="X23274" s="19"/>
      <c r="Y23274" s="20"/>
    </row>
    <row r="23275" spans="24:25">
      <c r="X23275" s="19"/>
      <c r="Y23275" s="20"/>
    </row>
    <row r="23276" spans="24:25">
      <c r="X23276" s="19"/>
      <c r="Y23276" s="20"/>
    </row>
    <row r="23277" spans="24:25">
      <c r="X23277" s="19"/>
      <c r="Y23277" s="20"/>
    </row>
    <row r="23278" spans="24:25">
      <c r="X23278" s="19"/>
      <c r="Y23278" s="20"/>
    </row>
    <row r="23279" spans="24:25">
      <c r="X23279" s="19"/>
      <c r="Y23279" s="20"/>
    </row>
    <row r="23280" spans="24:25">
      <c r="X23280" s="19"/>
      <c r="Y23280" s="20"/>
    </row>
    <row r="23281" spans="24:25">
      <c r="X23281" s="19"/>
      <c r="Y23281" s="20"/>
    </row>
    <row r="23282" spans="24:25">
      <c r="X23282" s="19"/>
      <c r="Y23282" s="20"/>
    </row>
    <row r="23283" spans="24:25">
      <c r="X23283" s="19"/>
      <c r="Y23283" s="20"/>
    </row>
    <row r="23284" spans="24:25">
      <c r="X23284" s="19"/>
      <c r="Y23284" s="20"/>
    </row>
    <row r="23285" spans="24:25">
      <c r="X23285" s="19"/>
      <c r="Y23285" s="20"/>
    </row>
    <row r="23286" spans="24:25">
      <c r="X23286" s="19"/>
      <c r="Y23286" s="20"/>
    </row>
    <row r="23287" spans="24:25">
      <c r="X23287" s="19"/>
      <c r="Y23287" s="20"/>
    </row>
    <row r="23288" spans="24:25">
      <c r="X23288" s="19"/>
      <c r="Y23288" s="20"/>
    </row>
    <row r="23289" spans="24:25">
      <c r="X23289" s="19"/>
      <c r="Y23289" s="20"/>
    </row>
    <row r="23290" spans="24:25">
      <c r="X23290" s="19"/>
      <c r="Y23290" s="20"/>
    </row>
    <row r="23291" spans="24:25">
      <c r="X23291" s="19"/>
      <c r="Y23291" s="20"/>
    </row>
    <row r="23292" spans="24:25">
      <c r="X23292" s="19"/>
      <c r="Y23292" s="20"/>
    </row>
    <row r="23293" spans="24:25">
      <c r="X23293" s="19"/>
      <c r="Y23293" s="20"/>
    </row>
    <row r="23294" spans="24:25">
      <c r="X23294" s="19"/>
      <c r="Y23294" s="20"/>
    </row>
    <row r="23295" spans="24:25">
      <c r="X23295" s="19"/>
      <c r="Y23295" s="20"/>
    </row>
    <row r="23296" spans="24:25">
      <c r="X23296" s="19"/>
      <c r="Y23296" s="20"/>
    </row>
    <row r="23297" spans="24:25">
      <c r="X23297" s="19"/>
      <c r="Y23297" s="20"/>
    </row>
    <row r="23298" spans="24:25">
      <c r="X23298" s="19"/>
      <c r="Y23298" s="20"/>
    </row>
    <row r="23299" spans="24:25">
      <c r="X23299" s="19"/>
      <c r="Y23299" s="20"/>
    </row>
    <row r="23300" spans="24:25">
      <c r="X23300" s="19"/>
      <c r="Y23300" s="20"/>
    </row>
    <row r="23301" spans="24:25">
      <c r="X23301" s="19"/>
      <c r="Y23301" s="20"/>
    </row>
    <row r="23302" spans="24:25">
      <c r="X23302" s="19"/>
      <c r="Y23302" s="20"/>
    </row>
    <row r="23303" spans="24:25">
      <c r="X23303" s="19"/>
      <c r="Y23303" s="20"/>
    </row>
    <row r="23304" spans="24:25">
      <c r="X23304" s="19"/>
      <c r="Y23304" s="20"/>
    </row>
    <row r="23305" spans="24:25">
      <c r="X23305" s="19"/>
      <c r="Y23305" s="20"/>
    </row>
    <row r="23306" spans="24:25">
      <c r="X23306" s="19"/>
      <c r="Y23306" s="20"/>
    </row>
    <row r="23307" spans="24:25">
      <c r="X23307" s="19"/>
      <c r="Y23307" s="20"/>
    </row>
    <row r="23308" spans="24:25">
      <c r="X23308" s="19"/>
      <c r="Y23308" s="20"/>
    </row>
    <row r="23309" spans="24:25">
      <c r="X23309" s="19"/>
      <c r="Y23309" s="20"/>
    </row>
    <row r="23310" spans="24:25">
      <c r="X23310" s="19"/>
      <c r="Y23310" s="20"/>
    </row>
    <row r="23311" spans="24:25">
      <c r="X23311" s="19"/>
      <c r="Y23311" s="20"/>
    </row>
    <row r="23312" spans="24:25">
      <c r="X23312" s="19"/>
      <c r="Y23312" s="20"/>
    </row>
    <row r="23313" spans="24:25">
      <c r="X23313" s="19"/>
      <c r="Y23313" s="20"/>
    </row>
    <row r="23314" spans="24:25">
      <c r="X23314" s="19"/>
      <c r="Y23314" s="20"/>
    </row>
    <row r="23315" spans="24:25">
      <c r="X23315" s="19"/>
      <c r="Y23315" s="20"/>
    </row>
    <row r="23316" spans="24:25">
      <c r="X23316" s="19"/>
      <c r="Y23316" s="20"/>
    </row>
    <row r="23317" spans="24:25">
      <c r="X23317" s="19"/>
      <c r="Y23317" s="20"/>
    </row>
    <row r="23318" spans="24:25">
      <c r="X23318" s="19"/>
      <c r="Y23318" s="20"/>
    </row>
    <row r="23319" spans="24:25">
      <c r="X23319" s="19"/>
      <c r="Y23319" s="20"/>
    </row>
    <row r="23320" spans="24:25">
      <c r="X23320" s="19"/>
      <c r="Y23320" s="20"/>
    </row>
    <row r="23321" spans="24:25">
      <c r="X23321" s="19"/>
      <c r="Y23321" s="20"/>
    </row>
    <row r="23322" spans="24:25">
      <c r="X23322" s="19"/>
      <c r="Y23322" s="20"/>
    </row>
    <row r="23323" spans="24:25">
      <c r="X23323" s="19"/>
      <c r="Y23323" s="20"/>
    </row>
    <row r="23324" spans="24:25">
      <c r="X23324" s="19"/>
      <c r="Y23324" s="20"/>
    </row>
    <row r="23325" spans="24:25">
      <c r="X23325" s="19"/>
      <c r="Y23325" s="20"/>
    </row>
    <row r="23326" spans="24:25">
      <c r="X23326" s="19"/>
      <c r="Y23326" s="20"/>
    </row>
    <row r="23327" spans="24:25">
      <c r="X23327" s="19"/>
      <c r="Y23327" s="20"/>
    </row>
    <row r="23328" spans="24:25">
      <c r="X23328" s="19"/>
      <c r="Y23328" s="20"/>
    </row>
    <row r="23329" spans="24:25">
      <c r="X23329" s="19"/>
      <c r="Y23329" s="20"/>
    </row>
    <row r="23330" spans="24:25">
      <c r="X23330" s="19"/>
      <c r="Y23330" s="20"/>
    </row>
    <row r="23331" spans="24:25">
      <c r="X23331" s="19"/>
      <c r="Y23331" s="20"/>
    </row>
    <row r="23332" spans="24:25">
      <c r="X23332" s="19"/>
      <c r="Y23332" s="20"/>
    </row>
    <row r="23333" spans="24:25">
      <c r="X23333" s="19"/>
      <c r="Y23333" s="20"/>
    </row>
    <row r="23334" spans="24:25">
      <c r="X23334" s="19"/>
      <c r="Y23334" s="20"/>
    </row>
    <row r="23335" spans="24:25">
      <c r="X23335" s="19"/>
      <c r="Y23335" s="20"/>
    </row>
    <row r="23336" spans="24:25">
      <c r="X23336" s="19"/>
      <c r="Y23336" s="20"/>
    </row>
    <row r="23337" spans="24:25">
      <c r="X23337" s="19"/>
      <c r="Y23337" s="20"/>
    </row>
    <row r="23338" spans="24:25">
      <c r="X23338" s="19"/>
      <c r="Y23338" s="20"/>
    </row>
    <row r="23339" spans="24:25">
      <c r="X23339" s="19"/>
      <c r="Y23339" s="20"/>
    </row>
    <row r="23340" spans="24:25">
      <c r="X23340" s="19"/>
      <c r="Y23340" s="20"/>
    </row>
    <row r="23341" spans="24:25">
      <c r="X23341" s="19"/>
      <c r="Y23341" s="20"/>
    </row>
    <row r="23342" spans="24:25">
      <c r="X23342" s="19"/>
      <c r="Y23342" s="20"/>
    </row>
    <row r="23343" spans="24:25">
      <c r="X23343" s="19"/>
      <c r="Y23343" s="20"/>
    </row>
    <row r="23344" spans="24:25">
      <c r="X23344" s="19"/>
      <c r="Y23344" s="20"/>
    </row>
    <row r="23345" spans="24:25">
      <c r="X23345" s="19"/>
      <c r="Y23345" s="20"/>
    </row>
    <row r="23346" spans="24:25">
      <c r="X23346" s="19"/>
      <c r="Y23346" s="20"/>
    </row>
    <row r="23347" spans="24:25">
      <c r="X23347" s="19"/>
      <c r="Y23347" s="20"/>
    </row>
    <row r="23348" spans="24:25">
      <c r="X23348" s="19"/>
      <c r="Y23348" s="20"/>
    </row>
    <row r="23349" spans="24:25">
      <c r="X23349" s="19"/>
      <c r="Y23349" s="20"/>
    </row>
    <row r="23350" spans="24:25">
      <c r="X23350" s="19"/>
      <c r="Y23350" s="20"/>
    </row>
    <row r="23351" spans="24:25">
      <c r="X23351" s="19"/>
      <c r="Y23351" s="20"/>
    </row>
    <row r="23352" spans="24:25">
      <c r="X23352" s="19"/>
      <c r="Y23352" s="20"/>
    </row>
    <row r="23353" spans="24:25">
      <c r="X23353" s="19"/>
      <c r="Y23353" s="20"/>
    </row>
    <row r="23354" spans="24:25">
      <c r="X23354" s="19"/>
      <c r="Y23354" s="20"/>
    </row>
    <row r="23355" spans="24:25">
      <c r="X23355" s="19"/>
      <c r="Y23355" s="20"/>
    </row>
    <row r="23356" spans="24:25">
      <c r="X23356" s="19"/>
      <c r="Y23356" s="20"/>
    </row>
    <row r="23357" spans="24:25">
      <c r="X23357" s="19"/>
      <c r="Y23357" s="20"/>
    </row>
    <row r="23358" spans="24:25">
      <c r="X23358" s="19"/>
      <c r="Y23358" s="20"/>
    </row>
    <row r="23359" spans="24:25">
      <c r="X23359" s="19"/>
      <c r="Y23359" s="20"/>
    </row>
    <row r="23360" spans="24:25">
      <c r="X23360" s="19"/>
      <c r="Y23360" s="20"/>
    </row>
    <row r="23361" spans="24:25">
      <c r="X23361" s="19"/>
      <c r="Y23361" s="20"/>
    </row>
    <row r="23362" spans="24:25">
      <c r="X23362" s="19"/>
      <c r="Y23362" s="20"/>
    </row>
    <row r="23363" spans="24:25">
      <c r="X23363" s="19"/>
      <c r="Y23363" s="20"/>
    </row>
    <row r="23364" spans="24:25">
      <c r="X23364" s="19"/>
      <c r="Y23364" s="20"/>
    </row>
    <row r="23365" spans="24:25">
      <c r="X23365" s="19"/>
      <c r="Y23365" s="20"/>
    </row>
    <row r="23366" spans="24:25">
      <c r="X23366" s="19"/>
      <c r="Y23366" s="20"/>
    </row>
    <row r="23367" spans="24:25">
      <c r="X23367" s="19"/>
      <c r="Y23367" s="20"/>
    </row>
    <row r="23368" spans="24:25">
      <c r="X23368" s="19"/>
      <c r="Y23368" s="20"/>
    </row>
    <row r="23369" spans="24:25">
      <c r="X23369" s="19"/>
      <c r="Y23369" s="20"/>
    </row>
    <row r="23370" spans="24:25">
      <c r="X23370" s="19"/>
      <c r="Y23370" s="20"/>
    </row>
    <row r="23371" spans="24:25">
      <c r="X23371" s="19"/>
      <c r="Y23371" s="20"/>
    </row>
    <row r="23372" spans="24:25">
      <c r="X23372" s="19"/>
      <c r="Y23372" s="20"/>
    </row>
    <row r="23373" spans="24:25">
      <c r="X23373" s="19"/>
      <c r="Y23373" s="20"/>
    </row>
    <row r="23374" spans="24:25">
      <c r="X23374" s="19"/>
      <c r="Y23374" s="20"/>
    </row>
    <row r="23375" spans="24:25">
      <c r="X23375" s="19"/>
      <c r="Y23375" s="20"/>
    </row>
    <row r="23376" spans="24:25">
      <c r="X23376" s="19"/>
      <c r="Y23376" s="20"/>
    </row>
    <row r="23377" spans="24:25">
      <c r="X23377" s="19"/>
      <c r="Y23377" s="20"/>
    </row>
    <row r="23378" spans="24:25">
      <c r="X23378" s="19"/>
      <c r="Y23378" s="20"/>
    </row>
    <row r="23379" spans="24:25">
      <c r="X23379" s="19"/>
      <c r="Y23379" s="20"/>
    </row>
    <row r="23380" spans="24:25">
      <c r="X23380" s="19"/>
      <c r="Y23380" s="20"/>
    </row>
    <row r="23381" spans="24:25">
      <c r="X23381" s="19"/>
      <c r="Y23381" s="20"/>
    </row>
    <row r="23382" spans="24:25">
      <c r="X23382" s="19"/>
      <c r="Y23382" s="20"/>
    </row>
    <row r="23383" spans="24:25">
      <c r="X23383" s="19"/>
      <c r="Y23383" s="20"/>
    </row>
    <row r="23384" spans="24:25">
      <c r="X23384" s="19"/>
      <c r="Y23384" s="20"/>
    </row>
    <row r="23385" spans="24:25">
      <c r="X23385" s="19"/>
      <c r="Y23385" s="20"/>
    </row>
    <row r="23386" spans="24:25">
      <c r="X23386" s="19"/>
      <c r="Y23386" s="20"/>
    </row>
    <row r="23387" spans="24:25">
      <c r="X23387" s="19"/>
      <c r="Y23387" s="20"/>
    </row>
    <row r="23388" spans="24:25">
      <c r="X23388" s="19"/>
      <c r="Y23388" s="20"/>
    </row>
    <row r="23389" spans="24:25">
      <c r="X23389" s="19"/>
      <c r="Y23389" s="20"/>
    </row>
    <row r="23390" spans="24:25">
      <c r="X23390" s="19"/>
      <c r="Y23390" s="20"/>
    </row>
    <row r="23391" spans="24:25">
      <c r="X23391" s="19"/>
      <c r="Y23391" s="20"/>
    </row>
    <row r="23392" spans="24:25">
      <c r="X23392" s="19"/>
      <c r="Y23392" s="20"/>
    </row>
    <row r="23393" spans="24:25">
      <c r="X23393" s="19"/>
      <c r="Y23393" s="20"/>
    </row>
    <row r="23394" spans="24:25">
      <c r="X23394" s="19"/>
      <c r="Y23394" s="20"/>
    </row>
    <row r="23395" spans="24:25">
      <c r="X23395" s="19"/>
      <c r="Y23395" s="20"/>
    </row>
    <row r="23396" spans="24:25">
      <c r="X23396" s="19"/>
      <c r="Y23396" s="20"/>
    </row>
    <row r="23397" spans="24:25">
      <c r="X23397" s="19"/>
      <c r="Y23397" s="20"/>
    </row>
    <row r="23398" spans="24:25">
      <c r="X23398" s="19"/>
      <c r="Y23398" s="20"/>
    </row>
    <row r="23399" spans="24:25">
      <c r="X23399" s="19"/>
      <c r="Y23399" s="20"/>
    </row>
    <row r="23400" spans="24:25">
      <c r="X23400" s="19"/>
      <c r="Y23400" s="20"/>
    </row>
    <row r="23401" spans="24:25">
      <c r="X23401" s="19"/>
      <c r="Y23401" s="20"/>
    </row>
    <row r="23402" spans="24:25">
      <c r="X23402" s="19"/>
      <c r="Y23402" s="20"/>
    </row>
    <row r="23403" spans="24:25">
      <c r="X23403" s="19"/>
      <c r="Y23403" s="20"/>
    </row>
    <row r="23404" spans="24:25">
      <c r="X23404" s="19"/>
      <c r="Y23404" s="20"/>
    </row>
    <row r="23405" spans="24:25">
      <c r="X23405" s="19"/>
      <c r="Y23405" s="20"/>
    </row>
    <row r="23406" spans="24:25">
      <c r="X23406" s="19"/>
      <c r="Y23406" s="20"/>
    </row>
    <row r="23407" spans="24:25">
      <c r="X23407" s="19"/>
      <c r="Y23407" s="20"/>
    </row>
    <row r="23408" spans="24:25">
      <c r="X23408" s="19"/>
      <c r="Y23408" s="20"/>
    </row>
    <row r="23409" spans="24:25">
      <c r="X23409" s="19"/>
      <c r="Y23409" s="20"/>
    </row>
    <row r="23410" spans="24:25">
      <c r="X23410" s="19"/>
      <c r="Y23410" s="20"/>
    </row>
    <row r="23411" spans="24:25">
      <c r="X23411" s="19"/>
      <c r="Y23411" s="20"/>
    </row>
    <row r="23412" spans="24:25">
      <c r="X23412" s="19"/>
      <c r="Y23412" s="20"/>
    </row>
    <row r="23413" spans="24:25">
      <c r="X23413" s="19"/>
      <c r="Y23413" s="20"/>
    </row>
    <row r="23414" spans="24:25">
      <c r="X23414" s="19"/>
      <c r="Y23414" s="20"/>
    </row>
    <row r="23415" spans="24:25">
      <c r="X23415" s="19"/>
      <c r="Y23415" s="20"/>
    </row>
    <row r="23416" spans="24:25">
      <c r="X23416" s="19"/>
      <c r="Y23416" s="20"/>
    </row>
    <row r="23417" spans="24:25">
      <c r="X23417" s="19"/>
      <c r="Y23417" s="20"/>
    </row>
    <row r="23418" spans="24:25">
      <c r="X23418" s="19"/>
      <c r="Y23418" s="20"/>
    </row>
    <row r="23419" spans="24:25">
      <c r="X23419" s="19"/>
      <c r="Y23419" s="20"/>
    </row>
    <row r="23420" spans="24:25">
      <c r="X23420" s="19"/>
      <c r="Y23420" s="20"/>
    </row>
    <row r="23421" spans="24:25">
      <c r="X23421" s="19"/>
      <c r="Y23421" s="20"/>
    </row>
    <row r="23422" spans="24:25">
      <c r="X23422" s="19"/>
      <c r="Y23422" s="20"/>
    </row>
    <row r="23423" spans="24:25">
      <c r="X23423" s="19"/>
      <c r="Y23423" s="20"/>
    </row>
    <row r="23424" spans="24:25">
      <c r="X23424" s="19"/>
      <c r="Y23424" s="20"/>
    </row>
    <row r="23425" spans="24:25">
      <c r="X23425" s="19"/>
      <c r="Y23425" s="20"/>
    </row>
    <row r="23426" spans="24:25">
      <c r="X23426" s="19"/>
      <c r="Y23426" s="20"/>
    </row>
    <row r="23427" spans="24:25">
      <c r="X23427" s="19"/>
      <c r="Y23427" s="20"/>
    </row>
    <row r="23428" spans="24:25">
      <c r="X23428" s="19"/>
      <c r="Y23428" s="20"/>
    </row>
    <row r="23429" spans="24:25">
      <c r="X23429" s="19"/>
      <c r="Y23429" s="20"/>
    </row>
    <row r="23430" spans="24:25">
      <c r="X23430" s="19"/>
      <c r="Y23430" s="20"/>
    </row>
    <row r="23431" spans="24:25">
      <c r="X23431" s="19"/>
      <c r="Y23431" s="20"/>
    </row>
    <row r="23432" spans="24:25">
      <c r="X23432" s="19"/>
      <c r="Y23432" s="20"/>
    </row>
    <row r="23433" spans="24:25">
      <c r="X23433" s="19"/>
      <c r="Y23433" s="20"/>
    </row>
    <row r="23434" spans="24:25">
      <c r="X23434" s="19"/>
      <c r="Y23434" s="20"/>
    </row>
    <row r="23435" spans="24:25">
      <c r="X23435" s="19"/>
      <c r="Y23435" s="20"/>
    </row>
    <row r="23436" spans="24:25">
      <c r="X23436" s="19"/>
      <c r="Y23436" s="20"/>
    </row>
    <row r="23437" spans="24:25">
      <c r="X23437" s="19"/>
      <c r="Y23437" s="20"/>
    </row>
    <row r="23438" spans="24:25">
      <c r="X23438" s="19"/>
      <c r="Y23438" s="20"/>
    </row>
    <row r="23439" spans="24:25">
      <c r="X23439" s="19"/>
      <c r="Y23439" s="20"/>
    </row>
    <row r="23440" spans="24:25">
      <c r="X23440" s="19"/>
      <c r="Y23440" s="20"/>
    </row>
    <row r="23441" spans="24:25">
      <c r="X23441" s="19"/>
      <c r="Y23441" s="20"/>
    </row>
    <row r="23442" spans="24:25">
      <c r="X23442" s="19"/>
      <c r="Y23442" s="20"/>
    </row>
    <row r="23443" spans="24:25">
      <c r="X23443" s="19"/>
      <c r="Y23443" s="20"/>
    </row>
    <row r="23444" spans="24:25">
      <c r="X23444" s="19"/>
      <c r="Y23444" s="20"/>
    </row>
    <row r="23445" spans="24:25">
      <c r="X23445" s="19"/>
      <c r="Y23445" s="20"/>
    </row>
    <row r="23446" spans="24:25">
      <c r="X23446" s="19"/>
      <c r="Y23446" s="20"/>
    </row>
    <row r="23447" spans="24:25">
      <c r="X23447" s="19"/>
      <c r="Y23447" s="20"/>
    </row>
    <row r="23448" spans="24:25">
      <c r="X23448" s="19"/>
      <c r="Y23448" s="20"/>
    </row>
    <row r="23449" spans="24:25">
      <c r="X23449" s="19"/>
      <c r="Y23449" s="20"/>
    </row>
    <row r="23450" spans="24:25">
      <c r="X23450" s="19"/>
      <c r="Y23450" s="20"/>
    </row>
    <row r="23451" spans="24:25">
      <c r="X23451" s="19"/>
      <c r="Y23451" s="20"/>
    </row>
    <row r="23452" spans="24:25">
      <c r="X23452" s="19"/>
      <c r="Y23452" s="20"/>
    </row>
    <row r="23453" spans="24:25">
      <c r="X23453" s="19"/>
      <c r="Y23453" s="20"/>
    </row>
    <row r="23454" spans="24:25">
      <c r="X23454" s="19"/>
      <c r="Y23454" s="20"/>
    </row>
    <row r="23455" spans="24:25">
      <c r="X23455" s="19"/>
      <c r="Y23455" s="20"/>
    </row>
    <row r="23456" spans="24:25">
      <c r="X23456" s="19"/>
      <c r="Y23456" s="20"/>
    </row>
    <row r="23457" spans="24:25">
      <c r="X23457" s="19"/>
      <c r="Y23457" s="20"/>
    </row>
    <row r="23458" spans="24:25">
      <c r="X23458" s="19"/>
      <c r="Y23458" s="20"/>
    </row>
    <row r="23459" spans="24:25">
      <c r="X23459" s="19"/>
      <c r="Y23459" s="20"/>
    </row>
    <row r="23460" spans="24:25">
      <c r="X23460" s="19"/>
      <c r="Y23460" s="20"/>
    </row>
    <row r="23461" spans="24:25">
      <c r="X23461" s="19"/>
      <c r="Y23461" s="20"/>
    </row>
    <row r="23462" spans="24:25">
      <c r="X23462" s="19"/>
      <c r="Y23462" s="20"/>
    </row>
    <row r="23463" spans="24:25">
      <c r="X23463" s="19"/>
      <c r="Y23463" s="20"/>
    </row>
    <row r="23464" spans="24:25">
      <c r="X23464" s="19"/>
      <c r="Y23464" s="20"/>
    </row>
    <row r="23465" spans="24:25">
      <c r="X23465" s="19"/>
      <c r="Y23465" s="20"/>
    </row>
    <row r="23466" spans="24:25">
      <c r="X23466" s="19"/>
      <c r="Y23466" s="20"/>
    </row>
    <row r="23467" spans="24:25">
      <c r="X23467" s="19"/>
      <c r="Y23467" s="20"/>
    </row>
    <row r="23468" spans="24:25">
      <c r="X23468" s="19"/>
      <c r="Y23468" s="20"/>
    </row>
    <row r="23469" spans="24:25">
      <c r="X23469" s="19"/>
      <c r="Y23469" s="20"/>
    </row>
    <row r="23470" spans="24:25">
      <c r="X23470" s="19"/>
      <c r="Y23470" s="20"/>
    </row>
    <row r="23471" spans="24:25">
      <c r="X23471" s="19"/>
      <c r="Y23471" s="20"/>
    </row>
    <row r="23472" spans="24:25">
      <c r="X23472" s="19"/>
      <c r="Y23472" s="20"/>
    </row>
    <row r="23473" spans="24:25">
      <c r="X23473" s="19"/>
      <c r="Y23473" s="20"/>
    </row>
    <row r="23474" spans="24:25">
      <c r="X23474" s="19"/>
      <c r="Y23474" s="20"/>
    </row>
    <row r="23475" spans="24:25">
      <c r="X23475" s="19"/>
      <c r="Y23475" s="20"/>
    </row>
    <row r="23476" spans="24:25">
      <c r="X23476" s="19"/>
      <c r="Y23476" s="20"/>
    </row>
    <row r="23477" spans="24:25">
      <c r="X23477" s="19"/>
      <c r="Y23477" s="20"/>
    </row>
    <row r="23478" spans="24:25">
      <c r="X23478" s="19"/>
      <c r="Y23478" s="20"/>
    </row>
    <row r="23479" spans="24:25">
      <c r="X23479" s="19"/>
      <c r="Y23479" s="20"/>
    </row>
    <row r="23480" spans="24:25">
      <c r="X23480" s="19"/>
      <c r="Y23480" s="20"/>
    </row>
    <row r="23481" spans="24:25">
      <c r="X23481" s="19"/>
      <c r="Y23481" s="20"/>
    </row>
    <row r="23482" spans="24:25">
      <c r="X23482" s="19"/>
      <c r="Y23482" s="20"/>
    </row>
    <row r="23483" spans="24:25">
      <c r="X23483" s="19"/>
      <c r="Y23483" s="20"/>
    </row>
    <row r="23484" spans="24:25">
      <c r="X23484" s="19"/>
      <c r="Y23484" s="20"/>
    </row>
    <row r="23485" spans="24:25">
      <c r="X23485" s="19"/>
      <c r="Y23485" s="20"/>
    </row>
    <row r="23486" spans="24:25">
      <c r="X23486" s="19"/>
      <c r="Y23486" s="20"/>
    </row>
    <row r="23487" spans="24:25">
      <c r="X23487" s="19"/>
      <c r="Y23487" s="20"/>
    </row>
    <row r="23488" spans="24:25">
      <c r="X23488" s="19"/>
      <c r="Y23488" s="20"/>
    </row>
    <row r="23489" spans="24:25">
      <c r="X23489" s="19"/>
      <c r="Y23489" s="20"/>
    </row>
    <row r="23490" spans="24:25">
      <c r="X23490" s="19"/>
      <c r="Y23490" s="20"/>
    </row>
    <row r="23491" spans="24:25">
      <c r="X23491" s="19"/>
      <c r="Y23491" s="20"/>
    </row>
    <row r="23492" spans="24:25">
      <c r="X23492" s="19"/>
      <c r="Y23492" s="20"/>
    </row>
    <row r="23493" spans="24:25">
      <c r="X23493" s="19"/>
      <c r="Y23493" s="20"/>
    </row>
    <row r="23494" spans="24:25">
      <c r="X23494" s="19"/>
      <c r="Y23494" s="20"/>
    </row>
    <row r="23495" spans="24:25">
      <c r="X23495" s="19"/>
      <c r="Y23495" s="20"/>
    </row>
    <row r="23496" spans="24:25">
      <c r="X23496" s="19"/>
      <c r="Y23496" s="20"/>
    </row>
    <row r="23497" spans="24:25">
      <c r="X23497" s="19"/>
      <c r="Y23497" s="20"/>
    </row>
    <row r="23498" spans="24:25">
      <c r="X23498" s="19"/>
      <c r="Y23498" s="20"/>
    </row>
    <row r="23499" spans="24:25">
      <c r="X23499" s="19"/>
      <c r="Y23499" s="20"/>
    </row>
    <row r="23500" spans="24:25">
      <c r="X23500" s="19"/>
      <c r="Y23500" s="20"/>
    </row>
    <row r="23501" spans="24:25">
      <c r="X23501" s="19"/>
      <c r="Y23501" s="20"/>
    </row>
    <row r="23502" spans="24:25">
      <c r="X23502" s="19"/>
      <c r="Y23502" s="20"/>
    </row>
    <row r="23503" spans="24:25">
      <c r="X23503" s="19"/>
      <c r="Y23503" s="20"/>
    </row>
    <row r="23504" spans="24:25">
      <c r="X23504" s="19"/>
      <c r="Y23504" s="20"/>
    </row>
    <row r="23505" spans="24:25">
      <c r="X23505" s="19"/>
      <c r="Y23505" s="20"/>
    </row>
    <row r="23506" spans="24:25">
      <c r="X23506" s="19"/>
      <c r="Y23506" s="20"/>
    </row>
    <row r="23507" spans="24:25">
      <c r="X23507" s="19"/>
      <c r="Y23507" s="20"/>
    </row>
    <row r="23508" spans="24:25">
      <c r="X23508" s="19"/>
      <c r="Y23508" s="20"/>
    </row>
    <row r="23509" spans="24:25">
      <c r="X23509" s="19"/>
      <c r="Y23509" s="20"/>
    </row>
    <row r="23510" spans="24:25">
      <c r="X23510" s="19"/>
      <c r="Y23510" s="20"/>
    </row>
    <row r="23511" spans="24:25">
      <c r="X23511" s="19"/>
      <c r="Y23511" s="20"/>
    </row>
    <row r="23512" spans="24:25">
      <c r="X23512" s="19"/>
      <c r="Y23512" s="20"/>
    </row>
    <row r="23513" spans="24:25">
      <c r="X23513" s="19"/>
      <c r="Y23513" s="20"/>
    </row>
    <row r="23514" spans="24:25">
      <c r="X23514" s="19"/>
      <c r="Y23514" s="20"/>
    </row>
    <row r="23515" spans="24:25">
      <c r="X23515" s="19"/>
      <c r="Y23515" s="20"/>
    </row>
    <row r="23516" spans="24:25">
      <c r="X23516" s="19"/>
      <c r="Y23516" s="20"/>
    </row>
    <row r="23517" spans="24:25">
      <c r="X23517" s="19"/>
      <c r="Y23517" s="20"/>
    </row>
    <row r="23518" spans="24:25">
      <c r="X23518" s="19"/>
      <c r="Y23518" s="20"/>
    </row>
    <row r="23519" spans="24:25">
      <c r="X23519" s="19"/>
      <c r="Y23519" s="20"/>
    </row>
    <row r="23520" spans="24:25">
      <c r="X23520" s="19"/>
      <c r="Y23520" s="20"/>
    </row>
    <row r="23521" spans="24:25">
      <c r="X23521" s="19"/>
      <c r="Y23521" s="20"/>
    </row>
    <row r="23522" spans="24:25">
      <c r="X23522" s="19"/>
      <c r="Y23522" s="20"/>
    </row>
    <row r="23523" spans="24:25">
      <c r="X23523" s="19"/>
      <c r="Y23523" s="20"/>
    </row>
    <row r="23524" spans="24:25">
      <c r="X23524" s="19"/>
      <c r="Y23524" s="20"/>
    </row>
    <row r="23525" spans="24:25">
      <c r="X23525" s="19"/>
      <c r="Y23525" s="20"/>
    </row>
    <row r="23526" spans="24:25">
      <c r="X23526" s="19"/>
      <c r="Y23526" s="20"/>
    </row>
    <row r="23527" spans="24:25">
      <c r="X23527" s="19"/>
      <c r="Y23527" s="20"/>
    </row>
    <row r="23528" spans="24:25">
      <c r="X23528" s="19"/>
      <c r="Y23528" s="20"/>
    </row>
    <row r="23529" spans="24:25">
      <c r="X23529" s="19"/>
      <c r="Y23529" s="20"/>
    </row>
    <row r="23530" spans="24:25">
      <c r="X23530" s="19"/>
      <c r="Y23530" s="20"/>
    </row>
    <row r="23531" spans="24:25">
      <c r="X23531" s="19"/>
      <c r="Y23531" s="20"/>
    </row>
    <row r="23532" spans="24:25">
      <c r="X23532" s="19"/>
      <c r="Y23532" s="20"/>
    </row>
    <row r="23533" spans="24:25">
      <c r="X23533" s="19"/>
      <c r="Y23533" s="20"/>
    </row>
    <row r="23534" spans="24:25">
      <c r="X23534" s="19"/>
      <c r="Y23534" s="20"/>
    </row>
    <row r="23535" spans="24:25">
      <c r="X23535" s="19"/>
      <c r="Y23535" s="20"/>
    </row>
    <row r="23536" spans="24:25">
      <c r="X23536" s="19"/>
      <c r="Y23536" s="20"/>
    </row>
    <row r="23537" spans="24:25">
      <c r="X23537" s="19"/>
      <c r="Y23537" s="20"/>
    </row>
    <row r="23538" spans="24:25">
      <c r="X23538" s="19"/>
      <c r="Y23538" s="20"/>
    </row>
    <row r="23539" spans="24:25">
      <c r="X23539" s="19"/>
      <c r="Y23539" s="20"/>
    </row>
    <row r="23540" spans="24:25">
      <c r="X23540" s="19"/>
      <c r="Y23540" s="20"/>
    </row>
    <row r="23541" spans="24:25">
      <c r="X23541" s="19"/>
      <c r="Y23541" s="20"/>
    </row>
    <row r="23542" spans="24:25">
      <c r="X23542" s="19"/>
      <c r="Y23542" s="20"/>
    </row>
    <row r="23543" spans="24:25">
      <c r="X23543" s="19"/>
      <c r="Y23543" s="20"/>
    </row>
    <row r="23544" spans="24:25">
      <c r="X23544" s="19"/>
      <c r="Y23544" s="20"/>
    </row>
    <row r="23545" spans="24:25">
      <c r="X23545" s="19"/>
      <c r="Y23545" s="20"/>
    </row>
    <row r="23546" spans="24:25">
      <c r="X23546" s="19"/>
      <c r="Y23546" s="20"/>
    </row>
    <row r="23547" spans="24:25">
      <c r="X23547" s="19"/>
      <c r="Y23547" s="20"/>
    </row>
    <row r="23548" spans="24:25">
      <c r="X23548" s="19"/>
      <c r="Y23548" s="20"/>
    </row>
    <row r="23549" spans="24:25">
      <c r="X23549" s="19"/>
      <c r="Y23549" s="20"/>
    </row>
    <row r="23550" spans="24:25">
      <c r="X23550" s="19"/>
      <c r="Y23550" s="20"/>
    </row>
    <row r="23551" spans="24:25">
      <c r="X23551" s="19"/>
      <c r="Y23551" s="20"/>
    </row>
    <row r="23552" spans="24:25">
      <c r="X23552" s="19"/>
      <c r="Y23552" s="20"/>
    </row>
    <row r="23553" spans="24:25">
      <c r="X23553" s="19"/>
      <c r="Y23553" s="20"/>
    </row>
    <row r="23554" spans="24:25">
      <c r="X23554" s="19"/>
      <c r="Y23554" s="20"/>
    </row>
    <row r="23555" spans="24:25">
      <c r="X23555" s="19"/>
      <c r="Y23555" s="20"/>
    </row>
    <row r="23556" spans="24:25">
      <c r="X23556" s="19"/>
      <c r="Y23556" s="20"/>
    </row>
    <row r="23557" spans="24:25">
      <c r="X23557" s="19"/>
      <c r="Y23557" s="20"/>
    </row>
    <row r="23558" spans="24:25">
      <c r="X23558" s="19"/>
      <c r="Y23558" s="20"/>
    </row>
    <row r="23559" spans="24:25">
      <c r="X23559" s="19"/>
      <c r="Y23559" s="20"/>
    </row>
    <row r="23560" spans="24:25">
      <c r="X23560" s="19"/>
      <c r="Y23560" s="20"/>
    </row>
    <row r="23561" spans="24:25">
      <c r="X23561" s="19"/>
      <c r="Y23561" s="20"/>
    </row>
    <row r="23562" spans="24:25">
      <c r="X23562" s="19"/>
      <c r="Y23562" s="20"/>
    </row>
    <row r="23563" spans="24:25">
      <c r="X23563" s="19"/>
      <c r="Y23563" s="20"/>
    </row>
    <row r="23564" spans="24:25">
      <c r="X23564" s="19"/>
      <c r="Y23564" s="20"/>
    </row>
    <row r="23565" spans="24:25">
      <c r="X23565" s="19"/>
      <c r="Y23565" s="20"/>
    </row>
    <row r="23566" spans="24:25">
      <c r="X23566" s="19"/>
      <c r="Y23566" s="20"/>
    </row>
    <row r="23567" spans="24:25">
      <c r="X23567" s="19"/>
      <c r="Y23567" s="20"/>
    </row>
    <row r="23568" spans="24:25">
      <c r="X23568" s="19"/>
      <c r="Y23568" s="20"/>
    </row>
    <row r="23569" spans="24:25">
      <c r="X23569" s="19"/>
      <c r="Y23569" s="20"/>
    </row>
    <row r="23570" spans="24:25">
      <c r="X23570" s="19"/>
      <c r="Y23570" s="20"/>
    </row>
    <row r="23571" spans="24:25">
      <c r="X23571" s="19"/>
      <c r="Y23571" s="20"/>
    </row>
    <row r="23572" spans="24:25">
      <c r="X23572" s="19"/>
      <c r="Y23572" s="20"/>
    </row>
    <row r="23573" spans="24:25">
      <c r="X23573" s="19"/>
      <c r="Y23573" s="20"/>
    </row>
    <row r="23574" spans="24:25">
      <c r="X23574" s="19"/>
      <c r="Y23574" s="20"/>
    </row>
    <row r="23575" spans="24:25">
      <c r="X23575" s="19"/>
      <c r="Y23575" s="20"/>
    </row>
    <row r="23576" spans="24:25">
      <c r="X23576" s="19"/>
      <c r="Y23576" s="20"/>
    </row>
    <row r="23577" spans="24:25">
      <c r="X23577" s="19"/>
      <c r="Y23577" s="20"/>
    </row>
    <row r="23578" spans="24:25">
      <c r="X23578" s="19"/>
      <c r="Y23578" s="20"/>
    </row>
    <row r="23579" spans="24:25">
      <c r="X23579" s="19"/>
      <c r="Y23579" s="20"/>
    </row>
    <row r="23580" spans="24:25">
      <c r="X23580" s="19"/>
      <c r="Y23580" s="20"/>
    </row>
    <row r="23581" spans="24:25">
      <c r="X23581" s="19"/>
      <c r="Y23581" s="20"/>
    </row>
    <row r="23582" spans="24:25">
      <c r="X23582" s="19"/>
      <c r="Y23582" s="20"/>
    </row>
    <row r="23583" spans="24:25">
      <c r="X23583" s="19"/>
      <c r="Y23583" s="20"/>
    </row>
    <row r="23584" spans="24:25">
      <c r="X23584" s="19"/>
      <c r="Y23584" s="20"/>
    </row>
    <row r="23585" spans="24:25">
      <c r="X23585" s="19"/>
      <c r="Y23585" s="20"/>
    </row>
    <row r="23586" spans="24:25">
      <c r="X23586" s="19"/>
      <c r="Y23586" s="20"/>
    </row>
    <row r="23587" spans="24:25">
      <c r="X23587" s="19"/>
      <c r="Y23587" s="20"/>
    </row>
    <row r="23588" spans="24:25">
      <c r="X23588" s="19"/>
      <c r="Y23588" s="20"/>
    </row>
    <row r="23589" spans="24:25">
      <c r="X23589" s="19"/>
      <c r="Y23589" s="20"/>
    </row>
    <row r="23590" spans="24:25">
      <c r="X23590" s="19"/>
      <c r="Y23590" s="20"/>
    </row>
    <row r="23591" spans="24:25">
      <c r="X23591" s="19"/>
      <c r="Y23591" s="20"/>
    </row>
    <row r="23592" spans="24:25">
      <c r="X23592" s="19"/>
      <c r="Y23592" s="20"/>
    </row>
    <row r="23593" spans="24:25">
      <c r="X23593" s="19"/>
      <c r="Y23593" s="20"/>
    </row>
    <row r="23594" spans="24:25">
      <c r="X23594" s="19"/>
      <c r="Y23594" s="20"/>
    </row>
    <row r="23595" spans="24:25">
      <c r="X23595" s="19"/>
      <c r="Y23595" s="20"/>
    </row>
    <row r="23596" spans="24:25">
      <c r="X23596" s="19"/>
      <c r="Y23596" s="20"/>
    </row>
    <row r="23597" spans="24:25">
      <c r="X23597" s="19"/>
      <c r="Y23597" s="20"/>
    </row>
    <row r="23598" spans="24:25">
      <c r="X23598" s="19"/>
      <c r="Y23598" s="20"/>
    </row>
    <row r="23599" spans="24:25">
      <c r="X23599" s="19"/>
      <c r="Y23599" s="20"/>
    </row>
    <row r="23600" spans="24:25">
      <c r="X23600" s="19"/>
      <c r="Y23600" s="20"/>
    </row>
    <row r="23601" spans="24:25">
      <c r="X23601" s="19"/>
      <c r="Y23601" s="20"/>
    </row>
    <row r="23602" spans="24:25">
      <c r="X23602" s="19"/>
      <c r="Y23602" s="20"/>
    </row>
    <row r="23603" spans="24:25">
      <c r="X23603" s="19"/>
      <c r="Y23603" s="20"/>
    </row>
    <row r="23604" spans="24:25">
      <c r="X23604" s="19"/>
      <c r="Y23604" s="20"/>
    </row>
    <row r="23605" spans="24:25">
      <c r="X23605" s="19"/>
      <c r="Y23605" s="20"/>
    </row>
    <row r="23606" spans="24:25">
      <c r="X23606" s="19"/>
      <c r="Y23606" s="20"/>
    </row>
    <row r="23607" spans="24:25">
      <c r="X23607" s="19"/>
      <c r="Y23607" s="20"/>
    </row>
    <row r="23608" spans="24:25">
      <c r="X23608" s="19"/>
      <c r="Y23608" s="20"/>
    </row>
    <row r="23609" spans="24:25">
      <c r="X23609" s="19"/>
      <c r="Y23609" s="20"/>
    </row>
    <row r="23610" spans="24:25">
      <c r="X23610" s="19"/>
      <c r="Y23610" s="20"/>
    </row>
    <row r="23611" spans="24:25">
      <c r="X23611" s="19"/>
      <c r="Y23611" s="20"/>
    </row>
    <row r="23612" spans="24:25">
      <c r="X23612" s="19"/>
      <c r="Y23612" s="20"/>
    </row>
    <row r="23613" spans="24:25">
      <c r="X23613" s="19"/>
      <c r="Y23613" s="20"/>
    </row>
    <row r="23614" spans="24:25">
      <c r="X23614" s="19"/>
      <c r="Y23614" s="20"/>
    </row>
    <row r="23615" spans="24:25">
      <c r="X23615" s="19"/>
      <c r="Y23615" s="20"/>
    </row>
    <row r="23616" spans="24:25">
      <c r="X23616" s="19"/>
      <c r="Y23616" s="20"/>
    </row>
    <row r="23617" spans="24:25">
      <c r="X23617" s="19"/>
      <c r="Y23617" s="20"/>
    </row>
    <row r="23618" spans="24:25">
      <c r="X23618" s="19"/>
      <c r="Y23618" s="20"/>
    </row>
    <row r="23619" spans="24:25">
      <c r="X23619" s="19"/>
      <c r="Y23619" s="20"/>
    </row>
    <row r="23620" spans="24:25">
      <c r="X23620" s="19"/>
      <c r="Y23620" s="20"/>
    </row>
    <row r="23621" spans="24:25">
      <c r="X23621" s="19"/>
      <c r="Y23621" s="20"/>
    </row>
    <row r="23622" spans="24:25">
      <c r="X23622" s="19"/>
      <c r="Y23622" s="20"/>
    </row>
    <row r="23623" spans="24:25">
      <c r="X23623" s="19"/>
      <c r="Y23623" s="20"/>
    </row>
    <row r="23624" spans="24:25">
      <c r="X23624" s="19"/>
      <c r="Y23624" s="20"/>
    </row>
    <row r="23625" spans="24:25">
      <c r="X23625" s="19"/>
      <c r="Y23625" s="20"/>
    </row>
    <row r="23626" spans="24:25">
      <c r="X23626" s="19"/>
      <c r="Y23626" s="20"/>
    </row>
    <row r="23627" spans="24:25">
      <c r="X23627" s="19"/>
      <c r="Y23627" s="20"/>
    </row>
    <row r="23628" spans="24:25">
      <c r="X23628" s="19"/>
      <c r="Y23628" s="20"/>
    </row>
    <row r="23629" spans="24:25">
      <c r="X23629" s="19"/>
      <c r="Y23629" s="20"/>
    </row>
    <row r="23630" spans="24:25">
      <c r="X23630" s="19"/>
      <c r="Y23630" s="20"/>
    </row>
    <row r="23631" spans="24:25">
      <c r="X23631" s="19"/>
      <c r="Y23631" s="20"/>
    </row>
    <row r="23632" spans="24:25">
      <c r="X23632" s="19"/>
      <c r="Y23632" s="20"/>
    </row>
    <row r="23633" spans="24:25">
      <c r="X23633" s="19"/>
      <c r="Y23633" s="20"/>
    </row>
    <row r="23634" spans="24:25">
      <c r="X23634" s="19"/>
      <c r="Y23634" s="20"/>
    </row>
    <row r="23635" spans="24:25">
      <c r="X23635" s="19"/>
      <c r="Y23635" s="20"/>
    </row>
    <row r="23636" spans="24:25">
      <c r="X23636" s="19"/>
      <c r="Y23636" s="20"/>
    </row>
    <row r="23637" spans="24:25">
      <c r="X23637" s="19"/>
      <c r="Y23637" s="20"/>
    </row>
    <row r="23638" spans="24:25">
      <c r="X23638" s="19"/>
      <c r="Y23638" s="20"/>
    </row>
    <row r="23639" spans="24:25">
      <c r="X23639" s="19"/>
      <c r="Y23639" s="20"/>
    </row>
    <row r="23640" spans="24:25">
      <c r="X23640" s="19"/>
      <c r="Y23640" s="20"/>
    </row>
    <row r="23641" spans="24:25">
      <c r="X23641" s="19"/>
      <c r="Y23641" s="20"/>
    </row>
    <row r="23642" spans="24:25">
      <c r="X23642" s="19"/>
      <c r="Y23642" s="20"/>
    </row>
    <row r="23643" spans="24:25">
      <c r="X23643" s="19"/>
      <c r="Y23643" s="20"/>
    </row>
    <row r="23644" spans="24:25">
      <c r="X23644" s="19"/>
      <c r="Y23644" s="20"/>
    </row>
    <row r="23645" spans="24:25">
      <c r="X23645" s="19"/>
      <c r="Y23645" s="20"/>
    </row>
    <row r="23646" spans="24:25">
      <c r="X23646" s="19"/>
      <c r="Y23646" s="20"/>
    </row>
    <row r="23647" spans="24:25">
      <c r="X23647" s="19"/>
      <c r="Y23647" s="20"/>
    </row>
    <row r="23648" spans="24:25">
      <c r="X23648" s="19"/>
      <c r="Y23648" s="20"/>
    </row>
    <row r="23649" spans="24:25">
      <c r="X23649" s="19"/>
      <c r="Y23649" s="20"/>
    </row>
    <row r="23650" spans="24:25">
      <c r="X23650" s="19"/>
      <c r="Y23650" s="20"/>
    </row>
    <row r="23651" spans="24:25">
      <c r="X23651" s="19"/>
      <c r="Y23651" s="20"/>
    </row>
    <row r="23652" spans="24:25">
      <c r="X23652" s="19"/>
      <c r="Y23652" s="20"/>
    </row>
    <row r="23653" spans="24:25">
      <c r="X23653" s="19"/>
      <c r="Y23653" s="20"/>
    </row>
    <row r="23654" spans="24:25">
      <c r="X23654" s="19"/>
      <c r="Y23654" s="20"/>
    </row>
    <row r="23655" spans="24:25">
      <c r="X23655" s="19"/>
      <c r="Y23655" s="20"/>
    </row>
    <row r="23656" spans="24:25">
      <c r="X23656" s="19"/>
      <c r="Y23656" s="20"/>
    </row>
    <row r="23657" spans="24:25">
      <c r="X23657" s="19"/>
      <c r="Y23657" s="20"/>
    </row>
    <row r="23658" spans="24:25">
      <c r="X23658" s="19"/>
      <c r="Y23658" s="20"/>
    </row>
    <row r="23659" spans="24:25">
      <c r="X23659" s="19"/>
      <c r="Y23659" s="20"/>
    </row>
    <row r="23660" spans="24:25">
      <c r="X23660" s="19"/>
      <c r="Y23660" s="20"/>
    </row>
    <row r="23661" spans="24:25">
      <c r="X23661" s="19"/>
      <c r="Y23661" s="20"/>
    </row>
    <row r="23662" spans="24:25">
      <c r="X23662" s="19"/>
      <c r="Y23662" s="20"/>
    </row>
    <row r="23663" spans="24:25">
      <c r="X23663" s="19"/>
      <c r="Y23663" s="20"/>
    </row>
    <row r="23664" spans="24:25">
      <c r="X23664" s="19"/>
      <c r="Y23664" s="20"/>
    </row>
    <row r="23665" spans="24:25">
      <c r="X23665" s="19"/>
      <c r="Y23665" s="20"/>
    </row>
    <row r="23666" spans="24:25">
      <c r="X23666" s="19"/>
      <c r="Y23666" s="20"/>
    </row>
    <row r="23667" spans="24:25">
      <c r="X23667" s="19"/>
      <c r="Y23667" s="20"/>
    </row>
    <row r="23668" spans="24:25">
      <c r="X23668" s="19"/>
      <c r="Y23668" s="20"/>
    </row>
    <row r="23669" spans="24:25">
      <c r="X23669" s="19"/>
      <c r="Y23669" s="20"/>
    </row>
    <row r="23670" spans="24:25">
      <c r="X23670" s="19"/>
      <c r="Y23670" s="20"/>
    </row>
    <row r="23671" spans="24:25">
      <c r="X23671" s="19"/>
      <c r="Y23671" s="20"/>
    </row>
    <row r="23672" spans="24:25">
      <c r="X23672" s="19"/>
      <c r="Y23672" s="20"/>
    </row>
    <row r="23673" spans="24:25">
      <c r="X23673" s="19"/>
      <c r="Y23673" s="20"/>
    </row>
    <row r="23674" spans="24:25">
      <c r="X23674" s="19"/>
      <c r="Y23674" s="20"/>
    </row>
    <row r="23675" spans="24:25">
      <c r="X23675" s="19"/>
      <c r="Y23675" s="20"/>
    </row>
    <row r="23676" spans="24:25">
      <c r="X23676" s="19"/>
      <c r="Y23676" s="20"/>
    </row>
    <row r="23677" spans="24:25">
      <c r="X23677" s="19"/>
      <c r="Y23677" s="20"/>
    </row>
    <row r="23678" spans="24:25">
      <c r="X23678" s="19"/>
      <c r="Y23678" s="20"/>
    </row>
    <row r="23679" spans="24:25">
      <c r="X23679" s="19"/>
      <c r="Y23679" s="20"/>
    </row>
    <row r="23680" spans="24:25">
      <c r="X23680" s="19"/>
      <c r="Y23680" s="20"/>
    </row>
    <row r="23681" spans="24:25">
      <c r="X23681" s="19"/>
      <c r="Y23681" s="20"/>
    </row>
    <row r="23682" spans="24:25">
      <c r="X23682" s="19"/>
      <c r="Y23682" s="20"/>
    </row>
    <row r="23683" spans="24:25">
      <c r="X23683" s="19"/>
      <c r="Y23683" s="20"/>
    </row>
    <row r="23684" spans="24:25">
      <c r="X23684" s="19"/>
      <c r="Y23684" s="20"/>
    </row>
    <row r="23685" spans="24:25">
      <c r="X23685" s="19"/>
      <c r="Y23685" s="20"/>
    </row>
    <row r="23686" spans="24:25">
      <c r="X23686" s="19"/>
      <c r="Y23686" s="20"/>
    </row>
    <row r="23687" spans="24:25">
      <c r="X23687" s="19"/>
      <c r="Y23687" s="20"/>
    </row>
    <row r="23688" spans="24:25">
      <c r="X23688" s="19"/>
      <c r="Y23688" s="20"/>
    </row>
    <row r="23689" spans="24:25">
      <c r="X23689" s="19"/>
      <c r="Y23689" s="20"/>
    </row>
    <row r="23690" spans="24:25">
      <c r="X23690" s="19"/>
      <c r="Y23690" s="20"/>
    </row>
    <row r="23691" spans="24:25">
      <c r="X23691" s="19"/>
      <c r="Y23691" s="20"/>
    </row>
    <row r="23692" spans="24:25">
      <c r="X23692" s="19"/>
      <c r="Y23692" s="20"/>
    </row>
    <row r="23693" spans="24:25">
      <c r="X23693" s="19"/>
      <c r="Y23693" s="20"/>
    </row>
    <row r="23694" spans="24:25">
      <c r="X23694" s="19"/>
      <c r="Y23694" s="20"/>
    </row>
    <row r="23695" spans="24:25">
      <c r="X23695" s="19"/>
      <c r="Y23695" s="20"/>
    </row>
    <row r="23696" spans="24:25">
      <c r="X23696" s="19"/>
      <c r="Y23696" s="20"/>
    </row>
    <row r="23697" spans="24:25">
      <c r="X23697" s="19"/>
      <c r="Y23697" s="20"/>
    </row>
    <row r="23698" spans="24:25">
      <c r="X23698" s="19"/>
      <c r="Y23698" s="20"/>
    </row>
    <row r="23699" spans="24:25">
      <c r="X23699" s="19"/>
      <c r="Y23699" s="20"/>
    </row>
    <row r="23700" spans="24:25">
      <c r="X23700" s="19"/>
      <c r="Y23700" s="20"/>
    </row>
    <row r="23701" spans="24:25">
      <c r="X23701" s="19"/>
      <c r="Y23701" s="20"/>
    </row>
    <row r="23702" spans="24:25">
      <c r="X23702" s="19"/>
      <c r="Y23702" s="20"/>
    </row>
    <row r="23703" spans="24:25">
      <c r="X23703" s="19"/>
      <c r="Y23703" s="20"/>
    </row>
    <row r="23704" spans="24:25">
      <c r="X23704" s="19"/>
      <c r="Y23704" s="20"/>
    </row>
    <row r="23705" spans="24:25">
      <c r="X23705" s="19"/>
      <c r="Y23705" s="20"/>
    </row>
    <row r="23706" spans="24:25">
      <c r="X23706" s="19"/>
      <c r="Y23706" s="20"/>
    </row>
    <row r="23707" spans="24:25">
      <c r="X23707" s="19"/>
      <c r="Y23707" s="20"/>
    </row>
    <row r="23708" spans="24:25">
      <c r="X23708" s="19"/>
      <c r="Y23708" s="20"/>
    </row>
    <row r="23709" spans="24:25">
      <c r="X23709" s="19"/>
      <c r="Y23709" s="20"/>
    </row>
    <row r="23710" spans="24:25">
      <c r="X23710" s="19"/>
      <c r="Y23710" s="20"/>
    </row>
    <row r="23711" spans="24:25">
      <c r="X23711" s="19"/>
      <c r="Y23711" s="20"/>
    </row>
    <row r="23712" spans="24:25">
      <c r="X23712" s="19"/>
      <c r="Y23712" s="20"/>
    </row>
    <row r="23713" spans="24:25">
      <c r="X23713" s="19"/>
      <c r="Y23713" s="20"/>
    </row>
    <row r="23714" spans="24:25">
      <c r="X23714" s="19"/>
      <c r="Y23714" s="20"/>
    </row>
    <row r="23715" spans="24:25">
      <c r="X23715" s="19"/>
      <c r="Y23715" s="20"/>
    </row>
    <row r="23716" spans="24:25">
      <c r="X23716" s="19"/>
      <c r="Y23716" s="20"/>
    </row>
    <row r="23717" spans="24:25">
      <c r="X23717" s="19"/>
      <c r="Y23717" s="20"/>
    </row>
    <row r="23718" spans="24:25">
      <c r="X23718" s="19"/>
      <c r="Y23718" s="20"/>
    </row>
    <row r="23719" spans="24:25">
      <c r="X23719" s="19"/>
      <c r="Y23719" s="20"/>
    </row>
    <row r="23720" spans="24:25">
      <c r="X23720" s="19"/>
      <c r="Y23720" s="20"/>
    </row>
    <row r="23721" spans="24:25">
      <c r="X23721" s="19"/>
      <c r="Y23721" s="20"/>
    </row>
    <row r="23722" spans="24:25">
      <c r="X23722" s="19"/>
      <c r="Y23722" s="20"/>
    </row>
    <row r="23723" spans="24:25">
      <c r="X23723" s="19"/>
      <c r="Y23723" s="20"/>
    </row>
    <row r="23724" spans="24:25">
      <c r="X23724" s="19"/>
      <c r="Y23724" s="20"/>
    </row>
    <row r="23725" spans="24:25">
      <c r="X23725" s="19"/>
      <c r="Y23725" s="20"/>
    </row>
    <row r="23726" spans="24:25">
      <c r="X23726" s="19"/>
      <c r="Y23726" s="20"/>
    </row>
    <row r="23727" spans="24:25">
      <c r="X23727" s="19"/>
      <c r="Y23727" s="20"/>
    </row>
    <row r="23728" spans="24:25">
      <c r="X23728" s="19"/>
      <c r="Y23728" s="20"/>
    </row>
    <row r="23729" spans="24:25">
      <c r="X23729" s="19"/>
      <c r="Y23729" s="20"/>
    </row>
    <row r="23730" spans="24:25">
      <c r="X23730" s="19"/>
      <c r="Y23730" s="20"/>
    </row>
    <row r="23731" spans="24:25">
      <c r="X23731" s="19"/>
      <c r="Y23731" s="20"/>
    </row>
    <row r="23732" spans="24:25">
      <c r="X23732" s="19"/>
      <c r="Y23732" s="20"/>
    </row>
    <row r="23733" spans="24:25">
      <c r="X23733" s="19"/>
      <c r="Y23733" s="20"/>
    </row>
    <row r="23734" spans="24:25">
      <c r="X23734" s="19"/>
      <c r="Y23734" s="20"/>
    </row>
    <row r="23735" spans="24:25">
      <c r="X23735" s="19"/>
      <c r="Y23735" s="20"/>
    </row>
    <row r="23736" spans="24:25">
      <c r="X23736" s="19"/>
      <c r="Y23736" s="20"/>
    </row>
    <row r="23737" spans="24:25">
      <c r="X23737" s="19"/>
      <c r="Y23737" s="20"/>
    </row>
    <row r="23738" spans="24:25">
      <c r="X23738" s="19"/>
      <c r="Y23738" s="20"/>
    </row>
    <row r="23739" spans="24:25">
      <c r="X23739" s="19"/>
      <c r="Y23739" s="20"/>
    </row>
    <row r="23740" spans="24:25">
      <c r="X23740" s="19"/>
      <c r="Y23740" s="20"/>
    </row>
    <row r="23741" spans="24:25">
      <c r="X23741" s="19"/>
      <c r="Y23741" s="20"/>
    </row>
    <row r="23742" spans="24:25">
      <c r="X23742" s="19"/>
      <c r="Y23742" s="20"/>
    </row>
    <row r="23743" spans="24:25">
      <c r="X23743" s="19"/>
      <c r="Y23743" s="20"/>
    </row>
    <row r="23744" spans="24:25">
      <c r="X23744" s="19"/>
      <c r="Y23744" s="20"/>
    </row>
    <row r="23745" spans="24:25">
      <c r="X23745" s="19"/>
      <c r="Y23745" s="20"/>
    </row>
    <row r="23746" spans="24:25">
      <c r="X23746" s="19"/>
      <c r="Y23746" s="20"/>
    </row>
    <row r="23747" spans="24:25">
      <c r="X23747" s="19"/>
      <c r="Y23747" s="20"/>
    </row>
    <row r="23748" spans="24:25">
      <c r="X23748" s="19"/>
      <c r="Y23748" s="20"/>
    </row>
    <row r="23749" spans="24:25">
      <c r="X23749" s="19"/>
      <c r="Y23749" s="20"/>
    </row>
    <row r="23750" spans="24:25">
      <c r="X23750" s="19"/>
      <c r="Y23750" s="20"/>
    </row>
    <row r="23751" spans="24:25">
      <c r="X23751" s="19"/>
      <c r="Y23751" s="20"/>
    </row>
    <row r="23752" spans="24:25">
      <c r="X23752" s="19"/>
      <c r="Y23752" s="20"/>
    </row>
    <row r="23753" spans="24:25">
      <c r="X23753" s="19"/>
      <c r="Y23753" s="20"/>
    </row>
    <row r="23754" spans="24:25">
      <c r="X23754" s="19"/>
      <c r="Y23754" s="20"/>
    </row>
    <row r="23755" spans="24:25">
      <c r="X23755" s="19"/>
      <c r="Y23755" s="20"/>
    </row>
    <row r="23756" spans="24:25">
      <c r="X23756" s="19"/>
      <c r="Y23756" s="20"/>
    </row>
    <row r="23757" spans="24:25">
      <c r="X23757" s="19"/>
      <c r="Y23757" s="20"/>
    </row>
    <row r="23758" spans="24:25">
      <c r="X23758" s="19"/>
      <c r="Y23758" s="20"/>
    </row>
    <row r="23759" spans="24:25">
      <c r="X23759" s="19"/>
      <c r="Y23759" s="20"/>
    </row>
    <row r="23760" spans="24:25">
      <c r="X23760" s="19"/>
      <c r="Y23760" s="20"/>
    </row>
    <row r="23761" spans="24:25">
      <c r="X23761" s="19"/>
      <c r="Y23761" s="20"/>
    </row>
    <row r="23762" spans="24:25">
      <c r="X23762" s="19"/>
      <c r="Y23762" s="20"/>
    </row>
    <row r="23763" spans="24:25">
      <c r="X23763" s="19"/>
      <c r="Y23763" s="20"/>
    </row>
    <row r="23764" spans="24:25">
      <c r="X23764" s="19"/>
      <c r="Y23764" s="20"/>
    </row>
    <row r="23765" spans="24:25">
      <c r="X23765" s="19"/>
      <c r="Y23765" s="20"/>
    </row>
    <row r="23766" spans="24:25">
      <c r="X23766" s="19"/>
      <c r="Y23766" s="20"/>
    </row>
    <row r="23767" spans="24:25">
      <c r="X23767" s="19"/>
      <c r="Y23767" s="20"/>
    </row>
    <row r="23768" spans="24:25">
      <c r="X23768" s="19"/>
      <c r="Y23768" s="20"/>
    </row>
    <row r="23769" spans="24:25">
      <c r="X23769" s="19"/>
      <c r="Y23769" s="20"/>
    </row>
    <row r="23770" spans="24:25">
      <c r="X23770" s="19"/>
      <c r="Y23770" s="20"/>
    </row>
    <row r="23771" spans="24:25">
      <c r="X23771" s="19"/>
      <c r="Y23771" s="20"/>
    </row>
    <row r="23772" spans="24:25">
      <c r="X23772" s="19"/>
      <c r="Y23772" s="20"/>
    </row>
    <row r="23773" spans="24:25">
      <c r="X23773" s="19"/>
      <c r="Y23773" s="20"/>
    </row>
    <row r="23774" spans="24:25">
      <c r="X23774" s="19"/>
      <c r="Y23774" s="20"/>
    </row>
    <row r="23775" spans="24:25">
      <c r="X23775" s="19"/>
      <c r="Y23775" s="20"/>
    </row>
    <row r="23776" spans="24:25">
      <c r="X23776" s="19"/>
      <c r="Y23776" s="20"/>
    </row>
    <row r="23777" spans="24:25">
      <c r="X23777" s="19"/>
      <c r="Y23777" s="20"/>
    </row>
    <row r="23778" spans="24:25">
      <c r="X23778" s="19"/>
      <c r="Y23778" s="20"/>
    </row>
    <row r="23779" spans="24:25">
      <c r="X23779" s="19"/>
      <c r="Y23779" s="20"/>
    </row>
    <row r="23780" spans="24:25">
      <c r="X23780" s="19"/>
      <c r="Y23780" s="20"/>
    </row>
    <row r="23781" spans="24:25">
      <c r="X23781" s="19"/>
      <c r="Y23781" s="20"/>
    </row>
    <row r="23782" spans="24:25">
      <c r="X23782" s="19"/>
      <c r="Y23782" s="20"/>
    </row>
    <row r="23783" spans="24:25">
      <c r="X23783" s="19"/>
      <c r="Y23783" s="20"/>
    </row>
    <row r="23784" spans="24:25">
      <c r="X23784" s="19"/>
      <c r="Y23784" s="20"/>
    </row>
    <row r="23785" spans="24:25">
      <c r="X23785" s="19"/>
      <c r="Y23785" s="20"/>
    </row>
    <row r="23786" spans="24:25">
      <c r="X23786" s="19"/>
      <c r="Y23786" s="20"/>
    </row>
    <row r="23787" spans="24:25">
      <c r="X23787" s="19"/>
      <c r="Y23787" s="20"/>
    </row>
    <row r="23788" spans="24:25">
      <c r="X23788" s="19"/>
      <c r="Y23788" s="20"/>
    </row>
    <row r="23789" spans="24:25">
      <c r="X23789" s="19"/>
      <c r="Y23789" s="20"/>
    </row>
    <row r="23790" spans="24:25">
      <c r="X23790" s="19"/>
      <c r="Y23790" s="20"/>
    </row>
    <row r="23791" spans="24:25">
      <c r="X23791" s="19"/>
      <c r="Y23791" s="20"/>
    </row>
    <row r="23792" spans="24:25">
      <c r="X23792" s="19"/>
      <c r="Y23792" s="20"/>
    </row>
    <row r="23793" spans="24:25">
      <c r="X23793" s="19"/>
      <c r="Y23793" s="20"/>
    </row>
    <row r="23794" spans="24:25">
      <c r="X23794" s="19"/>
      <c r="Y23794" s="20"/>
    </row>
    <row r="23795" spans="24:25">
      <c r="X23795" s="19"/>
      <c r="Y23795" s="20"/>
    </row>
    <row r="23796" spans="24:25">
      <c r="X23796" s="19"/>
      <c r="Y23796" s="20"/>
    </row>
    <row r="23797" spans="24:25">
      <c r="X23797" s="19"/>
      <c r="Y23797" s="20"/>
    </row>
    <row r="23798" spans="24:25">
      <c r="X23798" s="19"/>
      <c r="Y23798" s="20"/>
    </row>
    <row r="23799" spans="24:25">
      <c r="X23799" s="19"/>
      <c r="Y23799" s="20"/>
    </row>
    <row r="23800" spans="24:25">
      <c r="X23800" s="19"/>
      <c r="Y23800" s="20"/>
    </row>
    <row r="23801" spans="24:25">
      <c r="X23801" s="19"/>
      <c r="Y23801" s="20"/>
    </row>
    <row r="23802" spans="24:25">
      <c r="X23802" s="19"/>
      <c r="Y23802" s="20"/>
    </row>
    <row r="23803" spans="24:25">
      <c r="X23803" s="19"/>
      <c r="Y23803" s="20"/>
    </row>
    <row r="23804" spans="24:25">
      <c r="X23804" s="19"/>
      <c r="Y23804" s="20"/>
    </row>
    <row r="23805" spans="24:25">
      <c r="X23805" s="19"/>
      <c r="Y23805" s="20"/>
    </row>
    <row r="23806" spans="24:25">
      <c r="X23806" s="19"/>
      <c r="Y23806" s="20"/>
    </row>
    <row r="23807" spans="24:25">
      <c r="X23807" s="19"/>
      <c r="Y23807" s="20"/>
    </row>
    <row r="23808" spans="24:25">
      <c r="X23808" s="19"/>
      <c r="Y23808" s="20"/>
    </row>
    <row r="23809" spans="24:25">
      <c r="X23809" s="19"/>
      <c r="Y23809" s="20"/>
    </row>
    <row r="23810" spans="24:25">
      <c r="X23810" s="19"/>
      <c r="Y23810" s="20"/>
    </row>
    <row r="23811" spans="24:25">
      <c r="X23811" s="19"/>
      <c r="Y23811" s="20"/>
    </row>
    <row r="23812" spans="24:25">
      <c r="X23812" s="19"/>
      <c r="Y23812" s="20"/>
    </row>
    <row r="23813" spans="24:25">
      <c r="X23813" s="19"/>
      <c r="Y23813" s="20"/>
    </row>
    <row r="23814" spans="24:25">
      <c r="X23814" s="19"/>
      <c r="Y23814" s="20"/>
    </row>
    <row r="23815" spans="24:25">
      <c r="X23815" s="19"/>
      <c r="Y23815" s="20"/>
    </row>
    <row r="23816" spans="24:25">
      <c r="X23816" s="19"/>
      <c r="Y23816" s="20"/>
    </row>
    <row r="23817" spans="24:25">
      <c r="X23817" s="19"/>
      <c r="Y23817" s="20"/>
    </row>
    <row r="23818" spans="24:25">
      <c r="X23818" s="19"/>
      <c r="Y23818" s="20"/>
    </row>
    <row r="23819" spans="24:25">
      <c r="X23819" s="19"/>
      <c r="Y23819" s="20"/>
    </row>
    <row r="23820" spans="24:25">
      <c r="X23820" s="19"/>
      <c r="Y23820" s="20"/>
    </row>
    <row r="23821" spans="24:25">
      <c r="X23821" s="19"/>
      <c r="Y23821" s="20"/>
    </row>
    <row r="23822" spans="24:25">
      <c r="X23822" s="19"/>
      <c r="Y23822" s="20"/>
    </row>
    <row r="23823" spans="24:25">
      <c r="X23823" s="19"/>
      <c r="Y23823" s="20"/>
    </row>
    <row r="23824" spans="24:25">
      <c r="X23824" s="19"/>
      <c r="Y23824" s="20"/>
    </row>
    <row r="23825" spans="24:25">
      <c r="X23825" s="19"/>
      <c r="Y23825" s="20"/>
    </row>
    <row r="23826" spans="24:25">
      <c r="X23826" s="19"/>
      <c r="Y23826" s="20"/>
    </row>
    <row r="23827" spans="24:25">
      <c r="X23827" s="19"/>
      <c r="Y23827" s="20"/>
    </row>
    <row r="23828" spans="24:25">
      <c r="X23828" s="19"/>
      <c r="Y23828" s="20"/>
    </row>
    <row r="23829" spans="24:25">
      <c r="X23829" s="19"/>
      <c r="Y23829" s="20"/>
    </row>
    <row r="23830" spans="24:25">
      <c r="X23830" s="19"/>
      <c r="Y23830" s="20"/>
    </row>
    <row r="23831" spans="24:25">
      <c r="X23831" s="19"/>
      <c r="Y23831" s="20"/>
    </row>
    <row r="23832" spans="24:25">
      <c r="X23832" s="19"/>
      <c r="Y23832" s="20"/>
    </row>
    <row r="23833" spans="24:25">
      <c r="X23833" s="19"/>
      <c r="Y23833" s="20"/>
    </row>
    <row r="23834" spans="24:25">
      <c r="X23834" s="19"/>
      <c r="Y23834" s="20"/>
    </row>
    <row r="23835" spans="24:25">
      <c r="X23835" s="19"/>
      <c r="Y23835" s="20"/>
    </row>
    <row r="23836" spans="24:25">
      <c r="X23836" s="19"/>
      <c r="Y23836" s="20"/>
    </row>
    <row r="23837" spans="24:25">
      <c r="X23837" s="19"/>
      <c r="Y23837" s="20"/>
    </row>
    <row r="23838" spans="24:25">
      <c r="X23838" s="19"/>
      <c r="Y23838" s="20"/>
    </row>
    <row r="23839" spans="24:25">
      <c r="X23839" s="19"/>
      <c r="Y23839" s="20"/>
    </row>
    <row r="23840" spans="24:25">
      <c r="X23840" s="19"/>
      <c r="Y23840" s="20"/>
    </row>
    <row r="23841" spans="24:25">
      <c r="X23841" s="19"/>
      <c r="Y23841" s="20"/>
    </row>
    <row r="23842" spans="24:25">
      <c r="X23842" s="19"/>
      <c r="Y23842" s="20"/>
    </row>
    <row r="23843" spans="24:25">
      <c r="X23843" s="19"/>
      <c r="Y23843" s="20"/>
    </row>
    <row r="23844" spans="24:25">
      <c r="X23844" s="19"/>
      <c r="Y23844" s="20"/>
    </row>
    <row r="23845" spans="24:25">
      <c r="X23845" s="19"/>
      <c r="Y23845" s="20"/>
    </row>
    <row r="23846" spans="24:25">
      <c r="X23846" s="19"/>
      <c r="Y23846" s="20"/>
    </row>
    <row r="23847" spans="24:25">
      <c r="X23847" s="19"/>
      <c r="Y23847" s="20"/>
    </row>
    <row r="23848" spans="24:25">
      <c r="X23848" s="19"/>
      <c r="Y23848" s="20"/>
    </row>
    <row r="23849" spans="24:25">
      <c r="X23849" s="19"/>
      <c r="Y23849" s="20"/>
    </row>
    <row r="23850" spans="24:25">
      <c r="X23850" s="19"/>
      <c r="Y23850" s="20"/>
    </row>
    <row r="23851" spans="24:25">
      <c r="X23851" s="19"/>
      <c r="Y23851" s="20"/>
    </row>
    <row r="23852" spans="24:25">
      <c r="X23852" s="19"/>
      <c r="Y23852" s="20"/>
    </row>
    <row r="23853" spans="24:25">
      <c r="X23853" s="19"/>
      <c r="Y23853" s="20"/>
    </row>
    <row r="23854" spans="24:25">
      <c r="X23854" s="19"/>
      <c r="Y23854" s="20"/>
    </row>
    <row r="23855" spans="24:25">
      <c r="X23855" s="19"/>
      <c r="Y23855" s="20"/>
    </row>
    <row r="23856" spans="24:25">
      <c r="X23856" s="19"/>
      <c r="Y23856" s="20"/>
    </row>
    <row r="23857" spans="24:25">
      <c r="X23857" s="19"/>
      <c r="Y23857" s="20"/>
    </row>
    <row r="23858" spans="24:25">
      <c r="X23858" s="19"/>
      <c r="Y23858" s="20"/>
    </row>
    <row r="23859" spans="24:25">
      <c r="X23859" s="19"/>
      <c r="Y23859" s="20"/>
    </row>
    <row r="23860" spans="24:25">
      <c r="X23860" s="19"/>
      <c r="Y23860" s="20"/>
    </row>
    <row r="23861" spans="24:25">
      <c r="X23861" s="19"/>
      <c r="Y23861" s="20"/>
    </row>
    <row r="23862" spans="24:25">
      <c r="X23862" s="19"/>
      <c r="Y23862" s="20"/>
    </row>
    <row r="23863" spans="24:25">
      <c r="X23863" s="19"/>
      <c r="Y23863" s="20"/>
    </row>
    <row r="23864" spans="24:25">
      <c r="X23864" s="19"/>
      <c r="Y23864" s="20"/>
    </row>
    <row r="23865" spans="24:25">
      <c r="X23865" s="19"/>
      <c r="Y23865" s="20"/>
    </row>
    <row r="23866" spans="24:25">
      <c r="X23866" s="19"/>
      <c r="Y23866" s="20"/>
    </row>
    <row r="23867" spans="24:25">
      <c r="X23867" s="19"/>
      <c r="Y23867" s="20"/>
    </row>
    <row r="23868" spans="24:25">
      <c r="X23868" s="19"/>
      <c r="Y23868" s="20"/>
    </row>
    <row r="23869" spans="24:25">
      <c r="X23869" s="19"/>
      <c r="Y23869" s="20"/>
    </row>
    <row r="23870" spans="24:25">
      <c r="X23870" s="19"/>
      <c r="Y23870" s="20"/>
    </row>
    <row r="23871" spans="24:25">
      <c r="X23871" s="19"/>
      <c r="Y23871" s="20"/>
    </row>
    <row r="23872" spans="24:25">
      <c r="X23872" s="19"/>
      <c r="Y23872" s="20"/>
    </row>
    <row r="23873" spans="24:25">
      <c r="X23873" s="19"/>
      <c r="Y23873" s="20"/>
    </row>
    <row r="23874" spans="24:25">
      <c r="X23874" s="19"/>
      <c r="Y23874" s="20"/>
    </row>
    <row r="23875" spans="24:25">
      <c r="X23875" s="19"/>
      <c r="Y23875" s="20"/>
    </row>
    <row r="23876" spans="24:25">
      <c r="X23876" s="19"/>
      <c r="Y23876" s="20"/>
    </row>
    <row r="23877" spans="24:25">
      <c r="X23877" s="19"/>
      <c r="Y23877" s="20"/>
    </row>
    <row r="23878" spans="24:25">
      <c r="X23878" s="19"/>
      <c r="Y23878" s="20"/>
    </row>
    <row r="23879" spans="24:25">
      <c r="X23879" s="19"/>
      <c r="Y23879" s="20"/>
    </row>
    <row r="23880" spans="24:25">
      <c r="X23880" s="19"/>
      <c r="Y23880" s="20"/>
    </row>
    <row r="23881" spans="24:25">
      <c r="X23881" s="19"/>
      <c r="Y23881" s="20"/>
    </row>
    <row r="23882" spans="24:25">
      <c r="X23882" s="19"/>
      <c r="Y23882" s="20"/>
    </row>
    <row r="23883" spans="24:25">
      <c r="X23883" s="19"/>
      <c r="Y23883" s="20"/>
    </row>
    <row r="23884" spans="24:25">
      <c r="X23884" s="19"/>
      <c r="Y23884" s="20"/>
    </row>
    <row r="23885" spans="24:25">
      <c r="X23885" s="19"/>
      <c r="Y23885" s="20"/>
    </row>
    <row r="23886" spans="24:25">
      <c r="X23886" s="19"/>
      <c r="Y23886" s="20"/>
    </row>
    <row r="23887" spans="24:25">
      <c r="X23887" s="19"/>
      <c r="Y23887" s="20"/>
    </row>
    <row r="23888" spans="24:25">
      <c r="X23888" s="19"/>
      <c r="Y23888" s="20"/>
    </row>
    <row r="23889" spans="24:25">
      <c r="X23889" s="19"/>
      <c r="Y23889" s="20"/>
    </row>
    <row r="23890" spans="24:25">
      <c r="X23890" s="19"/>
      <c r="Y23890" s="20"/>
    </row>
    <row r="23891" spans="24:25">
      <c r="X23891" s="19"/>
      <c r="Y23891" s="20"/>
    </row>
    <row r="23892" spans="24:25">
      <c r="X23892" s="19"/>
      <c r="Y23892" s="20"/>
    </row>
    <row r="23893" spans="24:25">
      <c r="X23893" s="19"/>
      <c r="Y23893" s="20"/>
    </row>
    <row r="23894" spans="24:25">
      <c r="X23894" s="19"/>
      <c r="Y23894" s="20"/>
    </row>
    <row r="23895" spans="24:25">
      <c r="X23895" s="19"/>
      <c r="Y23895" s="20"/>
    </row>
    <row r="23896" spans="24:25">
      <c r="X23896" s="19"/>
      <c r="Y23896" s="20"/>
    </row>
    <row r="23897" spans="24:25">
      <c r="X23897" s="19"/>
      <c r="Y23897" s="20"/>
    </row>
    <row r="23898" spans="24:25">
      <c r="X23898" s="19"/>
      <c r="Y23898" s="20"/>
    </row>
    <row r="23899" spans="24:25">
      <c r="X23899" s="19"/>
      <c r="Y23899" s="20"/>
    </row>
    <row r="23900" spans="24:25">
      <c r="X23900" s="19"/>
      <c r="Y23900" s="20"/>
    </row>
    <row r="23901" spans="24:25">
      <c r="X23901" s="19"/>
      <c r="Y23901" s="20"/>
    </row>
    <row r="23902" spans="24:25">
      <c r="X23902" s="19"/>
      <c r="Y23902" s="20"/>
    </row>
    <row r="23903" spans="24:25">
      <c r="X23903" s="19"/>
      <c r="Y23903" s="20"/>
    </row>
    <row r="23904" spans="24:25">
      <c r="X23904" s="19"/>
      <c r="Y23904" s="20"/>
    </row>
    <row r="23905" spans="24:25">
      <c r="X23905" s="19"/>
      <c r="Y23905" s="20"/>
    </row>
    <row r="23906" spans="24:25">
      <c r="X23906" s="19"/>
      <c r="Y23906" s="20"/>
    </row>
    <row r="23907" spans="24:25">
      <c r="X23907" s="19"/>
      <c r="Y23907" s="20"/>
    </row>
    <row r="23908" spans="24:25">
      <c r="X23908" s="19"/>
      <c r="Y23908" s="20"/>
    </row>
    <row r="23909" spans="24:25">
      <c r="X23909" s="19"/>
      <c r="Y23909" s="20"/>
    </row>
    <row r="23910" spans="24:25">
      <c r="X23910" s="19"/>
      <c r="Y23910" s="20"/>
    </row>
    <row r="23911" spans="24:25">
      <c r="X23911" s="19"/>
      <c r="Y23911" s="20"/>
    </row>
    <row r="23912" spans="24:25">
      <c r="X23912" s="19"/>
      <c r="Y23912" s="20"/>
    </row>
    <row r="23913" spans="24:25">
      <c r="X23913" s="19"/>
      <c r="Y23913" s="20"/>
    </row>
    <row r="23914" spans="24:25">
      <c r="X23914" s="19"/>
      <c r="Y23914" s="20"/>
    </row>
    <row r="23915" spans="24:25">
      <c r="X23915" s="19"/>
      <c r="Y23915" s="20"/>
    </row>
    <row r="23916" spans="24:25">
      <c r="X23916" s="19"/>
      <c r="Y23916" s="20"/>
    </row>
    <row r="23917" spans="24:25">
      <c r="X23917" s="19"/>
      <c r="Y23917" s="20"/>
    </row>
    <row r="23918" spans="24:25">
      <c r="X23918" s="19"/>
      <c r="Y23918" s="20"/>
    </row>
    <row r="23919" spans="24:25">
      <c r="X23919" s="19"/>
      <c r="Y23919" s="20"/>
    </row>
    <row r="23920" spans="24:25">
      <c r="X23920" s="19"/>
      <c r="Y23920" s="20"/>
    </row>
    <row r="23921" spans="24:25">
      <c r="X23921" s="19"/>
      <c r="Y23921" s="20"/>
    </row>
    <row r="23922" spans="24:25">
      <c r="X23922" s="19"/>
      <c r="Y23922" s="20"/>
    </row>
    <row r="23923" spans="24:25">
      <c r="X23923" s="19"/>
      <c r="Y23923" s="20"/>
    </row>
    <row r="23924" spans="24:25">
      <c r="X23924" s="19"/>
      <c r="Y23924" s="20"/>
    </row>
    <row r="23925" spans="24:25">
      <c r="X23925" s="19"/>
      <c r="Y23925" s="20"/>
    </row>
    <row r="23926" spans="24:25">
      <c r="X23926" s="19"/>
      <c r="Y23926" s="20"/>
    </row>
    <row r="23927" spans="24:25">
      <c r="X23927" s="19"/>
      <c r="Y23927" s="20"/>
    </row>
    <row r="23928" spans="24:25">
      <c r="X23928" s="19"/>
      <c r="Y23928" s="20"/>
    </row>
    <row r="23929" spans="24:25">
      <c r="X23929" s="19"/>
      <c r="Y23929" s="20"/>
    </row>
    <row r="23930" spans="24:25">
      <c r="X23930" s="19"/>
      <c r="Y23930" s="20"/>
    </row>
    <row r="23931" spans="24:25">
      <c r="X23931" s="19"/>
      <c r="Y23931" s="20"/>
    </row>
    <row r="23932" spans="24:25">
      <c r="X23932" s="19"/>
      <c r="Y23932" s="20"/>
    </row>
    <row r="23933" spans="24:25">
      <c r="X23933" s="19"/>
      <c r="Y23933" s="20"/>
    </row>
    <row r="23934" spans="24:25">
      <c r="X23934" s="19"/>
      <c r="Y23934" s="20"/>
    </row>
    <row r="23935" spans="24:25">
      <c r="X23935" s="19"/>
      <c r="Y23935" s="20"/>
    </row>
    <row r="23936" spans="24:25">
      <c r="X23936" s="19"/>
      <c r="Y23936" s="20"/>
    </row>
    <row r="23937" spans="24:25">
      <c r="X23937" s="19"/>
      <c r="Y23937" s="20"/>
    </row>
    <row r="23938" spans="24:25">
      <c r="X23938" s="19"/>
      <c r="Y23938" s="20"/>
    </row>
    <row r="23939" spans="24:25">
      <c r="X23939" s="19"/>
      <c r="Y23939" s="20"/>
    </row>
    <row r="23940" spans="24:25">
      <c r="X23940" s="19"/>
      <c r="Y23940" s="20"/>
    </row>
    <row r="23941" spans="24:25">
      <c r="X23941" s="19"/>
      <c r="Y23941" s="20"/>
    </row>
    <row r="23942" spans="24:25">
      <c r="X23942" s="19"/>
      <c r="Y23942" s="20"/>
    </row>
    <row r="23943" spans="24:25">
      <c r="X23943" s="19"/>
      <c r="Y23943" s="20"/>
    </row>
    <row r="23944" spans="24:25">
      <c r="X23944" s="19"/>
      <c r="Y23944" s="20"/>
    </row>
    <row r="23945" spans="24:25">
      <c r="X23945" s="19"/>
      <c r="Y23945" s="20"/>
    </row>
    <row r="23946" spans="24:25">
      <c r="X23946" s="19"/>
      <c r="Y23946" s="20"/>
    </row>
    <row r="23947" spans="24:25">
      <c r="X23947" s="19"/>
      <c r="Y23947" s="20"/>
    </row>
    <row r="23948" spans="24:25">
      <c r="X23948" s="19"/>
      <c r="Y23948" s="20"/>
    </row>
    <row r="23949" spans="24:25">
      <c r="X23949" s="19"/>
      <c r="Y23949" s="20"/>
    </row>
    <row r="23950" spans="24:25">
      <c r="X23950" s="19"/>
      <c r="Y23950" s="20"/>
    </row>
    <row r="23951" spans="24:25">
      <c r="X23951" s="19"/>
      <c r="Y23951" s="20"/>
    </row>
    <row r="23952" spans="24:25">
      <c r="X23952" s="19"/>
      <c r="Y23952" s="20"/>
    </row>
    <row r="23953" spans="24:25">
      <c r="X23953" s="19"/>
      <c r="Y23953" s="20"/>
    </row>
    <row r="23954" spans="24:25">
      <c r="X23954" s="19"/>
      <c r="Y23954" s="20"/>
    </row>
    <row r="23955" spans="24:25">
      <c r="X23955" s="19"/>
      <c r="Y23955" s="20"/>
    </row>
    <row r="23956" spans="24:25">
      <c r="X23956" s="19"/>
      <c r="Y23956" s="20"/>
    </row>
    <row r="23957" spans="24:25">
      <c r="X23957" s="19"/>
      <c r="Y23957" s="20"/>
    </row>
    <row r="23958" spans="24:25">
      <c r="X23958" s="19"/>
      <c r="Y23958" s="20"/>
    </row>
    <row r="23959" spans="24:25">
      <c r="X23959" s="19"/>
      <c r="Y23959" s="20"/>
    </row>
    <row r="23960" spans="24:25">
      <c r="X23960" s="19"/>
      <c r="Y23960" s="20"/>
    </row>
    <row r="23961" spans="24:25">
      <c r="X23961" s="19"/>
      <c r="Y23961" s="20"/>
    </row>
    <row r="23962" spans="24:25">
      <c r="X23962" s="19"/>
      <c r="Y23962" s="20"/>
    </row>
    <row r="23963" spans="24:25">
      <c r="X23963" s="19"/>
      <c r="Y23963" s="20"/>
    </row>
    <row r="23964" spans="24:25">
      <c r="X23964" s="19"/>
      <c r="Y23964" s="20"/>
    </row>
    <row r="23965" spans="24:25">
      <c r="X23965" s="19"/>
      <c r="Y23965" s="20"/>
    </row>
    <row r="23966" spans="24:25">
      <c r="X23966" s="19"/>
      <c r="Y23966" s="20"/>
    </row>
    <row r="23967" spans="24:25">
      <c r="X23967" s="19"/>
      <c r="Y23967" s="20"/>
    </row>
    <row r="23968" spans="24:25">
      <c r="X23968" s="19"/>
      <c r="Y23968" s="20"/>
    </row>
    <row r="23969" spans="24:25">
      <c r="X23969" s="19"/>
      <c r="Y23969" s="20"/>
    </row>
    <row r="23970" spans="24:25">
      <c r="X23970" s="19"/>
      <c r="Y23970" s="20"/>
    </row>
    <row r="23971" spans="24:25">
      <c r="X23971" s="19"/>
      <c r="Y23971" s="20"/>
    </row>
    <row r="23972" spans="24:25">
      <c r="X23972" s="19"/>
      <c r="Y23972" s="20"/>
    </row>
    <row r="23973" spans="24:25">
      <c r="X23973" s="19"/>
      <c r="Y23973" s="20"/>
    </row>
    <row r="23974" spans="24:25">
      <c r="X23974" s="19"/>
      <c r="Y23974" s="20"/>
    </row>
    <row r="23975" spans="24:25">
      <c r="X23975" s="19"/>
      <c r="Y23975" s="20"/>
    </row>
    <row r="23976" spans="24:25">
      <c r="X23976" s="19"/>
      <c r="Y23976" s="20"/>
    </row>
    <row r="23977" spans="24:25">
      <c r="X23977" s="19"/>
      <c r="Y23977" s="20"/>
    </row>
    <row r="23978" spans="24:25">
      <c r="X23978" s="19"/>
      <c r="Y23978" s="20"/>
    </row>
    <row r="23979" spans="24:25">
      <c r="X23979" s="19"/>
      <c r="Y23979" s="20"/>
    </row>
    <row r="23980" spans="24:25">
      <c r="X23980" s="19"/>
      <c r="Y23980" s="20"/>
    </row>
    <row r="23981" spans="24:25">
      <c r="X23981" s="19"/>
      <c r="Y23981" s="20"/>
    </row>
    <row r="23982" spans="24:25">
      <c r="X23982" s="19"/>
      <c r="Y23982" s="20"/>
    </row>
    <row r="23983" spans="24:25">
      <c r="X23983" s="19"/>
      <c r="Y23983" s="20"/>
    </row>
    <row r="23984" spans="24:25">
      <c r="X23984" s="19"/>
      <c r="Y23984" s="20"/>
    </row>
    <row r="23985" spans="24:25">
      <c r="X23985" s="19"/>
      <c r="Y23985" s="20"/>
    </row>
    <row r="23986" spans="24:25">
      <c r="X23986" s="19"/>
      <c r="Y23986" s="20"/>
    </row>
    <row r="23987" spans="24:25">
      <c r="X23987" s="19"/>
      <c r="Y23987" s="20"/>
    </row>
    <row r="23988" spans="24:25">
      <c r="X23988" s="19"/>
      <c r="Y23988" s="20"/>
    </row>
    <row r="23989" spans="24:25">
      <c r="X23989" s="19"/>
      <c r="Y23989" s="20"/>
    </row>
    <row r="23990" spans="24:25">
      <c r="X23990" s="19"/>
      <c r="Y23990" s="20"/>
    </row>
    <row r="23991" spans="24:25">
      <c r="X23991" s="19"/>
      <c r="Y23991" s="20"/>
    </row>
    <row r="23992" spans="24:25">
      <c r="X23992" s="19"/>
      <c r="Y23992" s="20"/>
    </row>
    <row r="23993" spans="24:25">
      <c r="X23993" s="19"/>
      <c r="Y23993" s="20"/>
    </row>
    <row r="23994" spans="24:25">
      <c r="X23994" s="19"/>
      <c r="Y23994" s="20"/>
    </row>
    <row r="23995" spans="24:25">
      <c r="X23995" s="19"/>
      <c r="Y23995" s="20"/>
    </row>
    <row r="23996" spans="24:25">
      <c r="X23996" s="19"/>
      <c r="Y23996" s="20"/>
    </row>
    <row r="23997" spans="24:25">
      <c r="X23997" s="19"/>
      <c r="Y23997" s="20"/>
    </row>
    <row r="23998" spans="24:25">
      <c r="X23998" s="19"/>
      <c r="Y23998" s="20"/>
    </row>
    <row r="23999" spans="24:25">
      <c r="X23999" s="19"/>
      <c r="Y23999" s="20"/>
    </row>
    <row r="24000" spans="24:25">
      <c r="X24000" s="19"/>
      <c r="Y24000" s="20"/>
    </row>
    <row r="24001" spans="24:25">
      <c r="X24001" s="19"/>
      <c r="Y24001" s="20"/>
    </row>
    <row r="24002" spans="24:25">
      <c r="X24002" s="19"/>
      <c r="Y24002" s="20"/>
    </row>
    <row r="24003" spans="24:25">
      <c r="X24003" s="19"/>
      <c r="Y24003" s="20"/>
    </row>
    <row r="24004" spans="24:25">
      <c r="X24004" s="19"/>
      <c r="Y24004" s="20"/>
    </row>
    <row r="24005" spans="24:25">
      <c r="X24005" s="19"/>
      <c r="Y24005" s="20"/>
    </row>
    <row r="24006" spans="24:25">
      <c r="X24006" s="19"/>
      <c r="Y24006" s="20"/>
    </row>
    <row r="24007" spans="24:25">
      <c r="X24007" s="19"/>
      <c r="Y24007" s="20"/>
    </row>
    <row r="24008" spans="24:25">
      <c r="X24008" s="19"/>
      <c r="Y24008" s="20"/>
    </row>
    <row r="24009" spans="24:25">
      <c r="X24009" s="19"/>
      <c r="Y24009" s="20"/>
    </row>
    <row r="24010" spans="24:25">
      <c r="X24010" s="19"/>
      <c r="Y24010" s="20"/>
    </row>
    <row r="24011" spans="24:25">
      <c r="X24011" s="19"/>
      <c r="Y24011" s="20"/>
    </row>
    <row r="24012" spans="24:25">
      <c r="X24012" s="19"/>
      <c r="Y24012" s="20"/>
    </row>
    <row r="24013" spans="24:25">
      <c r="X24013" s="19"/>
      <c r="Y24013" s="20"/>
    </row>
    <row r="24014" spans="24:25">
      <c r="X24014" s="19"/>
      <c r="Y24014" s="20"/>
    </row>
    <row r="24015" spans="24:25">
      <c r="X24015" s="19"/>
      <c r="Y24015" s="20"/>
    </row>
    <row r="24016" spans="24:25">
      <c r="X24016" s="19"/>
      <c r="Y24016" s="20"/>
    </row>
    <row r="24017" spans="24:25">
      <c r="X24017" s="19"/>
      <c r="Y24017" s="20"/>
    </row>
    <row r="24018" spans="24:25">
      <c r="X24018" s="19"/>
      <c r="Y24018" s="20"/>
    </row>
    <row r="24019" spans="24:25">
      <c r="X24019" s="19"/>
      <c r="Y24019" s="20"/>
    </row>
    <row r="24020" spans="24:25">
      <c r="X24020" s="19"/>
      <c r="Y24020" s="20"/>
    </row>
    <row r="24021" spans="24:25">
      <c r="X24021" s="19"/>
      <c r="Y24021" s="20"/>
    </row>
    <row r="24022" spans="24:25">
      <c r="X24022" s="19"/>
      <c r="Y24022" s="20"/>
    </row>
    <row r="24023" spans="24:25">
      <c r="X24023" s="19"/>
      <c r="Y24023" s="20"/>
    </row>
    <row r="24024" spans="24:25">
      <c r="X24024" s="19"/>
      <c r="Y24024" s="20"/>
    </row>
    <row r="24025" spans="24:25">
      <c r="X24025" s="19"/>
      <c r="Y24025" s="20"/>
    </row>
    <row r="24026" spans="24:25">
      <c r="X24026" s="19"/>
      <c r="Y24026" s="20"/>
    </row>
    <row r="24027" spans="24:25">
      <c r="X24027" s="19"/>
      <c r="Y24027" s="20"/>
    </row>
    <row r="24028" spans="24:25">
      <c r="X24028" s="19"/>
      <c r="Y24028" s="20"/>
    </row>
    <row r="24029" spans="24:25">
      <c r="X24029" s="19"/>
      <c r="Y24029" s="20"/>
    </row>
    <row r="24030" spans="24:25">
      <c r="X24030" s="19"/>
      <c r="Y24030" s="20"/>
    </row>
    <row r="24031" spans="24:25">
      <c r="X24031" s="19"/>
      <c r="Y24031" s="20"/>
    </row>
    <row r="24032" spans="24:25">
      <c r="X24032" s="19"/>
      <c r="Y24032" s="20"/>
    </row>
    <row r="24033" spans="24:25">
      <c r="X24033" s="19"/>
      <c r="Y24033" s="20"/>
    </row>
    <row r="24034" spans="24:25">
      <c r="X24034" s="19"/>
      <c r="Y24034" s="20"/>
    </row>
    <row r="24035" spans="24:25">
      <c r="X24035" s="19"/>
      <c r="Y24035" s="20"/>
    </row>
    <row r="24036" spans="24:25">
      <c r="X24036" s="19"/>
      <c r="Y24036" s="20"/>
    </row>
    <row r="24037" spans="24:25">
      <c r="X24037" s="19"/>
      <c r="Y24037" s="20"/>
    </row>
    <row r="24038" spans="24:25">
      <c r="X24038" s="19"/>
      <c r="Y24038" s="20"/>
    </row>
    <row r="24039" spans="24:25">
      <c r="X24039" s="19"/>
      <c r="Y24039" s="20"/>
    </row>
    <row r="24040" spans="24:25">
      <c r="X24040" s="19"/>
      <c r="Y24040" s="20"/>
    </row>
    <row r="24041" spans="24:25">
      <c r="X24041" s="19"/>
      <c r="Y24041" s="20"/>
    </row>
    <row r="24042" spans="24:25">
      <c r="X24042" s="19"/>
      <c r="Y24042" s="20"/>
    </row>
    <row r="24043" spans="24:25">
      <c r="X24043" s="19"/>
      <c r="Y24043" s="20"/>
    </row>
    <row r="24044" spans="24:25">
      <c r="X24044" s="19"/>
      <c r="Y24044" s="20"/>
    </row>
    <row r="24045" spans="24:25">
      <c r="X24045" s="19"/>
      <c r="Y24045" s="20"/>
    </row>
    <row r="24046" spans="24:25">
      <c r="X24046" s="19"/>
      <c r="Y24046" s="20"/>
    </row>
    <row r="24047" spans="24:25">
      <c r="X24047" s="19"/>
      <c r="Y24047" s="20"/>
    </row>
    <row r="24048" spans="24:25">
      <c r="X24048" s="19"/>
      <c r="Y24048" s="20"/>
    </row>
    <row r="24049" spans="24:25">
      <c r="X24049" s="19"/>
      <c r="Y24049" s="20"/>
    </row>
    <row r="24050" spans="24:25">
      <c r="X24050" s="19"/>
      <c r="Y24050" s="20"/>
    </row>
    <row r="24051" spans="24:25">
      <c r="X24051" s="19"/>
      <c r="Y24051" s="20"/>
    </row>
    <row r="24052" spans="24:25">
      <c r="X24052" s="19"/>
      <c r="Y24052" s="20"/>
    </row>
    <row r="24053" spans="24:25">
      <c r="X24053" s="19"/>
      <c r="Y24053" s="20"/>
    </row>
    <row r="24054" spans="24:25">
      <c r="X24054" s="19"/>
      <c r="Y24054" s="20"/>
    </row>
    <row r="24055" spans="24:25">
      <c r="X24055" s="19"/>
      <c r="Y24055" s="20"/>
    </row>
    <row r="24056" spans="24:25">
      <c r="X24056" s="19"/>
      <c r="Y24056" s="20"/>
    </row>
    <row r="24057" spans="24:25">
      <c r="X24057" s="19"/>
      <c r="Y24057" s="20"/>
    </row>
    <row r="24058" spans="24:25">
      <c r="X24058" s="19"/>
      <c r="Y24058" s="20"/>
    </row>
    <row r="24059" spans="24:25">
      <c r="X24059" s="19"/>
      <c r="Y24059" s="20"/>
    </row>
    <row r="24060" spans="24:25">
      <c r="X24060" s="19"/>
      <c r="Y24060" s="20"/>
    </row>
    <row r="24061" spans="24:25">
      <c r="X24061" s="19"/>
      <c r="Y24061" s="20"/>
    </row>
    <row r="24062" spans="24:25">
      <c r="X24062" s="19"/>
      <c r="Y24062" s="20"/>
    </row>
    <row r="24063" spans="24:25">
      <c r="X24063" s="19"/>
      <c r="Y24063" s="20"/>
    </row>
    <row r="24064" spans="24:25">
      <c r="X24064" s="19"/>
      <c r="Y24064" s="20"/>
    </row>
    <row r="24065" spans="24:25">
      <c r="X24065" s="19"/>
      <c r="Y24065" s="20"/>
    </row>
    <row r="24066" spans="24:25">
      <c r="X24066" s="19"/>
      <c r="Y24066" s="20"/>
    </row>
    <row r="24067" spans="24:25">
      <c r="X24067" s="19"/>
      <c r="Y24067" s="20"/>
    </row>
    <row r="24068" spans="24:25">
      <c r="X24068" s="19"/>
      <c r="Y24068" s="20"/>
    </row>
    <row r="24069" spans="24:25">
      <c r="X24069" s="19"/>
      <c r="Y24069" s="20"/>
    </row>
    <row r="24070" spans="24:25">
      <c r="X24070" s="19"/>
      <c r="Y24070" s="20"/>
    </row>
    <row r="24071" spans="24:25">
      <c r="X24071" s="19"/>
      <c r="Y24071" s="20"/>
    </row>
    <row r="24072" spans="24:25">
      <c r="X24072" s="19"/>
      <c r="Y24072" s="20"/>
    </row>
    <row r="24073" spans="24:25">
      <c r="X24073" s="19"/>
      <c r="Y24073" s="20"/>
    </row>
    <row r="24074" spans="24:25">
      <c r="X24074" s="19"/>
      <c r="Y24074" s="20"/>
    </row>
    <row r="24075" spans="24:25">
      <c r="X24075" s="19"/>
      <c r="Y24075" s="20"/>
    </row>
    <row r="24076" spans="24:25">
      <c r="X24076" s="19"/>
      <c r="Y24076" s="20"/>
    </row>
    <row r="24077" spans="24:25">
      <c r="X24077" s="19"/>
      <c r="Y24077" s="20"/>
    </row>
    <row r="24078" spans="24:25">
      <c r="X24078" s="19"/>
      <c r="Y24078" s="20"/>
    </row>
    <row r="24079" spans="24:25">
      <c r="X24079" s="19"/>
      <c r="Y24079" s="20"/>
    </row>
    <row r="24080" spans="24:25">
      <c r="X24080" s="19"/>
      <c r="Y24080" s="20"/>
    </row>
    <row r="24081" spans="24:25">
      <c r="X24081" s="19"/>
      <c r="Y24081" s="20"/>
    </row>
    <row r="24082" spans="24:25">
      <c r="X24082" s="19"/>
      <c r="Y24082" s="20"/>
    </row>
    <row r="24083" spans="24:25">
      <c r="X24083" s="19"/>
      <c r="Y24083" s="20"/>
    </row>
    <row r="24084" spans="24:25">
      <c r="X24084" s="19"/>
      <c r="Y24084" s="20"/>
    </row>
    <row r="24085" spans="24:25">
      <c r="X24085" s="19"/>
      <c r="Y24085" s="20"/>
    </row>
    <row r="24086" spans="24:25">
      <c r="X24086" s="19"/>
      <c r="Y24086" s="20"/>
    </row>
    <row r="24087" spans="24:25">
      <c r="X24087" s="19"/>
      <c r="Y24087" s="20"/>
    </row>
    <row r="24088" spans="24:25">
      <c r="X24088" s="19"/>
      <c r="Y24088" s="20"/>
    </row>
    <row r="24089" spans="24:25">
      <c r="X24089" s="19"/>
      <c r="Y24089" s="20"/>
    </row>
    <row r="24090" spans="24:25">
      <c r="X24090" s="19"/>
      <c r="Y24090" s="20"/>
    </row>
    <row r="24091" spans="24:25">
      <c r="X24091" s="19"/>
      <c r="Y24091" s="20"/>
    </row>
    <row r="24092" spans="24:25">
      <c r="X24092" s="19"/>
      <c r="Y24092" s="20"/>
    </row>
    <row r="24093" spans="24:25">
      <c r="X24093" s="19"/>
      <c r="Y24093" s="20"/>
    </row>
    <row r="24094" spans="24:25">
      <c r="X24094" s="19"/>
      <c r="Y24094" s="20"/>
    </row>
    <row r="24095" spans="24:25">
      <c r="X24095" s="19"/>
      <c r="Y24095" s="20"/>
    </row>
    <row r="24096" spans="24:25">
      <c r="X24096" s="19"/>
      <c r="Y24096" s="20"/>
    </row>
    <row r="24097" spans="24:25">
      <c r="X24097" s="19"/>
      <c r="Y24097" s="20"/>
    </row>
    <row r="24098" spans="24:25">
      <c r="X24098" s="19"/>
      <c r="Y24098" s="20"/>
    </row>
    <row r="24099" spans="24:25">
      <c r="X24099" s="19"/>
      <c r="Y24099" s="20"/>
    </row>
    <row r="24100" spans="24:25">
      <c r="X24100" s="19"/>
      <c r="Y24100" s="20"/>
    </row>
    <row r="24101" spans="24:25">
      <c r="X24101" s="19"/>
      <c r="Y24101" s="20"/>
    </row>
    <row r="24102" spans="24:25">
      <c r="X24102" s="19"/>
      <c r="Y24102" s="20"/>
    </row>
    <row r="24103" spans="24:25">
      <c r="X24103" s="19"/>
      <c r="Y24103" s="20"/>
    </row>
    <row r="24104" spans="24:25">
      <c r="X24104" s="19"/>
      <c r="Y24104" s="20"/>
    </row>
    <row r="24105" spans="24:25">
      <c r="X24105" s="19"/>
      <c r="Y24105" s="20"/>
    </row>
    <row r="24106" spans="24:25">
      <c r="X24106" s="19"/>
      <c r="Y24106" s="20"/>
    </row>
    <row r="24107" spans="24:25">
      <c r="X24107" s="19"/>
      <c r="Y24107" s="20"/>
    </row>
    <row r="24108" spans="24:25">
      <c r="X24108" s="19"/>
      <c r="Y24108" s="20"/>
    </row>
    <row r="24109" spans="24:25">
      <c r="X24109" s="19"/>
      <c r="Y24109" s="20"/>
    </row>
    <row r="24110" spans="24:25">
      <c r="X24110" s="19"/>
      <c r="Y24110" s="20"/>
    </row>
    <row r="24111" spans="24:25">
      <c r="X24111" s="19"/>
      <c r="Y24111" s="20"/>
    </row>
    <row r="24112" spans="24:25">
      <c r="X24112" s="19"/>
      <c r="Y24112" s="20"/>
    </row>
    <row r="24113" spans="24:25">
      <c r="X24113" s="19"/>
      <c r="Y24113" s="20"/>
    </row>
    <row r="24114" spans="24:25">
      <c r="X24114" s="19"/>
      <c r="Y24114" s="20"/>
    </row>
    <row r="24115" spans="24:25">
      <c r="X24115" s="19"/>
      <c r="Y24115" s="20"/>
    </row>
    <row r="24116" spans="24:25">
      <c r="X24116" s="19"/>
      <c r="Y24116" s="20"/>
    </row>
    <row r="24117" spans="24:25">
      <c r="X24117" s="19"/>
      <c r="Y24117" s="20"/>
    </row>
    <row r="24118" spans="24:25">
      <c r="X24118" s="19"/>
      <c r="Y24118" s="20"/>
    </row>
    <row r="24119" spans="24:25">
      <c r="X24119" s="19"/>
      <c r="Y24119" s="20"/>
    </row>
    <row r="24120" spans="24:25">
      <c r="X24120" s="19"/>
      <c r="Y24120" s="20"/>
    </row>
    <row r="24121" spans="24:25">
      <c r="X24121" s="19"/>
      <c r="Y24121" s="20"/>
    </row>
    <row r="24122" spans="24:25">
      <c r="X24122" s="19"/>
      <c r="Y24122" s="20"/>
    </row>
    <row r="24123" spans="24:25">
      <c r="X24123" s="19"/>
      <c r="Y24123" s="20"/>
    </row>
    <row r="24124" spans="24:25">
      <c r="X24124" s="19"/>
      <c r="Y24124" s="20"/>
    </row>
    <row r="24125" spans="24:25">
      <c r="X24125" s="19"/>
      <c r="Y24125" s="20"/>
    </row>
    <row r="24126" spans="24:25">
      <c r="X24126" s="19"/>
      <c r="Y24126" s="20"/>
    </row>
    <row r="24127" spans="24:25">
      <c r="X24127" s="19"/>
      <c r="Y24127" s="20"/>
    </row>
    <row r="24128" spans="24:25">
      <c r="X24128" s="19"/>
      <c r="Y24128" s="20"/>
    </row>
    <row r="24129" spans="24:25">
      <c r="X24129" s="19"/>
      <c r="Y24129" s="20"/>
    </row>
    <row r="24130" spans="24:25">
      <c r="X24130" s="19"/>
      <c r="Y24130" s="20"/>
    </row>
    <row r="24131" spans="24:25">
      <c r="X24131" s="19"/>
      <c r="Y24131" s="20"/>
    </row>
    <row r="24132" spans="24:25">
      <c r="X24132" s="19"/>
      <c r="Y24132" s="20"/>
    </row>
    <row r="24133" spans="24:25">
      <c r="X24133" s="19"/>
      <c r="Y24133" s="20"/>
    </row>
    <row r="24134" spans="24:25">
      <c r="X24134" s="19"/>
      <c r="Y24134" s="20"/>
    </row>
    <row r="24135" spans="24:25">
      <c r="X24135" s="19"/>
      <c r="Y24135" s="20"/>
    </row>
    <row r="24136" spans="24:25">
      <c r="X24136" s="19"/>
      <c r="Y24136" s="20"/>
    </row>
    <row r="24137" spans="24:25">
      <c r="X24137" s="19"/>
      <c r="Y24137" s="20"/>
    </row>
    <row r="24138" spans="24:25">
      <c r="X24138" s="19"/>
      <c r="Y24138" s="20"/>
    </row>
    <row r="24139" spans="24:25">
      <c r="X24139" s="19"/>
      <c r="Y24139" s="20"/>
    </row>
    <row r="24140" spans="24:25">
      <c r="X24140" s="19"/>
      <c r="Y24140" s="20"/>
    </row>
    <row r="24141" spans="24:25">
      <c r="X24141" s="19"/>
      <c r="Y24141" s="20"/>
    </row>
    <row r="24142" spans="24:25">
      <c r="X24142" s="19"/>
      <c r="Y24142" s="20"/>
    </row>
    <row r="24143" spans="24:25">
      <c r="X24143" s="19"/>
      <c r="Y24143" s="20"/>
    </row>
    <row r="24144" spans="24:25">
      <c r="X24144" s="19"/>
      <c r="Y24144" s="20"/>
    </row>
    <row r="24145" spans="24:25">
      <c r="X24145" s="19"/>
      <c r="Y24145" s="20"/>
    </row>
    <row r="24146" spans="24:25">
      <c r="X24146" s="19"/>
      <c r="Y24146" s="20"/>
    </row>
    <row r="24147" spans="24:25">
      <c r="X24147" s="19"/>
      <c r="Y24147" s="20"/>
    </row>
    <row r="24148" spans="24:25">
      <c r="X24148" s="19"/>
      <c r="Y24148" s="20"/>
    </row>
    <row r="24149" spans="24:25">
      <c r="X24149" s="19"/>
      <c r="Y24149" s="20"/>
    </row>
    <row r="24150" spans="24:25">
      <c r="X24150" s="19"/>
      <c r="Y24150" s="20"/>
    </row>
    <row r="24151" spans="24:25">
      <c r="X24151" s="19"/>
      <c r="Y24151" s="20"/>
    </row>
    <row r="24152" spans="24:25">
      <c r="X24152" s="19"/>
      <c r="Y24152" s="20"/>
    </row>
    <row r="24153" spans="24:25">
      <c r="X24153" s="19"/>
      <c r="Y24153" s="20"/>
    </row>
    <row r="24154" spans="24:25">
      <c r="X24154" s="19"/>
      <c r="Y24154" s="20"/>
    </row>
    <row r="24155" spans="24:25">
      <c r="X24155" s="19"/>
      <c r="Y24155" s="20"/>
    </row>
    <row r="24156" spans="24:25">
      <c r="X24156" s="19"/>
      <c r="Y24156" s="20"/>
    </row>
    <row r="24157" spans="24:25">
      <c r="X24157" s="19"/>
      <c r="Y24157" s="20"/>
    </row>
    <row r="24158" spans="24:25">
      <c r="X24158" s="19"/>
      <c r="Y24158" s="20"/>
    </row>
    <row r="24159" spans="24:25">
      <c r="X24159" s="19"/>
      <c r="Y24159" s="20"/>
    </row>
    <row r="24160" spans="24:25">
      <c r="X24160" s="19"/>
      <c r="Y24160" s="20"/>
    </row>
    <row r="24161" spans="24:25">
      <c r="X24161" s="19"/>
      <c r="Y24161" s="20"/>
    </row>
    <row r="24162" spans="24:25">
      <c r="X24162" s="19"/>
      <c r="Y24162" s="20"/>
    </row>
    <row r="24163" spans="24:25">
      <c r="X24163" s="19"/>
      <c r="Y24163" s="20"/>
    </row>
    <row r="24164" spans="24:25">
      <c r="X24164" s="19"/>
      <c r="Y24164" s="20"/>
    </row>
    <row r="24165" spans="24:25">
      <c r="X24165" s="19"/>
      <c r="Y24165" s="20"/>
    </row>
    <row r="24166" spans="24:25">
      <c r="X24166" s="19"/>
      <c r="Y24166" s="20"/>
    </row>
    <row r="24167" spans="24:25">
      <c r="X24167" s="19"/>
      <c r="Y24167" s="20"/>
    </row>
    <row r="24168" spans="24:25">
      <c r="X24168" s="19"/>
      <c r="Y24168" s="20"/>
    </row>
    <row r="24169" spans="24:25">
      <c r="X24169" s="19"/>
      <c r="Y24169" s="20"/>
    </row>
    <row r="24170" spans="24:25">
      <c r="X24170" s="19"/>
      <c r="Y24170" s="20"/>
    </row>
    <row r="24171" spans="24:25">
      <c r="X24171" s="19"/>
      <c r="Y24171" s="20"/>
    </row>
    <row r="24172" spans="24:25">
      <c r="X24172" s="19"/>
      <c r="Y24172" s="20"/>
    </row>
    <row r="24173" spans="24:25">
      <c r="X24173" s="19"/>
      <c r="Y24173" s="20"/>
    </row>
    <row r="24174" spans="24:25">
      <c r="X24174" s="19"/>
      <c r="Y24174" s="20"/>
    </row>
    <row r="24175" spans="24:25">
      <c r="X24175" s="19"/>
      <c r="Y24175" s="20"/>
    </row>
    <row r="24176" spans="24:25">
      <c r="X24176" s="19"/>
      <c r="Y24176" s="20"/>
    </row>
    <row r="24177" spans="24:25">
      <c r="X24177" s="19"/>
      <c r="Y24177" s="20"/>
    </row>
    <row r="24178" spans="24:25">
      <c r="X24178" s="19"/>
      <c r="Y24178" s="20"/>
    </row>
    <row r="24179" spans="24:25">
      <c r="X24179" s="19"/>
      <c r="Y24179" s="20"/>
    </row>
    <row r="24180" spans="24:25">
      <c r="X24180" s="19"/>
      <c r="Y24180" s="20"/>
    </row>
    <row r="24181" spans="24:25">
      <c r="X24181" s="19"/>
      <c r="Y24181" s="20"/>
    </row>
    <row r="24182" spans="24:25">
      <c r="X24182" s="19"/>
      <c r="Y24182" s="20"/>
    </row>
    <row r="24183" spans="24:25">
      <c r="X24183" s="19"/>
      <c r="Y24183" s="20"/>
    </row>
    <row r="24184" spans="24:25">
      <c r="X24184" s="19"/>
      <c r="Y24184" s="20"/>
    </row>
    <row r="24185" spans="24:25">
      <c r="X24185" s="19"/>
      <c r="Y24185" s="20"/>
    </row>
    <row r="24186" spans="24:25">
      <c r="X24186" s="19"/>
      <c r="Y24186" s="20"/>
    </row>
    <row r="24187" spans="24:25">
      <c r="X24187" s="19"/>
      <c r="Y24187" s="20"/>
    </row>
    <row r="24188" spans="24:25">
      <c r="X24188" s="19"/>
      <c r="Y24188" s="20"/>
    </row>
    <row r="24189" spans="24:25">
      <c r="X24189" s="19"/>
      <c r="Y24189" s="20"/>
    </row>
    <row r="24190" spans="24:25">
      <c r="X24190" s="19"/>
      <c r="Y24190" s="20"/>
    </row>
    <row r="24191" spans="24:25">
      <c r="X24191" s="19"/>
      <c r="Y24191" s="20"/>
    </row>
    <row r="24192" spans="24:25">
      <c r="X24192" s="19"/>
      <c r="Y24192" s="20"/>
    </row>
    <row r="24193" spans="24:25">
      <c r="X24193" s="19"/>
      <c r="Y24193" s="20"/>
    </row>
    <row r="24194" spans="24:25">
      <c r="X24194" s="19"/>
      <c r="Y24194" s="20"/>
    </row>
    <row r="24195" spans="24:25">
      <c r="X24195" s="19"/>
      <c r="Y24195" s="20"/>
    </row>
    <row r="24196" spans="24:25">
      <c r="X24196" s="19"/>
      <c r="Y24196" s="20"/>
    </row>
    <row r="24197" spans="24:25">
      <c r="X24197" s="19"/>
      <c r="Y24197" s="20"/>
    </row>
    <row r="24198" spans="24:25">
      <c r="X24198" s="19"/>
      <c r="Y24198" s="20"/>
    </row>
    <row r="24199" spans="24:25">
      <c r="X24199" s="19"/>
      <c r="Y24199" s="20"/>
    </row>
    <row r="24200" spans="24:25">
      <c r="X24200" s="19"/>
      <c r="Y24200" s="20"/>
    </row>
    <row r="24201" spans="24:25">
      <c r="X24201" s="19"/>
      <c r="Y24201" s="20"/>
    </row>
    <row r="24202" spans="24:25">
      <c r="X24202" s="19"/>
      <c r="Y24202" s="20"/>
    </row>
    <row r="24203" spans="24:25">
      <c r="X24203" s="19"/>
      <c r="Y24203" s="20"/>
    </row>
    <row r="24204" spans="24:25">
      <c r="X24204" s="19"/>
      <c r="Y24204" s="20"/>
    </row>
    <row r="24205" spans="24:25">
      <c r="X24205" s="19"/>
      <c r="Y24205" s="20"/>
    </row>
    <row r="24206" spans="24:25">
      <c r="X24206" s="19"/>
      <c r="Y24206" s="20"/>
    </row>
    <row r="24207" spans="24:25">
      <c r="X24207" s="19"/>
      <c r="Y24207" s="20"/>
    </row>
    <row r="24208" spans="24:25">
      <c r="X24208" s="19"/>
      <c r="Y24208" s="20"/>
    </row>
    <row r="24209" spans="24:25">
      <c r="X24209" s="19"/>
      <c r="Y24209" s="20"/>
    </row>
    <row r="24210" spans="24:25">
      <c r="X24210" s="19"/>
      <c r="Y24210" s="20"/>
    </row>
    <row r="24211" spans="24:25">
      <c r="X24211" s="19"/>
      <c r="Y24211" s="20"/>
    </row>
    <row r="24212" spans="24:25">
      <c r="X24212" s="19"/>
      <c r="Y24212" s="20"/>
    </row>
    <row r="24213" spans="24:25">
      <c r="X24213" s="19"/>
      <c r="Y24213" s="20"/>
    </row>
    <row r="24214" spans="24:25">
      <c r="X24214" s="19"/>
      <c r="Y24214" s="20"/>
    </row>
    <row r="24215" spans="24:25">
      <c r="X24215" s="19"/>
      <c r="Y24215" s="20"/>
    </row>
    <row r="24216" spans="24:25">
      <c r="X24216" s="19"/>
      <c r="Y24216" s="20"/>
    </row>
    <row r="24217" spans="24:25">
      <c r="X24217" s="19"/>
      <c r="Y24217" s="20"/>
    </row>
    <row r="24218" spans="24:25">
      <c r="X24218" s="19"/>
      <c r="Y24218" s="20"/>
    </row>
    <row r="24219" spans="24:25">
      <c r="X24219" s="19"/>
      <c r="Y24219" s="20"/>
    </row>
    <row r="24220" spans="24:25">
      <c r="X24220" s="19"/>
      <c r="Y24220" s="20"/>
    </row>
    <row r="24221" spans="24:25">
      <c r="X24221" s="19"/>
      <c r="Y24221" s="20"/>
    </row>
    <row r="24222" spans="24:25">
      <c r="X24222" s="19"/>
      <c r="Y24222" s="20"/>
    </row>
    <row r="24223" spans="24:25">
      <c r="X24223" s="19"/>
      <c r="Y24223" s="20"/>
    </row>
    <row r="24224" spans="24:25">
      <c r="X24224" s="19"/>
      <c r="Y24224" s="20"/>
    </row>
    <row r="24225" spans="24:25">
      <c r="X24225" s="19"/>
      <c r="Y24225" s="20"/>
    </row>
    <row r="24226" spans="24:25">
      <c r="X24226" s="19"/>
      <c r="Y24226" s="20"/>
    </row>
    <row r="24227" spans="24:25">
      <c r="X24227" s="19"/>
      <c r="Y24227" s="20"/>
    </row>
    <row r="24228" spans="24:25">
      <c r="X24228" s="19"/>
      <c r="Y24228" s="20"/>
    </row>
    <row r="24229" spans="24:25">
      <c r="X24229" s="19"/>
      <c r="Y24229" s="20"/>
    </row>
    <row r="24230" spans="24:25">
      <c r="X24230" s="19"/>
      <c r="Y24230" s="20"/>
    </row>
    <row r="24231" spans="24:25">
      <c r="X24231" s="19"/>
      <c r="Y24231" s="20"/>
    </row>
    <row r="24232" spans="24:25">
      <c r="X24232" s="19"/>
      <c r="Y24232" s="20"/>
    </row>
    <row r="24233" spans="24:25">
      <c r="X24233" s="19"/>
      <c r="Y24233" s="20"/>
    </row>
    <row r="24234" spans="24:25">
      <c r="X24234" s="19"/>
      <c r="Y24234" s="20"/>
    </row>
    <row r="24235" spans="24:25">
      <c r="X24235" s="19"/>
      <c r="Y24235" s="20"/>
    </row>
    <row r="24236" spans="24:25">
      <c r="X24236" s="19"/>
      <c r="Y24236" s="20"/>
    </row>
    <row r="24237" spans="24:25">
      <c r="X24237" s="19"/>
      <c r="Y24237" s="20"/>
    </row>
    <row r="24238" spans="24:25">
      <c r="X24238" s="19"/>
      <c r="Y24238" s="20"/>
    </row>
    <row r="24239" spans="24:25">
      <c r="X24239" s="19"/>
      <c r="Y24239" s="20"/>
    </row>
    <row r="24240" spans="24:25">
      <c r="X24240" s="19"/>
      <c r="Y24240" s="20"/>
    </row>
    <row r="24241" spans="24:25">
      <c r="X24241" s="19"/>
      <c r="Y24241" s="20"/>
    </row>
    <row r="24242" spans="24:25">
      <c r="X24242" s="19"/>
      <c r="Y24242" s="20"/>
    </row>
    <row r="24243" spans="24:25">
      <c r="X24243" s="19"/>
      <c r="Y24243" s="20"/>
    </row>
    <row r="24244" spans="24:25">
      <c r="X24244" s="19"/>
      <c r="Y24244" s="20"/>
    </row>
    <row r="24245" spans="24:25">
      <c r="X24245" s="19"/>
      <c r="Y24245" s="20"/>
    </row>
    <row r="24246" spans="24:25">
      <c r="X24246" s="19"/>
      <c r="Y24246" s="20"/>
    </row>
    <row r="24247" spans="24:25">
      <c r="X24247" s="19"/>
      <c r="Y24247" s="20"/>
    </row>
    <row r="24248" spans="24:25">
      <c r="X24248" s="19"/>
      <c r="Y24248" s="20"/>
    </row>
    <row r="24249" spans="24:25">
      <c r="X24249" s="19"/>
      <c r="Y24249" s="20"/>
    </row>
    <row r="24250" spans="24:25">
      <c r="X24250" s="19"/>
      <c r="Y24250" s="20"/>
    </row>
    <row r="24251" spans="24:25">
      <c r="X24251" s="19"/>
      <c r="Y24251" s="20"/>
    </row>
    <row r="24252" spans="24:25">
      <c r="X24252" s="19"/>
      <c r="Y24252" s="20"/>
    </row>
    <row r="24253" spans="24:25">
      <c r="X24253" s="19"/>
      <c r="Y24253" s="20"/>
    </row>
    <row r="24254" spans="24:25">
      <c r="X24254" s="19"/>
      <c r="Y24254" s="20"/>
    </row>
    <row r="24255" spans="24:25">
      <c r="X24255" s="19"/>
      <c r="Y24255" s="20"/>
    </row>
    <row r="24256" spans="24:25">
      <c r="X24256" s="19"/>
      <c r="Y24256" s="20"/>
    </row>
    <row r="24257" spans="24:25">
      <c r="X24257" s="19"/>
      <c r="Y24257" s="20"/>
    </row>
    <row r="24258" spans="24:25">
      <c r="X24258" s="19"/>
      <c r="Y24258" s="20"/>
    </row>
    <row r="24259" spans="24:25">
      <c r="X24259" s="19"/>
      <c r="Y24259" s="20"/>
    </row>
    <row r="24260" spans="24:25">
      <c r="X24260" s="19"/>
      <c r="Y24260" s="20"/>
    </row>
    <row r="24261" spans="24:25">
      <c r="X24261" s="19"/>
      <c r="Y24261" s="20"/>
    </row>
    <row r="24262" spans="24:25">
      <c r="X24262" s="19"/>
      <c r="Y24262" s="20"/>
    </row>
    <row r="24263" spans="24:25">
      <c r="X24263" s="19"/>
      <c r="Y24263" s="20"/>
    </row>
    <row r="24264" spans="24:25">
      <c r="X24264" s="19"/>
      <c r="Y24264" s="20"/>
    </row>
    <row r="24265" spans="24:25">
      <c r="X24265" s="19"/>
      <c r="Y24265" s="20"/>
    </row>
    <row r="24266" spans="24:25">
      <c r="X24266" s="19"/>
      <c r="Y24266" s="20"/>
    </row>
    <row r="24267" spans="24:25">
      <c r="X24267" s="19"/>
      <c r="Y24267" s="20"/>
    </row>
    <row r="24268" spans="24:25">
      <c r="X24268" s="19"/>
      <c r="Y24268" s="20"/>
    </row>
    <row r="24269" spans="24:25">
      <c r="X24269" s="19"/>
      <c r="Y24269" s="20"/>
    </row>
    <row r="24270" spans="24:25">
      <c r="X24270" s="19"/>
      <c r="Y24270" s="20"/>
    </row>
    <row r="24271" spans="24:25">
      <c r="X24271" s="19"/>
      <c r="Y24271" s="20"/>
    </row>
    <row r="24272" spans="24:25">
      <c r="X24272" s="19"/>
      <c r="Y24272" s="20"/>
    </row>
    <row r="24273" spans="24:25">
      <c r="X24273" s="19"/>
      <c r="Y24273" s="20"/>
    </row>
    <row r="24274" spans="24:25">
      <c r="X24274" s="19"/>
      <c r="Y24274" s="20"/>
    </row>
    <row r="24275" spans="24:25">
      <c r="X24275" s="19"/>
      <c r="Y24275" s="20"/>
    </row>
    <row r="24276" spans="24:25">
      <c r="X24276" s="19"/>
      <c r="Y24276" s="20"/>
    </row>
    <row r="24277" spans="24:25">
      <c r="X24277" s="19"/>
      <c r="Y24277" s="20"/>
    </row>
    <row r="24278" spans="24:25">
      <c r="X24278" s="19"/>
      <c r="Y24278" s="20"/>
    </row>
    <row r="24279" spans="24:25">
      <c r="X24279" s="19"/>
      <c r="Y24279" s="20"/>
    </row>
    <row r="24280" spans="24:25">
      <c r="X24280" s="19"/>
      <c r="Y24280" s="20"/>
    </row>
    <row r="24281" spans="24:25">
      <c r="X24281" s="19"/>
      <c r="Y24281" s="20"/>
    </row>
    <row r="24282" spans="24:25">
      <c r="X24282" s="19"/>
      <c r="Y24282" s="20"/>
    </row>
    <row r="24283" spans="24:25">
      <c r="X24283" s="19"/>
      <c r="Y24283" s="20"/>
    </row>
    <row r="24284" spans="24:25">
      <c r="X24284" s="19"/>
      <c r="Y24284" s="20"/>
    </row>
    <row r="24285" spans="24:25">
      <c r="X24285" s="19"/>
      <c r="Y24285" s="20"/>
    </row>
    <row r="24286" spans="24:25">
      <c r="X24286" s="19"/>
      <c r="Y24286" s="20"/>
    </row>
    <row r="24287" spans="24:25">
      <c r="X24287" s="19"/>
      <c r="Y24287" s="20"/>
    </row>
    <row r="24288" spans="24:25">
      <c r="X24288" s="19"/>
      <c r="Y24288" s="20"/>
    </row>
    <row r="24289" spans="24:25">
      <c r="X24289" s="19"/>
      <c r="Y24289" s="20"/>
    </row>
    <row r="24290" spans="24:25">
      <c r="X24290" s="19"/>
      <c r="Y24290" s="20"/>
    </row>
    <row r="24291" spans="24:25">
      <c r="X24291" s="19"/>
      <c r="Y24291" s="20"/>
    </row>
    <row r="24292" spans="24:25">
      <c r="X24292" s="19"/>
      <c r="Y24292" s="20"/>
    </row>
    <row r="24293" spans="24:25">
      <c r="X24293" s="19"/>
      <c r="Y24293" s="20"/>
    </row>
    <row r="24294" spans="24:25">
      <c r="X24294" s="19"/>
      <c r="Y24294" s="20"/>
    </row>
    <row r="24295" spans="24:25">
      <c r="X24295" s="19"/>
      <c r="Y24295" s="20"/>
    </row>
    <row r="24296" spans="24:25">
      <c r="X24296" s="19"/>
      <c r="Y24296" s="20"/>
    </row>
    <row r="24297" spans="24:25">
      <c r="X24297" s="19"/>
      <c r="Y24297" s="20"/>
    </row>
    <row r="24298" spans="24:25">
      <c r="X24298" s="19"/>
      <c r="Y24298" s="20"/>
    </row>
    <row r="24299" spans="24:25">
      <c r="X24299" s="19"/>
      <c r="Y24299" s="20"/>
    </row>
    <row r="24300" spans="24:25">
      <c r="X24300" s="19"/>
      <c r="Y24300" s="20"/>
    </row>
    <row r="24301" spans="24:25">
      <c r="X24301" s="19"/>
      <c r="Y24301" s="20"/>
    </row>
    <row r="24302" spans="24:25">
      <c r="X24302" s="19"/>
      <c r="Y24302" s="20"/>
    </row>
    <row r="24303" spans="24:25">
      <c r="X24303" s="19"/>
      <c r="Y24303" s="20"/>
    </row>
    <row r="24304" spans="24:25">
      <c r="X24304" s="19"/>
      <c r="Y24304" s="20"/>
    </row>
    <row r="24305" spans="24:25">
      <c r="X24305" s="19"/>
      <c r="Y24305" s="20"/>
    </row>
    <row r="24306" spans="24:25">
      <c r="X24306" s="19"/>
      <c r="Y24306" s="20"/>
    </row>
    <row r="24307" spans="24:25">
      <c r="X24307" s="19"/>
      <c r="Y24307" s="20"/>
    </row>
    <row r="24308" spans="24:25">
      <c r="X24308" s="19"/>
      <c r="Y24308" s="20"/>
    </row>
    <row r="24309" spans="24:25">
      <c r="X24309" s="19"/>
      <c r="Y24309" s="20"/>
    </row>
    <row r="24310" spans="24:25">
      <c r="X24310" s="19"/>
      <c r="Y24310" s="20"/>
    </row>
    <row r="24311" spans="24:25">
      <c r="X24311" s="19"/>
      <c r="Y24311" s="20"/>
    </row>
    <row r="24312" spans="24:25">
      <c r="X24312" s="19"/>
      <c r="Y24312" s="20"/>
    </row>
    <row r="24313" spans="24:25">
      <c r="X24313" s="19"/>
      <c r="Y24313" s="20"/>
    </row>
    <row r="24314" spans="24:25">
      <c r="X24314" s="19"/>
      <c r="Y24314" s="20"/>
    </row>
    <row r="24315" spans="24:25">
      <c r="X24315" s="19"/>
      <c r="Y24315" s="20"/>
    </row>
    <row r="24316" spans="24:25">
      <c r="X24316" s="19"/>
      <c r="Y24316" s="20"/>
    </row>
    <row r="24317" spans="24:25">
      <c r="X24317" s="19"/>
      <c r="Y24317" s="20"/>
    </row>
    <row r="24318" spans="24:25">
      <c r="X24318" s="19"/>
      <c r="Y24318" s="20"/>
    </row>
    <row r="24319" spans="24:25">
      <c r="X24319" s="19"/>
      <c r="Y24319" s="20"/>
    </row>
    <row r="24320" spans="24:25">
      <c r="X24320" s="19"/>
      <c r="Y24320" s="20"/>
    </row>
    <row r="24321" spans="24:25">
      <c r="X24321" s="19"/>
      <c r="Y24321" s="20"/>
    </row>
    <row r="24322" spans="24:25">
      <c r="X24322" s="19"/>
      <c r="Y24322" s="20"/>
    </row>
    <row r="24323" spans="24:25">
      <c r="X24323" s="19"/>
      <c r="Y24323" s="20"/>
    </row>
    <row r="24324" spans="24:25">
      <c r="X24324" s="19"/>
      <c r="Y24324" s="20"/>
    </row>
    <row r="24325" spans="24:25">
      <c r="X24325" s="19"/>
      <c r="Y24325" s="20"/>
    </row>
    <row r="24326" spans="24:25">
      <c r="X24326" s="19"/>
      <c r="Y24326" s="20"/>
    </row>
    <row r="24327" spans="24:25">
      <c r="X24327" s="19"/>
      <c r="Y24327" s="20"/>
    </row>
    <row r="24328" spans="24:25">
      <c r="X24328" s="19"/>
      <c r="Y24328" s="20"/>
    </row>
    <row r="24329" spans="24:25">
      <c r="X24329" s="19"/>
      <c r="Y24329" s="20"/>
    </row>
    <row r="24330" spans="24:25">
      <c r="X24330" s="19"/>
      <c r="Y24330" s="20"/>
    </row>
    <row r="24331" spans="24:25">
      <c r="X24331" s="19"/>
      <c r="Y24331" s="20"/>
    </row>
    <row r="24332" spans="24:25">
      <c r="X24332" s="19"/>
      <c r="Y24332" s="20"/>
    </row>
    <row r="24333" spans="24:25">
      <c r="X24333" s="19"/>
      <c r="Y24333" s="20"/>
    </row>
    <row r="24334" spans="24:25">
      <c r="X24334" s="19"/>
      <c r="Y24334" s="20"/>
    </row>
    <row r="24335" spans="24:25">
      <c r="X24335" s="19"/>
      <c r="Y24335" s="20"/>
    </row>
    <row r="24336" spans="24:25">
      <c r="X24336" s="19"/>
      <c r="Y24336" s="20"/>
    </row>
    <row r="24337" spans="24:25">
      <c r="X24337" s="19"/>
      <c r="Y24337" s="20"/>
    </row>
    <row r="24338" spans="24:25">
      <c r="X24338" s="19"/>
      <c r="Y24338" s="20"/>
    </row>
    <row r="24339" spans="24:25">
      <c r="X24339" s="19"/>
      <c r="Y24339" s="20"/>
    </row>
    <row r="24340" spans="24:25">
      <c r="X24340" s="19"/>
      <c r="Y24340" s="20"/>
    </row>
    <row r="24341" spans="24:25">
      <c r="X24341" s="19"/>
      <c r="Y24341" s="20"/>
    </row>
    <row r="24342" spans="24:25">
      <c r="X24342" s="19"/>
      <c r="Y24342" s="20"/>
    </row>
    <row r="24343" spans="24:25">
      <c r="X24343" s="19"/>
      <c r="Y24343" s="20"/>
    </row>
    <row r="24344" spans="24:25">
      <c r="X24344" s="19"/>
      <c r="Y24344" s="20"/>
    </row>
    <row r="24345" spans="24:25">
      <c r="X24345" s="19"/>
      <c r="Y24345" s="20"/>
    </row>
    <row r="24346" spans="24:25">
      <c r="X24346" s="19"/>
      <c r="Y24346" s="20"/>
    </row>
    <row r="24347" spans="24:25">
      <c r="X24347" s="19"/>
      <c r="Y24347" s="20"/>
    </row>
    <row r="24348" spans="24:25">
      <c r="X24348" s="19"/>
      <c r="Y24348" s="20"/>
    </row>
    <row r="24349" spans="24:25">
      <c r="X24349" s="19"/>
      <c r="Y24349" s="20"/>
    </row>
    <row r="24350" spans="24:25">
      <c r="X24350" s="19"/>
      <c r="Y24350" s="20"/>
    </row>
    <row r="24351" spans="24:25">
      <c r="X24351" s="19"/>
      <c r="Y24351" s="20"/>
    </row>
    <row r="24352" spans="24:25">
      <c r="X24352" s="19"/>
      <c r="Y24352" s="20"/>
    </row>
    <row r="24353" spans="24:25">
      <c r="X24353" s="19"/>
      <c r="Y24353" s="20"/>
    </row>
    <row r="24354" spans="24:25">
      <c r="X24354" s="19"/>
      <c r="Y24354" s="20"/>
    </row>
    <row r="24355" spans="24:25">
      <c r="X24355" s="19"/>
      <c r="Y24355" s="20"/>
    </row>
    <row r="24356" spans="24:25">
      <c r="X24356" s="19"/>
      <c r="Y24356" s="20"/>
    </row>
    <row r="24357" spans="24:25">
      <c r="X24357" s="19"/>
      <c r="Y24357" s="20"/>
    </row>
    <row r="24358" spans="24:25">
      <c r="X24358" s="19"/>
      <c r="Y24358" s="20"/>
    </row>
    <row r="24359" spans="24:25">
      <c r="X24359" s="19"/>
      <c r="Y24359" s="20"/>
    </row>
    <row r="24360" spans="24:25">
      <c r="X24360" s="19"/>
      <c r="Y24360" s="20"/>
    </row>
    <row r="24361" spans="24:25">
      <c r="X24361" s="19"/>
      <c r="Y24361" s="20"/>
    </row>
    <row r="24362" spans="24:25">
      <c r="X24362" s="19"/>
      <c r="Y24362" s="20"/>
    </row>
    <row r="24363" spans="24:25">
      <c r="X24363" s="19"/>
      <c r="Y24363" s="20"/>
    </row>
    <row r="24364" spans="24:25">
      <c r="X24364" s="19"/>
      <c r="Y24364" s="20"/>
    </row>
    <row r="24365" spans="24:25">
      <c r="X24365" s="19"/>
      <c r="Y24365" s="20"/>
    </row>
    <row r="24366" spans="24:25">
      <c r="X24366" s="19"/>
      <c r="Y24366" s="20"/>
    </row>
    <row r="24367" spans="24:25">
      <c r="X24367" s="19"/>
      <c r="Y24367" s="20"/>
    </row>
    <row r="24368" spans="24:25">
      <c r="X24368" s="19"/>
      <c r="Y24368" s="20"/>
    </row>
    <row r="24369" spans="24:25">
      <c r="X24369" s="19"/>
      <c r="Y24369" s="20"/>
    </row>
    <row r="24370" spans="24:25">
      <c r="X24370" s="19"/>
      <c r="Y24370" s="20"/>
    </row>
    <row r="24371" spans="24:25">
      <c r="X24371" s="19"/>
      <c r="Y24371" s="20"/>
    </row>
    <row r="24372" spans="24:25">
      <c r="X24372" s="19"/>
      <c r="Y24372" s="20"/>
    </row>
    <row r="24373" spans="24:25">
      <c r="X24373" s="19"/>
      <c r="Y24373" s="20"/>
    </row>
    <row r="24374" spans="24:25">
      <c r="X24374" s="19"/>
      <c r="Y24374" s="20"/>
    </row>
    <row r="24375" spans="24:25">
      <c r="X24375" s="19"/>
      <c r="Y24375" s="20"/>
    </row>
    <row r="24376" spans="24:25">
      <c r="X24376" s="19"/>
      <c r="Y24376" s="20"/>
    </row>
    <row r="24377" spans="24:25">
      <c r="X24377" s="19"/>
      <c r="Y24377" s="20"/>
    </row>
    <row r="24378" spans="24:25">
      <c r="X24378" s="19"/>
      <c r="Y24378" s="20"/>
    </row>
    <row r="24379" spans="24:25">
      <c r="X24379" s="19"/>
      <c r="Y24379" s="20"/>
    </row>
    <row r="24380" spans="24:25">
      <c r="X24380" s="19"/>
      <c r="Y24380" s="20"/>
    </row>
    <row r="24381" spans="24:25">
      <c r="X24381" s="19"/>
      <c r="Y24381" s="20"/>
    </row>
    <row r="24382" spans="24:25">
      <c r="X24382" s="19"/>
      <c r="Y24382" s="20"/>
    </row>
    <row r="24383" spans="24:25">
      <c r="X24383" s="19"/>
      <c r="Y24383" s="20"/>
    </row>
    <row r="24384" spans="24:25">
      <c r="X24384" s="19"/>
      <c r="Y24384" s="20"/>
    </row>
    <row r="24385" spans="24:25">
      <c r="X24385" s="19"/>
      <c r="Y24385" s="20"/>
    </row>
    <row r="24386" spans="24:25">
      <c r="X24386" s="19"/>
      <c r="Y24386" s="20"/>
    </row>
    <row r="24387" spans="24:25">
      <c r="X24387" s="19"/>
      <c r="Y24387" s="20"/>
    </row>
    <row r="24388" spans="24:25">
      <c r="X24388" s="19"/>
      <c r="Y24388" s="20"/>
    </row>
    <row r="24389" spans="24:25">
      <c r="X24389" s="19"/>
      <c r="Y24389" s="20"/>
    </row>
    <row r="24390" spans="24:25">
      <c r="X24390" s="19"/>
      <c r="Y24390" s="20"/>
    </row>
    <row r="24391" spans="24:25">
      <c r="X24391" s="19"/>
      <c r="Y24391" s="20"/>
    </row>
    <row r="24392" spans="24:25">
      <c r="X24392" s="19"/>
      <c r="Y24392" s="20"/>
    </row>
    <row r="24393" spans="24:25">
      <c r="X24393" s="19"/>
      <c r="Y24393" s="20"/>
    </row>
    <row r="24394" spans="24:25">
      <c r="X24394" s="19"/>
      <c r="Y24394" s="20"/>
    </row>
    <row r="24395" spans="24:25">
      <c r="X24395" s="19"/>
      <c r="Y24395" s="20"/>
    </row>
    <row r="24396" spans="24:25">
      <c r="X24396" s="19"/>
      <c r="Y24396" s="20"/>
    </row>
    <row r="24397" spans="24:25">
      <c r="X24397" s="19"/>
      <c r="Y24397" s="20"/>
    </row>
    <row r="24398" spans="24:25">
      <c r="X24398" s="19"/>
      <c r="Y24398" s="20"/>
    </row>
    <row r="24399" spans="24:25">
      <c r="X24399" s="19"/>
      <c r="Y24399" s="20"/>
    </row>
    <row r="24400" spans="24:25">
      <c r="X24400" s="19"/>
      <c r="Y24400" s="20"/>
    </row>
    <row r="24401" spans="24:25">
      <c r="X24401" s="19"/>
      <c r="Y24401" s="20"/>
    </row>
    <row r="24402" spans="24:25">
      <c r="X24402" s="19"/>
      <c r="Y24402" s="20"/>
    </row>
    <row r="24403" spans="24:25">
      <c r="X24403" s="19"/>
      <c r="Y24403" s="20"/>
    </row>
    <row r="24404" spans="24:25">
      <c r="X24404" s="19"/>
      <c r="Y24404" s="20"/>
    </row>
    <row r="24405" spans="24:25">
      <c r="X24405" s="19"/>
      <c r="Y24405" s="20"/>
    </row>
    <row r="24406" spans="24:25">
      <c r="X24406" s="19"/>
      <c r="Y24406" s="20"/>
    </row>
    <row r="24407" spans="24:25">
      <c r="X24407" s="19"/>
      <c r="Y24407" s="20"/>
    </row>
    <row r="24408" spans="24:25">
      <c r="X24408" s="19"/>
      <c r="Y24408" s="20"/>
    </row>
    <row r="24409" spans="24:25">
      <c r="X24409" s="19"/>
      <c r="Y24409" s="20"/>
    </row>
    <row r="24410" spans="24:25">
      <c r="X24410" s="19"/>
      <c r="Y24410" s="20"/>
    </row>
    <row r="24411" spans="24:25">
      <c r="X24411" s="19"/>
      <c r="Y24411" s="20"/>
    </row>
    <row r="24412" spans="24:25">
      <c r="X24412" s="19"/>
      <c r="Y24412" s="20"/>
    </row>
    <row r="24413" spans="24:25">
      <c r="X24413" s="19"/>
      <c r="Y24413" s="20"/>
    </row>
    <row r="24414" spans="24:25">
      <c r="X24414" s="19"/>
      <c r="Y24414" s="20"/>
    </row>
    <row r="24415" spans="24:25">
      <c r="X24415" s="19"/>
      <c r="Y24415" s="20"/>
    </row>
    <row r="24416" spans="24:25">
      <c r="X24416" s="19"/>
      <c r="Y24416" s="20"/>
    </row>
    <row r="24417" spans="24:25">
      <c r="X24417" s="19"/>
      <c r="Y24417" s="20"/>
    </row>
    <row r="24418" spans="24:25">
      <c r="X24418" s="19"/>
      <c r="Y24418" s="20"/>
    </row>
    <row r="24419" spans="24:25">
      <c r="X24419" s="19"/>
      <c r="Y24419" s="20"/>
    </row>
    <row r="24420" spans="24:25">
      <c r="X24420" s="19"/>
      <c r="Y24420" s="20"/>
    </row>
    <row r="24421" spans="24:25">
      <c r="X24421" s="19"/>
      <c r="Y24421" s="20"/>
    </row>
    <row r="24422" spans="24:25">
      <c r="X24422" s="19"/>
      <c r="Y24422" s="20"/>
    </row>
    <row r="24423" spans="24:25">
      <c r="X24423" s="19"/>
      <c r="Y24423" s="20"/>
    </row>
    <row r="24424" spans="24:25">
      <c r="X24424" s="19"/>
      <c r="Y24424" s="20"/>
    </row>
    <row r="24425" spans="24:25">
      <c r="X24425" s="19"/>
      <c r="Y24425" s="20"/>
    </row>
    <row r="24426" spans="24:25">
      <c r="X24426" s="19"/>
      <c r="Y24426" s="20"/>
    </row>
    <row r="24427" spans="24:25">
      <c r="X24427" s="19"/>
      <c r="Y24427" s="20"/>
    </row>
    <row r="24428" spans="24:25">
      <c r="X24428" s="19"/>
      <c r="Y24428" s="20"/>
    </row>
    <row r="24429" spans="24:25">
      <c r="X24429" s="19"/>
      <c r="Y24429" s="20"/>
    </row>
    <row r="24430" spans="24:25">
      <c r="X24430" s="19"/>
      <c r="Y24430" s="20"/>
    </row>
    <row r="24431" spans="24:25">
      <c r="X24431" s="19"/>
      <c r="Y24431" s="20"/>
    </row>
    <row r="24432" spans="24:25">
      <c r="X24432" s="19"/>
      <c r="Y24432" s="20"/>
    </row>
    <row r="24433" spans="24:25">
      <c r="X24433" s="19"/>
      <c r="Y24433" s="20"/>
    </row>
    <row r="24434" spans="24:25">
      <c r="X24434" s="19"/>
      <c r="Y24434" s="20"/>
    </row>
    <row r="24435" spans="24:25">
      <c r="X24435" s="19"/>
      <c r="Y24435" s="20"/>
    </row>
    <row r="24436" spans="24:25">
      <c r="X24436" s="19"/>
      <c r="Y24436" s="20"/>
    </row>
    <row r="24437" spans="24:25">
      <c r="X24437" s="19"/>
      <c r="Y24437" s="20"/>
    </row>
    <row r="24438" spans="24:25">
      <c r="X24438" s="19"/>
      <c r="Y24438" s="20"/>
    </row>
    <row r="24439" spans="24:25">
      <c r="X24439" s="19"/>
      <c r="Y24439" s="20"/>
    </row>
    <row r="24440" spans="24:25">
      <c r="X24440" s="19"/>
      <c r="Y24440" s="20"/>
    </row>
    <row r="24441" spans="24:25">
      <c r="X24441" s="19"/>
      <c r="Y24441" s="20"/>
    </row>
    <row r="24442" spans="24:25">
      <c r="X24442" s="19"/>
      <c r="Y24442" s="20"/>
    </row>
    <row r="24443" spans="24:25">
      <c r="X24443" s="19"/>
      <c r="Y24443" s="20"/>
    </row>
    <row r="24444" spans="24:25">
      <c r="X24444" s="19"/>
      <c r="Y24444" s="20"/>
    </row>
    <row r="24445" spans="24:25">
      <c r="X24445" s="19"/>
      <c r="Y24445" s="20"/>
    </row>
    <row r="24446" spans="24:25">
      <c r="X24446" s="19"/>
      <c r="Y24446" s="20"/>
    </row>
    <row r="24447" spans="24:25">
      <c r="X24447" s="19"/>
      <c r="Y24447" s="20"/>
    </row>
    <row r="24448" spans="24:25">
      <c r="X24448" s="19"/>
      <c r="Y24448" s="20"/>
    </row>
    <row r="24449" spans="24:25">
      <c r="X24449" s="19"/>
      <c r="Y24449" s="20"/>
    </row>
    <row r="24450" spans="24:25">
      <c r="X24450" s="19"/>
      <c r="Y24450" s="20"/>
    </row>
    <row r="24451" spans="24:25">
      <c r="X24451" s="19"/>
      <c r="Y24451" s="20"/>
    </row>
    <row r="24452" spans="24:25">
      <c r="X24452" s="19"/>
      <c r="Y24452" s="20"/>
    </row>
    <row r="24453" spans="24:25">
      <c r="X24453" s="19"/>
      <c r="Y24453" s="20"/>
    </row>
    <row r="24454" spans="24:25">
      <c r="X24454" s="19"/>
      <c r="Y24454" s="20"/>
    </row>
    <row r="24455" spans="24:25">
      <c r="X24455" s="19"/>
      <c r="Y24455" s="20"/>
    </row>
    <row r="24456" spans="24:25">
      <c r="X24456" s="19"/>
      <c r="Y24456" s="20"/>
    </row>
    <row r="24457" spans="24:25">
      <c r="X24457" s="19"/>
      <c r="Y24457" s="20"/>
    </row>
    <row r="24458" spans="24:25">
      <c r="X24458" s="19"/>
      <c r="Y24458" s="20"/>
    </row>
    <row r="24459" spans="24:25">
      <c r="X24459" s="19"/>
      <c r="Y24459" s="20"/>
    </row>
    <row r="24460" spans="24:25">
      <c r="X24460" s="19"/>
      <c r="Y24460" s="20"/>
    </row>
    <row r="24461" spans="24:25">
      <c r="X24461" s="19"/>
      <c r="Y24461" s="20"/>
    </row>
    <row r="24462" spans="24:25">
      <c r="X24462" s="19"/>
      <c r="Y24462" s="20"/>
    </row>
    <row r="24463" spans="24:25">
      <c r="X24463" s="19"/>
      <c r="Y24463" s="20"/>
    </row>
    <row r="24464" spans="24:25">
      <c r="X24464" s="19"/>
      <c r="Y24464" s="20"/>
    </row>
    <row r="24465" spans="24:25">
      <c r="X24465" s="19"/>
      <c r="Y24465" s="20"/>
    </row>
    <row r="24466" spans="24:25">
      <c r="X24466" s="19"/>
      <c r="Y24466" s="20"/>
    </row>
    <row r="24467" spans="24:25">
      <c r="X24467" s="19"/>
      <c r="Y24467" s="20"/>
    </row>
    <row r="24468" spans="24:25">
      <c r="X24468" s="19"/>
      <c r="Y24468" s="20"/>
    </row>
    <row r="24469" spans="24:25">
      <c r="X24469" s="19"/>
      <c r="Y24469" s="20"/>
    </row>
    <row r="24470" spans="24:25">
      <c r="X24470" s="19"/>
      <c r="Y24470" s="20"/>
    </row>
    <row r="24471" spans="24:25">
      <c r="X24471" s="19"/>
      <c r="Y24471" s="20"/>
    </row>
    <row r="24472" spans="24:25">
      <c r="X24472" s="19"/>
      <c r="Y24472" s="20"/>
    </row>
    <row r="24473" spans="24:25">
      <c r="X24473" s="19"/>
      <c r="Y24473" s="20"/>
    </row>
    <row r="24474" spans="24:25">
      <c r="X24474" s="19"/>
      <c r="Y24474" s="20"/>
    </row>
    <row r="24475" spans="24:25">
      <c r="X24475" s="19"/>
      <c r="Y24475" s="20"/>
    </row>
    <row r="24476" spans="24:25">
      <c r="X24476" s="19"/>
      <c r="Y24476" s="20"/>
    </row>
    <row r="24477" spans="24:25">
      <c r="X24477" s="19"/>
      <c r="Y24477" s="20"/>
    </row>
    <row r="24478" spans="24:25">
      <c r="X24478" s="19"/>
      <c r="Y24478" s="20"/>
    </row>
    <row r="24479" spans="24:25">
      <c r="X24479" s="19"/>
      <c r="Y24479" s="20"/>
    </row>
    <row r="24480" spans="24:25">
      <c r="X24480" s="19"/>
      <c r="Y24480" s="20"/>
    </row>
    <row r="24481" spans="24:25">
      <c r="X24481" s="19"/>
      <c r="Y24481" s="20"/>
    </row>
    <row r="24482" spans="24:25">
      <c r="X24482" s="19"/>
      <c r="Y24482" s="20"/>
    </row>
    <row r="24483" spans="24:25">
      <c r="X24483" s="19"/>
      <c r="Y24483" s="20"/>
    </row>
    <row r="24484" spans="24:25">
      <c r="X24484" s="19"/>
      <c r="Y24484" s="20"/>
    </row>
    <row r="24485" spans="24:25">
      <c r="X24485" s="19"/>
      <c r="Y24485" s="20"/>
    </row>
    <row r="24486" spans="24:25">
      <c r="X24486" s="19"/>
      <c r="Y24486" s="20"/>
    </row>
    <row r="24487" spans="24:25">
      <c r="X24487" s="19"/>
      <c r="Y24487" s="20"/>
    </row>
    <row r="24488" spans="24:25">
      <c r="X24488" s="19"/>
      <c r="Y24488" s="20"/>
    </row>
    <row r="24489" spans="24:25">
      <c r="X24489" s="19"/>
      <c r="Y24489" s="20"/>
    </row>
    <row r="24490" spans="24:25">
      <c r="X24490" s="19"/>
      <c r="Y24490" s="20"/>
    </row>
    <row r="24491" spans="24:25">
      <c r="X24491" s="19"/>
      <c r="Y24491" s="20"/>
    </row>
    <row r="24492" spans="24:25">
      <c r="X24492" s="19"/>
      <c r="Y24492" s="20"/>
    </row>
    <row r="24493" spans="24:25">
      <c r="X24493" s="19"/>
      <c r="Y24493" s="20"/>
    </row>
    <row r="24494" spans="24:25">
      <c r="X24494" s="19"/>
      <c r="Y24494" s="20"/>
    </row>
    <row r="24495" spans="24:25">
      <c r="X24495" s="19"/>
      <c r="Y24495" s="20"/>
    </row>
    <row r="24496" spans="24:25">
      <c r="X24496" s="19"/>
      <c r="Y24496" s="20"/>
    </row>
    <row r="24497" spans="24:25">
      <c r="X24497" s="19"/>
      <c r="Y24497" s="20"/>
    </row>
    <row r="24498" spans="24:25">
      <c r="X24498" s="19"/>
      <c r="Y24498" s="20"/>
    </row>
    <row r="24499" spans="24:25">
      <c r="X24499" s="19"/>
      <c r="Y24499" s="20"/>
    </row>
    <row r="24500" spans="24:25">
      <c r="X24500" s="19"/>
      <c r="Y24500" s="20"/>
    </row>
    <row r="24501" spans="24:25">
      <c r="X24501" s="19"/>
      <c r="Y24501" s="20"/>
    </row>
    <row r="24502" spans="24:25">
      <c r="X24502" s="19"/>
      <c r="Y24502" s="20"/>
    </row>
    <row r="24503" spans="24:25">
      <c r="X24503" s="19"/>
      <c r="Y24503" s="20"/>
    </row>
    <row r="24504" spans="24:25">
      <c r="X24504" s="19"/>
      <c r="Y24504" s="20"/>
    </row>
    <row r="24505" spans="24:25">
      <c r="X24505" s="19"/>
      <c r="Y24505" s="20"/>
    </row>
    <row r="24506" spans="24:25">
      <c r="X24506" s="19"/>
      <c r="Y24506" s="20"/>
    </row>
    <row r="24507" spans="24:25">
      <c r="X24507" s="19"/>
      <c r="Y24507" s="20"/>
    </row>
    <row r="24508" spans="24:25">
      <c r="X24508" s="19"/>
      <c r="Y24508" s="20"/>
    </row>
    <row r="24509" spans="24:25">
      <c r="X24509" s="19"/>
      <c r="Y24509" s="20"/>
    </row>
    <row r="24510" spans="24:25">
      <c r="X24510" s="19"/>
      <c r="Y24510" s="20"/>
    </row>
    <row r="24511" spans="24:25">
      <c r="X24511" s="19"/>
      <c r="Y24511" s="20"/>
    </row>
    <row r="24512" spans="24:25">
      <c r="X24512" s="19"/>
      <c r="Y24512" s="20"/>
    </row>
    <row r="24513" spans="24:25">
      <c r="X24513" s="19"/>
      <c r="Y24513" s="20"/>
    </row>
    <row r="24514" spans="24:25">
      <c r="X24514" s="19"/>
      <c r="Y24514" s="20"/>
    </row>
    <row r="24515" spans="24:25">
      <c r="X24515" s="19"/>
      <c r="Y24515" s="20"/>
    </row>
    <row r="24516" spans="24:25">
      <c r="X24516" s="19"/>
      <c r="Y24516" s="20"/>
    </row>
    <row r="24517" spans="24:25">
      <c r="X24517" s="19"/>
      <c r="Y24517" s="20"/>
    </row>
    <row r="24518" spans="24:25">
      <c r="X24518" s="19"/>
      <c r="Y24518" s="20"/>
    </row>
    <row r="24519" spans="24:25">
      <c r="X24519" s="19"/>
      <c r="Y24519" s="20"/>
    </row>
    <row r="24520" spans="24:25">
      <c r="X24520" s="19"/>
      <c r="Y24520" s="20"/>
    </row>
    <row r="24521" spans="24:25">
      <c r="X24521" s="19"/>
      <c r="Y24521" s="20"/>
    </row>
    <row r="24522" spans="24:25">
      <c r="X24522" s="19"/>
      <c r="Y24522" s="20"/>
    </row>
    <row r="24523" spans="24:25">
      <c r="X24523" s="19"/>
      <c r="Y24523" s="20"/>
    </row>
    <row r="24524" spans="24:25">
      <c r="X24524" s="19"/>
      <c r="Y24524" s="20"/>
    </row>
    <row r="24525" spans="24:25">
      <c r="X24525" s="19"/>
      <c r="Y24525" s="20"/>
    </row>
    <row r="24526" spans="24:25">
      <c r="X24526" s="19"/>
      <c r="Y24526" s="20"/>
    </row>
    <row r="24527" spans="24:25">
      <c r="X24527" s="19"/>
      <c r="Y24527" s="20"/>
    </row>
    <row r="24528" spans="24:25">
      <c r="X24528" s="19"/>
      <c r="Y24528" s="20"/>
    </row>
    <row r="24529" spans="24:25">
      <c r="X24529" s="19"/>
      <c r="Y24529" s="20"/>
    </row>
    <row r="24530" spans="24:25">
      <c r="X24530" s="19"/>
      <c r="Y24530" s="20"/>
    </row>
    <row r="24531" spans="24:25">
      <c r="X24531" s="19"/>
      <c r="Y24531" s="20"/>
    </row>
    <row r="24532" spans="24:25">
      <c r="X24532" s="19"/>
      <c r="Y24532" s="20"/>
    </row>
    <row r="24533" spans="24:25">
      <c r="X24533" s="19"/>
      <c r="Y24533" s="20"/>
    </row>
    <row r="24534" spans="24:25">
      <c r="X24534" s="19"/>
      <c r="Y24534" s="20"/>
    </row>
    <row r="24535" spans="24:25">
      <c r="X24535" s="19"/>
      <c r="Y24535" s="20"/>
    </row>
    <row r="24536" spans="24:25">
      <c r="X24536" s="19"/>
      <c r="Y24536" s="20"/>
    </row>
    <row r="24537" spans="24:25">
      <c r="X24537" s="19"/>
      <c r="Y24537" s="20"/>
    </row>
    <row r="24538" spans="24:25">
      <c r="X24538" s="19"/>
      <c r="Y24538" s="20"/>
    </row>
    <row r="24539" spans="24:25">
      <c r="X24539" s="19"/>
      <c r="Y24539" s="20"/>
    </row>
    <row r="24540" spans="24:25">
      <c r="X24540" s="19"/>
      <c r="Y24540" s="20"/>
    </row>
    <row r="24541" spans="24:25">
      <c r="X24541" s="19"/>
      <c r="Y24541" s="20"/>
    </row>
    <row r="24542" spans="24:25">
      <c r="X24542" s="19"/>
      <c r="Y24542" s="20"/>
    </row>
    <row r="24543" spans="24:25">
      <c r="X24543" s="19"/>
      <c r="Y24543" s="20"/>
    </row>
    <row r="24544" spans="24:25">
      <c r="X24544" s="19"/>
      <c r="Y24544" s="20"/>
    </row>
    <row r="24545" spans="24:25">
      <c r="X24545" s="19"/>
      <c r="Y24545" s="20"/>
    </row>
    <row r="24546" spans="24:25">
      <c r="X24546" s="19"/>
      <c r="Y24546" s="20"/>
    </row>
    <row r="24547" spans="24:25">
      <c r="X24547" s="19"/>
      <c r="Y24547" s="20"/>
    </row>
    <row r="24548" spans="24:25">
      <c r="X24548" s="19"/>
      <c r="Y24548" s="20"/>
    </row>
    <row r="24549" spans="24:25">
      <c r="X24549" s="19"/>
      <c r="Y24549" s="20"/>
    </row>
    <row r="24550" spans="24:25">
      <c r="X24550" s="19"/>
      <c r="Y24550" s="20"/>
    </row>
    <row r="24551" spans="24:25">
      <c r="X24551" s="19"/>
      <c r="Y24551" s="20"/>
    </row>
    <row r="24552" spans="24:25">
      <c r="X24552" s="19"/>
      <c r="Y24552" s="20"/>
    </row>
    <row r="24553" spans="24:25">
      <c r="X24553" s="19"/>
      <c r="Y24553" s="20"/>
    </row>
    <row r="24554" spans="24:25">
      <c r="X24554" s="19"/>
      <c r="Y24554" s="20"/>
    </row>
    <row r="24555" spans="24:25">
      <c r="X24555" s="19"/>
      <c r="Y24555" s="20"/>
    </row>
    <row r="24556" spans="24:25">
      <c r="X24556" s="19"/>
      <c r="Y24556" s="20"/>
    </row>
    <row r="24557" spans="24:25">
      <c r="X24557" s="19"/>
      <c r="Y24557" s="20"/>
    </row>
    <row r="24558" spans="24:25">
      <c r="X24558" s="19"/>
      <c r="Y24558" s="20"/>
    </row>
    <row r="24559" spans="24:25">
      <c r="X24559" s="19"/>
      <c r="Y24559" s="20"/>
    </row>
    <row r="24560" spans="24:25">
      <c r="X24560" s="19"/>
      <c r="Y24560" s="20"/>
    </row>
    <row r="24561" spans="24:25">
      <c r="X24561" s="19"/>
      <c r="Y24561" s="20"/>
    </row>
    <row r="24562" spans="24:25">
      <c r="X24562" s="19"/>
      <c r="Y24562" s="20"/>
    </row>
    <row r="24563" spans="24:25">
      <c r="X24563" s="19"/>
      <c r="Y24563" s="20"/>
    </row>
    <row r="24564" spans="24:25">
      <c r="X24564" s="19"/>
      <c r="Y24564" s="20"/>
    </row>
    <row r="24565" spans="24:25">
      <c r="X24565" s="19"/>
      <c r="Y24565" s="20"/>
    </row>
    <row r="24566" spans="24:25">
      <c r="X24566" s="19"/>
      <c r="Y24566" s="20"/>
    </row>
    <row r="24567" spans="24:25">
      <c r="X24567" s="19"/>
      <c r="Y24567" s="20"/>
    </row>
    <row r="24568" spans="24:25">
      <c r="X24568" s="19"/>
      <c r="Y24568" s="20"/>
    </row>
    <row r="24569" spans="24:25">
      <c r="X24569" s="19"/>
      <c r="Y24569" s="20"/>
    </row>
    <row r="24570" spans="24:25">
      <c r="X24570" s="19"/>
      <c r="Y24570" s="20"/>
    </row>
    <row r="24571" spans="24:25">
      <c r="X24571" s="19"/>
      <c r="Y24571" s="20"/>
    </row>
    <row r="24572" spans="24:25">
      <c r="X24572" s="19"/>
      <c r="Y24572" s="20"/>
    </row>
    <row r="24573" spans="24:25">
      <c r="X24573" s="19"/>
      <c r="Y24573" s="20"/>
    </row>
    <row r="24574" spans="24:25">
      <c r="X24574" s="19"/>
      <c r="Y24574" s="20"/>
    </row>
    <row r="24575" spans="24:25">
      <c r="X24575" s="19"/>
      <c r="Y24575" s="20"/>
    </row>
    <row r="24576" spans="24:25">
      <c r="X24576" s="19"/>
      <c r="Y24576" s="20"/>
    </row>
    <row r="24577" spans="24:25">
      <c r="X24577" s="19"/>
      <c r="Y24577" s="20"/>
    </row>
    <row r="24578" spans="24:25">
      <c r="X24578" s="19"/>
      <c r="Y24578" s="20"/>
    </row>
    <row r="24579" spans="24:25">
      <c r="X24579" s="19"/>
      <c r="Y24579" s="20"/>
    </row>
    <row r="24580" spans="24:25">
      <c r="X24580" s="19"/>
      <c r="Y24580" s="20"/>
    </row>
    <row r="24581" spans="24:25">
      <c r="X24581" s="19"/>
      <c r="Y24581" s="20"/>
    </row>
    <row r="24582" spans="24:25">
      <c r="X24582" s="19"/>
      <c r="Y24582" s="20"/>
    </row>
    <row r="24583" spans="24:25">
      <c r="X24583" s="19"/>
      <c r="Y24583" s="20"/>
    </row>
    <row r="24584" spans="24:25">
      <c r="X24584" s="19"/>
      <c r="Y24584" s="20"/>
    </row>
    <row r="24585" spans="24:25">
      <c r="X24585" s="19"/>
      <c r="Y24585" s="20"/>
    </row>
    <row r="24586" spans="24:25">
      <c r="X24586" s="19"/>
      <c r="Y24586" s="20"/>
    </row>
    <row r="24587" spans="24:25">
      <c r="X24587" s="19"/>
      <c r="Y24587" s="20"/>
    </row>
    <row r="24588" spans="24:25">
      <c r="X24588" s="19"/>
      <c r="Y24588" s="20"/>
    </row>
    <row r="24589" spans="24:25">
      <c r="X24589" s="19"/>
      <c r="Y24589" s="20"/>
    </row>
    <row r="24590" spans="24:25">
      <c r="X24590" s="19"/>
      <c r="Y24590" s="20"/>
    </row>
    <row r="24591" spans="24:25">
      <c r="X24591" s="19"/>
      <c r="Y24591" s="20"/>
    </row>
    <row r="24592" spans="24:25">
      <c r="X24592" s="19"/>
      <c r="Y24592" s="20"/>
    </row>
    <row r="24593" spans="24:25">
      <c r="X24593" s="19"/>
      <c r="Y24593" s="20"/>
    </row>
    <row r="24594" spans="24:25">
      <c r="X24594" s="19"/>
      <c r="Y24594" s="20"/>
    </row>
    <row r="24595" spans="24:25">
      <c r="X24595" s="19"/>
      <c r="Y24595" s="20"/>
    </row>
    <row r="24596" spans="24:25">
      <c r="X24596" s="19"/>
      <c r="Y24596" s="20"/>
    </row>
    <row r="24597" spans="24:25">
      <c r="X24597" s="19"/>
      <c r="Y24597" s="20"/>
    </row>
    <row r="24598" spans="24:25">
      <c r="X24598" s="19"/>
      <c r="Y24598" s="20"/>
    </row>
    <row r="24599" spans="24:25">
      <c r="X24599" s="19"/>
      <c r="Y24599" s="20"/>
    </row>
    <row r="24600" spans="24:25">
      <c r="X24600" s="19"/>
      <c r="Y24600" s="20"/>
    </row>
    <row r="24601" spans="24:25">
      <c r="X24601" s="19"/>
      <c r="Y24601" s="20"/>
    </row>
    <row r="24602" spans="24:25">
      <c r="X24602" s="19"/>
      <c r="Y24602" s="20"/>
    </row>
    <row r="24603" spans="24:25">
      <c r="X24603" s="19"/>
      <c r="Y24603" s="20"/>
    </row>
    <row r="24604" spans="24:25">
      <c r="X24604" s="19"/>
      <c r="Y24604" s="20"/>
    </row>
    <row r="24605" spans="24:25">
      <c r="X24605" s="19"/>
      <c r="Y24605" s="20"/>
    </row>
    <row r="24606" spans="24:25">
      <c r="X24606" s="19"/>
      <c r="Y24606" s="20"/>
    </row>
    <row r="24607" spans="24:25">
      <c r="X24607" s="19"/>
      <c r="Y24607" s="20"/>
    </row>
    <row r="24608" spans="24:25">
      <c r="X24608" s="19"/>
      <c r="Y24608" s="20"/>
    </row>
    <row r="24609" spans="24:25">
      <c r="X24609" s="19"/>
      <c r="Y24609" s="20"/>
    </row>
    <row r="24610" spans="24:25">
      <c r="X24610" s="19"/>
      <c r="Y24610" s="20"/>
    </row>
    <row r="24611" spans="24:25">
      <c r="X24611" s="19"/>
      <c r="Y24611" s="20"/>
    </row>
    <row r="24612" spans="24:25">
      <c r="X24612" s="19"/>
      <c r="Y24612" s="20"/>
    </row>
    <row r="24613" spans="24:25">
      <c r="X24613" s="19"/>
      <c r="Y24613" s="20"/>
    </row>
    <row r="24614" spans="24:25">
      <c r="X24614" s="19"/>
      <c r="Y24614" s="20"/>
    </row>
    <row r="24615" spans="24:25">
      <c r="X24615" s="19"/>
      <c r="Y24615" s="20"/>
    </row>
    <row r="24616" spans="24:25">
      <c r="X24616" s="19"/>
      <c r="Y24616" s="20"/>
    </row>
    <row r="24617" spans="24:25">
      <c r="X24617" s="19"/>
      <c r="Y24617" s="20"/>
    </row>
    <row r="24618" spans="24:25">
      <c r="X24618" s="19"/>
      <c r="Y24618" s="20"/>
    </row>
    <row r="24619" spans="24:25">
      <c r="X24619" s="19"/>
      <c r="Y24619" s="20"/>
    </row>
    <row r="24620" spans="24:25">
      <c r="X24620" s="19"/>
      <c r="Y24620" s="20"/>
    </row>
    <row r="24621" spans="24:25">
      <c r="X24621" s="19"/>
      <c r="Y24621" s="20"/>
    </row>
    <row r="24622" spans="24:25">
      <c r="X24622" s="19"/>
      <c r="Y24622" s="20"/>
    </row>
    <row r="24623" spans="24:25">
      <c r="X24623" s="19"/>
      <c r="Y24623" s="20"/>
    </row>
    <row r="24624" spans="24:25">
      <c r="X24624" s="19"/>
      <c r="Y24624" s="20"/>
    </row>
    <row r="24625" spans="24:25">
      <c r="X24625" s="19"/>
      <c r="Y24625" s="20"/>
    </row>
    <row r="24626" spans="24:25">
      <c r="X24626" s="19"/>
      <c r="Y24626" s="20"/>
    </row>
    <row r="24627" spans="24:25">
      <c r="X24627" s="19"/>
      <c r="Y24627" s="20"/>
    </row>
    <row r="24628" spans="24:25">
      <c r="X24628" s="19"/>
      <c r="Y24628" s="20"/>
    </row>
    <row r="24629" spans="24:25">
      <c r="X24629" s="19"/>
      <c r="Y24629" s="20"/>
    </row>
    <row r="24630" spans="24:25">
      <c r="X24630" s="19"/>
      <c r="Y24630" s="20"/>
    </row>
    <row r="24631" spans="24:25">
      <c r="X24631" s="19"/>
      <c r="Y24631" s="20"/>
    </row>
    <row r="24632" spans="24:25">
      <c r="X24632" s="19"/>
      <c r="Y24632" s="20"/>
    </row>
    <row r="24633" spans="24:25">
      <c r="X24633" s="19"/>
      <c r="Y24633" s="20"/>
    </row>
    <row r="24634" spans="24:25">
      <c r="X24634" s="19"/>
      <c r="Y24634" s="20"/>
    </row>
    <row r="24635" spans="24:25">
      <c r="X24635" s="19"/>
      <c r="Y24635" s="20"/>
    </row>
    <row r="24636" spans="24:25">
      <c r="X24636" s="19"/>
      <c r="Y24636" s="20"/>
    </row>
    <row r="24637" spans="24:25">
      <c r="X24637" s="19"/>
      <c r="Y24637" s="20"/>
    </row>
    <row r="24638" spans="24:25">
      <c r="X24638" s="19"/>
      <c r="Y24638" s="20"/>
    </row>
    <row r="24639" spans="24:25">
      <c r="X24639" s="19"/>
      <c r="Y24639" s="20"/>
    </row>
    <row r="24640" spans="24:25">
      <c r="X24640" s="19"/>
      <c r="Y24640" s="20"/>
    </row>
    <row r="24641" spans="24:25">
      <c r="X24641" s="19"/>
      <c r="Y24641" s="20"/>
    </row>
    <row r="24642" spans="24:25">
      <c r="X24642" s="19"/>
      <c r="Y24642" s="20"/>
    </row>
    <row r="24643" spans="24:25">
      <c r="X24643" s="19"/>
      <c r="Y24643" s="20"/>
    </row>
    <row r="24644" spans="24:25">
      <c r="X24644" s="19"/>
      <c r="Y24644" s="20"/>
    </row>
    <row r="24645" spans="24:25">
      <c r="X24645" s="19"/>
      <c r="Y24645" s="20"/>
    </row>
    <row r="24646" spans="24:25">
      <c r="X24646" s="19"/>
      <c r="Y24646" s="20"/>
    </row>
    <row r="24647" spans="24:25">
      <c r="X24647" s="19"/>
      <c r="Y24647" s="20"/>
    </row>
    <row r="24648" spans="24:25">
      <c r="X24648" s="19"/>
      <c r="Y24648" s="20"/>
    </row>
    <row r="24649" spans="24:25">
      <c r="X24649" s="19"/>
      <c r="Y24649" s="20"/>
    </row>
    <row r="24650" spans="24:25">
      <c r="X24650" s="19"/>
      <c r="Y24650" s="20"/>
    </row>
    <row r="24651" spans="24:25">
      <c r="X24651" s="19"/>
      <c r="Y24651" s="20"/>
    </row>
    <row r="24652" spans="24:25">
      <c r="X24652" s="19"/>
      <c r="Y24652" s="20"/>
    </row>
    <row r="24653" spans="24:25">
      <c r="X24653" s="19"/>
      <c r="Y24653" s="20"/>
    </row>
    <row r="24654" spans="24:25">
      <c r="X24654" s="19"/>
      <c r="Y24654" s="20"/>
    </row>
    <row r="24655" spans="24:25">
      <c r="X24655" s="19"/>
      <c r="Y24655" s="20"/>
    </row>
    <row r="24656" spans="24:25">
      <c r="X24656" s="19"/>
      <c r="Y24656" s="20"/>
    </row>
    <row r="24657" spans="24:25">
      <c r="X24657" s="19"/>
      <c r="Y24657" s="20"/>
    </row>
    <row r="24658" spans="24:25">
      <c r="X24658" s="19"/>
      <c r="Y24658" s="20"/>
    </row>
    <row r="24659" spans="24:25">
      <c r="X24659" s="19"/>
      <c r="Y24659" s="20"/>
    </row>
    <row r="24660" spans="24:25">
      <c r="X24660" s="19"/>
      <c r="Y24660" s="20"/>
    </row>
    <row r="24661" spans="24:25">
      <c r="X24661" s="19"/>
      <c r="Y24661" s="20"/>
    </row>
    <row r="24662" spans="24:25">
      <c r="X24662" s="19"/>
      <c r="Y24662" s="20"/>
    </row>
    <row r="24663" spans="24:25">
      <c r="X24663" s="19"/>
      <c r="Y24663" s="20"/>
    </row>
    <row r="24664" spans="24:25">
      <c r="X24664" s="19"/>
      <c r="Y24664" s="20"/>
    </row>
    <row r="24665" spans="24:25">
      <c r="X24665" s="19"/>
      <c r="Y24665" s="20"/>
    </row>
    <row r="24666" spans="24:25">
      <c r="X24666" s="19"/>
      <c r="Y24666" s="20"/>
    </row>
    <row r="24667" spans="24:25">
      <c r="X24667" s="19"/>
      <c r="Y24667" s="20"/>
    </row>
    <row r="24668" spans="24:25">
      <c r="X24668" s="19"/>
      <c r="Y24668" s="20"/>
    </row>
    <row r="24669" spans="24:25">
      <c r="X24669" s="19"/>
      <c r="Y24669" s="20"/>
    </row>
    <row r="24670" spans="24:25">
      <c r="X24670" s="19"/>
      <c r="Y24670" s="20"/>
    </row>
    <row r="24671" spans="24:25">
      <c r="X24671" s="19"/>
      <c r="Y24671" s="20"/>
    </row>
    <row r="24672" spans="24:25">
      <c r="X24672" s="19"/>
      <c r="Y24672" s="20"/>
    </row>
    <row r="24673" spans="24:25">
      <c r="X24673" s="19"/>
      <c r="Y24673" s="20"/>
    </row>
    <row r="24674" spans="24:25">
      <c r="X24674" s="19"/>
      <c r="Y24674" s="20"/>
    </row>
    <row r="24675" spans="24:25">
      <c r="X24675" s="19"/>
      <c r="Y24675" s="20"/>
    </row>
    <row r="24676" spans="24:25">
      <c r="X24676" s="19"/>
      <c r="Y24676" s="20"/>
    </row>
    <row r="24677" spans="24:25">
      <c r="X24677" s="19"/>
      <c r="Y24677" s="20"/>
    </row>
    <row r="24678" spans="24:25">
      <c r="X24678" s="19"/>
      <c r="Y24678" s="20"/>
    </row>
    <row r="24679" spans="24:25">
      <c r="X24679" s="19"/>
      <c r="Y24679" s="20"/>
    </row>
    <row r="24680" spans="24:25">
      <c r="X24680" s="19"/>
      <c r="Y24680" s="20"/>
    </row>
    <row r="24681" spans="24:25">
      <c r="X24681" s="19"/>
      <c r="Y24681" s="20"/>
    </row>
    <row r="24682" spans="24:25">
      <c r="X24682" s="19"/>
      <c r="Y24682" s="20"/>
    </row>
    <row r="24683" spans="24:25">
      <c r="X24683" s="19"/>
      <c r="Y24683" s="20"/>
    </row>
    <row r="24684" spans="24:25">
      <c r="X24684" s="19"/>
      <c r="Y24684" s="20"/>
    </row>
    <row r="24685" spans="24:25">
      <c r="X24685" s="19"/>
      <c r="Y24685" s="20"/>
    </row>
    <row r="24686" spans="24:25">
      <c r="X24686" s="19"/>
      <c r="Y24686" s="20"/>
    </row>
    <row r="24687" spans="24:25">
      <c r="X24687" s="19"/>
      <c r="Y24687" s="20"/>
    </row>
    <row r="24688" spans="24:25">
      <c r="X24688" s="19"/>
      <c r="Y24688" s="20"/>
    </row>
    <row r="24689" spans="24:25">
      <c r="X24689" s="19"/>
      <c r="Y24689" s="20"/>
    </row>
    <row r="24690" spans="24:25">
      <c r="X24690" s="19"/>
      <c r="Y24690" s="20"/>
    </row>
    <row r="24691" spans="24:25">
      <c r="X24691" s="19"/>
      <c r="Y24691" s="20"/>
    </row>
    <row r="24692" spans="24:25">
      <c r="X24692" s="19"/>
      <c r="Y24692" s="20"/>
    </row>
    <row r="24693" spans="24:25">
      <c r="X24693" s="19"/>
      <c r="Y24693" s="20"/>
    </row>
    <row r="24694" spans="24:25">
      <c r="X24694" s="19"/>
      <c r="Y24694" s="20"/>
    </row>
    <row r="24695" spans="24:25">
      <c r="X24695" s="19"/>
      <c r="Y24695" s="20"/>
    </row>
    <row r="24696" spans="24:25">
      <c r="X24696" s="19"/>
      <c r="Y24696" s="20"/>
    </row>
    <row r="24697" spans="24:25">
      <c r="X24697" s="19"/>
      <c r="Y24697" s="20"/>
    </row>
    <row r="24698" spans="24:25">
      <c r="X24698" s="19"/>
      <c r="Y24698" s="20"/>
    </row>
    <row r="24699" spans="24:25">
      <c r="X24699" s="19"/>
      <c r="Y24699" s="20"/>
    </row>
    <row r="24700" spans="24:25">
      <c r="X24700" s="19"/>
      <c r="Y24700" s="20"/>
    </row>
    <row r="24701" spans="24:25">
      <c r="X24701" s="19"/>
      <c r="Y24701" s="20"/>
    </row>
    <row r="24702" spans="24:25">
      <c r="X24702" s="19"/>
      <c r="Y24702" s="20"/>
    </row>
    <row r="24703" spans="24:25">
      <c r="X24703" s="19"/>
      <c r="Y24703" s="20"/>
    </row>
    <row r="24704" spans="24:25">
      <c r="X24704" s="19"/>
      <c r="Y24704" s="20"/>
    </row>
    <row r="24705" spans="24:25">
      <c r="X24705" s="19"/>
      <c r="Y24705" s="20"/>
    </row>
    <row r="24706" spans="24:25">
      <c r="X24706" s="19"/>
      <c r="Y24706" s="20"/>
    </row>
    <row r="24707" spans="24:25">
      <c r="X24707" s="19"/>
      <c r="Y24707" s="20"/>
    </row>
    <row r="24708" spans="24:25">
      <c r="X24708" s="19"/>
      <c r="Y24708" s="20"/>
    </row>
    <row r="24709" spans="24:25">
      <c r="X24709" s="19"/>
      <c r="Y24709" s="20"/>
    </row>
    <row r="24710" spans="24:25">
      <c r="X24710" s="19"/>
      <c r="Y24710" s="20"/>
    </row>
    <row r="24711" spans="24:25">
      <c r="X24711" s="19"/>
      <c r="Y24711" s="20"/>
    </row>
    <row r="24712" spans="24:25">
      <c r="X24712" s="19"/>
      <c r="Y24712" s="20"/>
    </row>
    <row r="24713" spans="24:25">
      <c r="X24713" s="19"/>
      <c r="Y24713" s="20"/>
    </row>
    <row r="24714" spans="24:25">
      <c r="X24714" s="19"/>
      <c r="Y24714" s="20"/>
    </row>
    <row r="24715" spans="24:25">
      <c r="X24715" s="19"/>
      <c r="Y24715" s="20"/>
    </row>
    <row r="24716" spans="24:25">
      <c r="X24716" s="19"/>
      <c r="Y24716" s="20"/>
    </row>
    <row r="24717" spans="24:25">
      <c r="X24717" s="19"/>
      <c r="Y24717" s="20"/>
    </row>
    <row r="24718" spans="24:25">
      <c r="X24718" s="19"/>
      <c r="Y24718" s="20"/>
    </row>
    <row r="24719" spans="24:25">
      <c r="X24719" s="19"/>
      <c r="Y24719" s="20"/>
    </row>
    <row r="24720" spans="24:25">
      <c r="X24720" s="19"/>
      <c r="Y24720" s="20"/>
    </row>
    <row r="24721" spans="24:25">
      <c r="X24721" s="19"/>
      <c r="Y24721" s="20"/>
    </row>
    <row r="24722" spans="24:25">
      <c r="X24722" s="19"/>
      <c r="Y24722" s="20"/>
    </row>
    <row r="24723" spans="24:25">
      <c r="X24723" s="19"/>
      <c r="Y24723" s="20"/>
    </row>
    <row r="24724" spans="24:25">
      <c r="X24724" s="19"/>
      <c r="Y24724" s="20"/>
    </row>
    <row r="24725" spans="24:25">
      <c r="X24725" s="19"/>
      <c r="Y24725" s="20"/>
    </row>
    <row r="24726" spans="24:25">
      <c r="X24726" s="19"/>
      <c r="Y24726" s="20"/>
    </row>
    <row r="24727" spans="24:25">
      <c r="X24727" s="19"/>
      <c r="Y24727" s="20"/>
    </row>
    <row r="24728" spans="24:25">
      <c r="X24728" s="19"/>
      <c r="Y24728" s="20"/>
    </row>
    <row r="24729" spans="24:25">
      <c r="X24729" s="19"/>
      <c r="Y24729" s="20"/>
    </row>
    <row r="24730" spans="24:25">
      <c r="X24730" s="19"/>
      <c r="Y24730" s="20"/>
    </row>
    <row r="24731" spans="24:25">
      <c r="X24731" s="19"/>
      <c r="Y24731" s="20"/>
    </row>
    <row r="24732" spans="24:25">
      <c r="X24732" s="19"/>
      <c r="Y24732" s="20"/>
    </row>
    <row r="24733" spans="24:25">
      <c r="X24733" s="19"/>
      <c r="Y24733" s="20"/>
    </row>
    <row r="24734" spans="24:25">
      <c r="X24734" s="19"/>
      <c r="Y24734" s="20"/>
    </row>
    <row r="24735" spans="24:25">
      <c r="X24735" s="19"/>
      <c r="Y24735" s="20"/>
    </row>
    <row r="24736" spans="24:25">
      <c r="X24736" s="19"/>
      <c r="Y24736" s="20"/>
    </row>
    <row r="24737" spans="24:25">
      <c r="X24737" s="19"/>
      <c r="Y24737" s="20"/>
    </row>
    <row r="24738" spans="24:25">
      <c r="X24738" s="19"/>
      <c r="Y24738" s="20"/>
    </row>
    <row r="24739" spans="24:25">
      <c r="X24739" s="19"/>
      <c r="Y24739" s="20"/>
    </row>
    <row r="24740" spans="24:25">
      <c r="X24740" s="19"/>
      <c r="Y24740" s="20"/>
    </row>
    <row r="24741" spans="24:25">
      <c r="X24741" s="19"/>
      <c r="Y24741" s="20"/>
    </row>
    <row r="24742" spans="24:25">
      <c r="X24742" s="19"/>
      <c r="Y24742" s="20"/>
    </row>
    <row r="24743" spans="24:25">
      <c r="X24743" s="19"/>
      <c r="Y24743" s="20"/>
    </row>
    <row r="24744" spans="24:25">
      <c r="X24744" s="19"/>
      <c r="Y24744" s="20"/>
    </row>
    <row r="24745" spans="24:25">
      <c r="X24745" s="19"/>
      <c r="Y24745" s="20"/>
    </row>
    <row r="24746" spans="24:25">
      <c r="X24746" s="19"/>
      <c r="Y24746" s="20"/>
    </row>
    <row r="24747" spans="24:25">
      <c r="X24747" s="19"/>
      <c r="Y24747" s="20"/>
    </row>
    <row r="24748" spans="24:25">
      <c r="X24748" s="19"/>
      <c r="Y24748" s="20"/>
    </row>
    <row r="24749" spans="24:25">
      <c r="X24749" s="19"/>
      <c r="Y24749" s="20"/>
    </row>
    <row r="24750" spans="24:25">
      <c r="X24750" s="19"/>
      <c r="Y24750" s="20"/>
    </row>
    <row r="24751" spans="24:25">
      <c r="X24751" s="19"/>
      <c r="Y24751" s="20"/>
    </row>
    <row r="24752" spans="24:25">
      <c r="X24752" s="19"/>
      <c r="Y24752" s="20"/>
    </row>
    <row r="24753" spans="24:25">
      <c r="X24753" s="19"/>
      <c r="Y24753" s="20"/>
    </row>
    <row r="24754" spans="24:25">
      <c r="X24754" s="19"/>
      <c r="Y24754" s="20"/>
    </row>
    <row r="24755" spans="24:25">
      <c r="X24755" s="19"/>
      <c r="Y24755" s="20"/>
    </row>
    <row r="24756" spans="24:25">
      <c r="X24756" s="19"/>
      <c r="Y24756" s="20"/>
    </row>
    <row r="24757" spans="24:25">
      <c r="X24757" s="19"/>
      <c r="Y24757" s="20"/>
    </row>
    <row r="24758" spans="24:25">
      <c r="X24758" s="19"/>
      <c r="Y24758" s="20"/>
    </row>
    <row r="24759" spans="24:25">
      <c r="X24759" s="19"/>
      <c r="Y24759" s="20"/>
    </row>
    <row r="24760" spans="24:25">
      <c r="X24760" s="19"/>
      <c r="Y24760" s="20"/>
    </row>
    <row r="24761" spans="24:25">
      <c r="X24761" s="19"/>
      <c r="Y24761" s="20"/>
    </row>
    <row r="24762" spans="24:25">
      <c r="X24762" s="19"/>
      <c r="Y24762" s="20"/>
    </row>
    <row r="24763" spans="24:25">
      <c r="X24763" s="19"/>
      <c r="Y24763" s="20"/>
    </row>
    <row r="24764" spans="24:25">
      <c r="X24764" s="19"/>
      <c r="Y24764" s="20"/>
    </row>
    <row r="24765" spans="24:25">
      <c r="X24765" s="19"/>
      <c r="Y24765" s="20"/>
    </row>
    <row r="24766" spans="24:25">
      <c r="X24766" s="19"/>
      <c r="Y24766" s="20"/>
    </row>
    <row r="24767" spans="24:25">
      <c r="X24767" s="19"/>
      <c r="Y24767" s="20"/>
    </row>
    <row r="24768" spans="24:25">
      <c r="X24768" s="19"/>
      <c r="Y24768" s="20"/>
    </row>
    <row r="24769" spans="24:25">
      <c r="X24769" s="19"/>
      <c r="Y24769" s="20"/>
    </row>
    <row r="24770" spans="24:25">
      <c r="X24770" s="19"/>
      <c r="Y24770" s="20"/>
    </row>
    <row r="24771" spans="24:25">
      <c r="X24771" s="19"/>
      <c r="Y24771" s="20"/>
    </row>
    <row r="24772" spans="24:25">
      <c r="X24772" s="19"/>
      <c r="Y24772" s="20"/>
    </row>
    <row r="24773" spans="24:25">
      <c r="X24773" s="19"/>
      <c r="Y24773" s="20"/>
    </row>
    <row r="24774" spans="24:25">
      <c r="X24774" s="19"/>
      <c r="Y24774" s="20"/>
    </row>
    <row r="24775" spans="24:25">
      <c r="X24775" s="19"/>
      <c r="Y24775" s="20"/>
    </row>
    <row r="24776" spans="24:25">
      <c r="X24776" s="19"/>
      <c r="Y24776" s="20"/>
    </row>
    <row r="24777" spans="24:25">
      <c r="X24777" s="19"/>
      <c r="Y24777" s="20"/>
    </row>
    <row r="24778" spans="24:25">
      <c r="X24778" s="19"/>
      <c r="Y24778" s="20"/>
    </row>
    <row r="24779" spans="24:25">
      <c r="X24779" s="19"/>
      <c r="Y24779" s="20"/>
    </row>
    <row r="24780" spans="24:25">
      <c r="X24780" s="19"/>
      <c r="Y24780" s="20"/>
    </row>
    <row r="24781" spans="24:25">
      <c r="X24781" s="19"/>
      <c r="Y24781" s="20"/>
    </row>
    <row r="24782" spans="24:25">
      <c r="X24782" s="19"/>
      <c r="Y24782" s="20"/>
    </row>
    <row r="24783" spans="24:25">
      <c r="X24783" s="19"/>
      <c r="Y24783" s="20"/>
    </row>
    <row r="24784" spans="24:25">
      <c r="X24784" s="19"/>
      <c r="Y24784" s="20"/>
    </row>
    <row r="24785" spans="24:25">
      <c r="X24785" s="19"/>
      <c r="Y24785" s="20"/>
    </row>
    <row r="24786" spans="24:25">
      <c r="X24786" s="19"/>
      <c r="Y24786" s="20"/>
    </row>
    <row r="24787" spans="24:25">
      <c r="X24787" s="19"/>
      <c r="Y24787" s="20"/>
    </row>
    <row r="24788" spans="24:25">
      <c r="X24788" s="19"/>
      <c r="Y24788" s="20"/>
    </row>
    <row r="24789" spans="24:25">
      <c r="X24789" s="19"/>
      <c r="Y24789" s="20"/>
    </row>
    <row r="24790" spans="24:25">
      <c r="X24790" s="19"/>
      <c r="Y24790" s="20"/>
    </row>
    <row r="24791" spans="24:25">
      <c r="X24791" s="19"/>
      <c r="Y24791" s="20"/>
    </row>
    <row r="24792" spans="24:25">
      <c r="X24792" s="19"/>
      <c r="Y24792" s="20"/>
    </row>
    <row r="24793" spans="24:25">
      <c r="X24793" s="19"/>
      <c r="Y24793" s="20"/>
    </row>
    <row r="24794" spans="24:25">
      <c r="X24794" s="19"/>
      <c r="Y24794" s="20"/>
    </row>
    <row r="24795" spans="24:25">
      <c r="X24795" s="19"/>
      <c r="Y24795" s="20"/>
    </row>
    <row r="24796" spans="24:25">
      <c r="X24796" s="19"/>
      <c r="Y24796" s="20"/>
    </row>
    <row r="24797" spans="24:25">
      <c r="X24797" s="19"/>
      <c r="Y24797" s="20"/>
    </row>
    <row r="24798" spans="24:25">
      <c r="X24798" s="19"/>
      <c r="Y24798" s="20"/>
    </row>
    <row r="24799" spans="24:25">
      <c r="X24799" s="19"/>
      <c r="Y24799" s="20"/>
    </row>
    <row r="24800" spans="24:25">
      <c r="X24800" s="19"/>
      <c r="Y24800" s="20"/>
    </row>
    <row r="24801" spans="24:25">
      <c r="X24801" s="19"/>
      <c r="Y24801" s="20"/>
    </row>
    <row r="24802" spans="24:25">
      <c r="X24802" s="19"/>
      <c r="Y24802" s="20"/>
    </row>
    <row r="24803" spans="24:25">
      <c r="X24803" s="19"/>
      <c r="Y24803" s="20"/>
    </row>
    <row r="24804" spans="24:25">
      <c r="X24804" s="19"/>
      <c r="Y24804" s="20"/>
    </row>
    <row r="24805" spans="24:25">
      <c r="X24805" s="19"/>
      <c r="Y24805" s="20"/>
    </row>
    <row r="24806" spans="24:25">
      <c r="X24806" s="19"/>
      <c r="Y24806" s="20"/>
    </row>
    <row r="24807" spans="24:25">
      <c r="X24807" s="19"/>
      <c r="Y24807" s="20"/>
    </row>
    <row r="24808" spans="24:25">
      <c r="X24808" s="19"/>
      <c r="Y24808" s="20"/>
    </row>
    <row r="24809" spans="24:25">
      <c r="X24809" s="19"/>
      <c r="Y24809" s="20"/>
    </row>
    <row r="24810" spans="24:25">
      <c r="X24810" s="19"/>
      <c r="Y24810" s="20"/>
    </row>
    <row r="24811" spans="24:25">
      <c r="X24811" s="19"/>
      <c r="Y24811" s="20"/>
    </row>
    <row r="24812" spans="24:25">
      <c r="X24812" s="19"/>
      <c r="Y24812" s="20"/>
    </row>
    <row r="24813" spans="24:25">
      <c r="X24813" s="19"/>
      <c r="Y24813" s="20"/>
    </row>
    <row r="24814" spans="24:25">
      <c r="X24814" s="19"/>
      <c r="Y24814" s="20"/>
    </row>
    <row r="24815" spans="24:25">
      <c r="X24815" s="19"/>
      <c r="Y24815" s="20"/>
    </row>
    <row r="24816" spans="24:25">
      <c r="X24816" s="19"/>
      <c r="Y24816" s="20"/>
    </row>
    <row r="24817" spans="24:25">
      <c r="X24817" s="19"/>
      <c r="Y24817" s="20"/>
    </row>
    <row r="24818" spans="24:25">
      <c r="X24818" s="19"/>
      <c r="Y24818" s="20"/>
    </row>
    <row r="24819" spans="24:25">
      <c r="X24819" s="19"/>
      <c r="Y24819" s="20"/>
    </row>
    <row r="24820" spans="24:25">
      <c r="X24820" s="19"/>
      <c r="Y24820" s="20"/>
    </row>
    <row r="24821" spans="24:25">
      <c r="X24821" s="19"/>
      <c r="Y24821" s="20"/>
    </row>
    <row r="24822" spans="24:25">
      <c r="X24822" s="19"/>
      <c r="Y24822" s="20"/>
    </row>
    <row r="24823" spans="24:25">
      <c r="X24823" s="19"/>
      <c r="Y24823" s="20"/>
    </row>
    <row r="24824" spans="24:25">
      <c r="X24824" s="19"/>
      <c r="Y24824" s="20"/>
    </row>
    <row r="24825" spans="24:25">
      <c r="X24825" s="19"/>
      <c r="Y24825" s="20"/>
    </row>
    <row r="24826" spans="24:25">
      <c r="X24826" s="19"/>
      <c r="Y24826" s="20"/>
    </row>
    <row r="24827" spans="24:25">
      <c r="X24827" s="19"/>
      <c r="Y24827" s="20"/>
    </row>
    <row r="24828" spans="24:25">
      <c r="X24828" s="19"/>
      <c r="Y24828" s="20"/>
    </row>
    <row r="24829" spans="24:25">
      <c r="X24829" s="19"/>
      <c r="Y24829" s="20"/>
    </row>
    <row r="24830" spans="24:25">
      <c r="X24830" s="19"/>
      <c r="Y24830" s="20"/>
    </row>
    <row r="24831" spans="24:25">
      <c r="X24831" s="19"/>
      <c r="Y24831" s="20"/>
    </row>
    <row r="24832" spans="24:25">
      <c r="X24832" s="19"/>
      <c r="Y24832" s="20"/>
    </row>
    <row r="24833" spans="24:25">
      <c r="X24833" s="19"/>
      <c r="Y24833" s="20"/>
    </row>
    <row r="24834" spans="24:25">
      <c r="X24834" s="19"/>
      <c r="Y24834" s="20"/>
    </row>
    <row r="24835" spans="24:25">
      <c r="X24835" s="19"/>
      <c r="Y24835" s="20"/>
    </row>
    <row r="24836" spans="24:25">
      <c r="X24836" s="19"/>
      <c r="Y24836" s="20"/>
    </row>
    <row r="24837" spans="24:25">
      <c r="X24837" s="19"/>
      <c r="Y24837" s="20"/>
    </row>
    <row r="24838" spans="24:25">
      <c r="X24838" s="19"/>
      <c r="Y24838" s="20"/>
    </row>
    <row r="24839" spans="24:25">
      <c r="X24839" s="19"/>
      <c r="Y24839" s="20"/>
    </row>
    <row r="24840" spans="24:25">
      <c r="X24840" s="19"/>
      <c r="Y24840" s="20"/>
    </row>
    <row r="24841" spans="24:25">
      <c r="X24841" s="19"/>
      <c r="Y24841" s="20"/>
    </row>
    <row r="24842" spans="24:25">
      <c r="X24842" s="19"/>
      <c r="Y24842" s="20"/>
    </row>
    <row r="24843" spans="24:25">
      <c r="X24843" s="19"/>
      <c r="Y24843" s="20"/>
    </row>
    <row r="24844" spans="24:25">
      <c r="X24844" s="19"/>
      <c r="Y24844" s="20"/>
    </row>
    <row r="24845" spans="24:25">
      <c r="X24845" s="19"/>
      <c r="Y24845" s="20"/>
    </row>
    <row r="24846" spans="24:25">
      <c r="X24846" s="19"/>
      <c r="Y24846" s="20"/>
    </row>
    <row r="24847" spans="24:25">
      <c r="X24847" s="19"/>
      <c r="Y24847" s="20"/>
    </row>
    <row r="24848" spans="24:25">
      <c r="X24848" s="19"/>
      <c r="Y24848" s="20"/>
    </row>
    <row r="24849" spans="24:25">
      <c r="X24849" s="19"/>
      <c r="Y24849" s="20"/>
    </row>
    <row r="24850" spans="24:25">
      <c r="X24850" s="19"/>
      <c r="Y24850" s="20"/>
    </row>
    <row r="24851" spans="24:25">
      <c r="X24851" s="19"/>
      <c r="Y24851" s="20"/>
    </row>
    <row r="24852" spans="24:25">
      <c r="X24852" s="19"/>
      <c r="Y24852" s="20"/>
    </row>
    <row r="24853" spans="24:25">
      <c r="X24853" s="19"/>
      <c r="Y24853" s="20"/>
    </row>
    <row r="24854" spans="24:25">
      <c r="X24854" s="19"/>
      <c r="Y24854" s="20"/>
    </row>
    <row r="24855" spans="24:25">
      <c r="X24855" s="19"/>
      <c r="Y24855" s="20"/>
    </row>
    <row r="24856" spans="24:25">
      <c r="X24856" s="19"/>
      <c r="Y24856" s="20"/>
    </row>
    <row r="24857" spans="24:25">
      <c r="X24857" s="19"/>
      <c r="Y24857" s="20"/>
    </row>
    <row r="24858" spans="24:25">
      <c r="X24858" s="19"/>
      <c r="Y24858" s="20"/>
    </row>
    <row r="24859" spans="24:25">
      <c r="X24859" s="19"/>
      <c r="Y24859" s="20"/>
    </row>
    <row r="24860" spans="24:25">
      <c r="X24860" s="19"/>
      <c r="Y24860" s="20"/>
    </row>
    <row r="24861" spans="24:25">
      <c r="X24861" s="19"/>
      <c r="Y24861" s="20"/>
    </row>
    <row r="24862" spans="24:25">
      <c r="X24862" s="19"/>
      <c r="Y24862" s="20"/>
    </row>
    <row r="24863" spans="24:25">
      <c r="X24863" s="19"/>
      <c r="Y24863" s="20"/>
    </row>
    <row r="24864" spans="24:25">
      <c r="X24864" s="19"/>
      <c r="Y24864" s="20"/>
    </row>
    <row r="24865" spans="24:25">
      <c r="X24865" s="19"/>
      <c r="Y24865" s="20"/>
    </row>
    <row r="24866" spans="24:25">
      <c r="X24866" s="19"/>
      <c r="Y24866" s="20"/>
    </row>
    <row r="24867" spans="24:25">
      <c r="X24867" s="19"/>
      <c r="Y24867" s="20"/>
    </row>
    <row r="24868" spans="24:25">
      <c r="X24868" s="19"/>
      <c r="Y24868" s="20"/>
    </row>
    <row r="24869" spans="24:25">
      <c r="X24869" s="19"/>
      <c r="Y24869" s="20"/>
    </row>
    <row r="24870" spans="24:25">
      <c r="X24870" s="19"/>
      <c r="Y24870" s="20"/>
    </row>
    <row r="24871" spans="24:25">
      <c r="X24871" s="19"/>
      <c r="Y24871" s="20"/>
    </row>
    <row r="24872" spans="24:25">
      <c r="X24872" s="19"/>
      <c r="Y24872" s="20"/>
    </row>
    <row r="24873" spans="24:25">
      <c r="X24873" s="19"/>
      <c r="Y24873" s="20"/>
    </row>
    <row r="24874" spans="24:25">
      <c r="X24874" s="19"/>
      <c r="Y24874" s="20"/>
    </row>
    <row r="24875" spans="24:25">
      <c r="X24875" s="19"/>
      <c r="Y24875" s="20"/>
    </row>
    <row r="24876" spans="24:25">
      <c r="X24876" s="19"/>
      <c r="Y24876" s="20"/>
    </row>
    <row r="24877" spans="24:25">
      <c r="X24877" s="19"/>
      <c r="Y24877" s="20"/>
    </row>
    <row r="24878" spans="24:25">
      <c r="X24878" s="19"/>
      <c r="Y24878" s="20"/>
    </row>
    <row r="24879" spans="24:25">
      <c r="X24879" s="19"/>
      <c r="Y24879" s="20"/>
    </row>
    <row r="24880" spans="24:25">
      <c r="X24880" s="19"/>
      <c r="Y24880" s="20"/>
    </row>
    <row r="24881" spans="24:25">
      <c r="X24881" s="19"/>
      <c r="Y24881" s="20"/>
    </row>
    <row r="24882" spans="24:25">
      <c r="X24882" s="19"/>
      <c r="Y24882" s="20"/>
    </row>
    <row r="24883" spans="24:25">
      <c r="X24883" s="19"/>
      <c r="Y24883" s="20"/>
    </row>
    <row r="24884" spans="24:25">
      <c r="X24884" s="19"/>
      <c r="Y24884" s="20"/>
    </row>
    <row r="24885" spans="24:25">
      <c r="X24885" s="19"/>
      <c r="Y24885" s="20"/>
    </row>
    <row r="24886" spans="24:25">
      <c r="X24886" s="19"/>
      <c r="Y24886" s="20"/>
    </row>
    <row r="24887" spans="24:25">
      <c r="X24887" s="19"/>
      <c r="Y24887" s="20"/>
    </row>
    <row r="24888" spans="24:25">
      <c r="X24888" s="19"/>
      <c r="Y24888" s="20"/>
    </row>
    <row r="24889" spans="24:25">
      <c r="X24889" s="19"/>
      <c r="Y24889" s="20"/>
    </row>
    <row r="24890" spans="24:25">
      <c r="X24890" s="19"/>
      <c r="Y24890" s="20"/>
    </row>
    <row r="24891" spans="24:25">
      <c r="X24891" s="19"/>
      <c r="Y24891" s="20"/>
    </row>
    <row r="24892" spans="24:25">
      <c r="X24892" s="19"/>
      <c r="Y24892" s="20"/>
    </row>
    <row r="24893" spans="24:25">
      <c r="X24893" s="19"/>
      <c r="Y24893" s="20"/>
    </row>
    <row r="24894" spans="24:25">
      <c r="X24894" s="19"/>
      <c r="Y24894" s="20"/>
    </row>
    <row r="24895" spans="24:25">
      <c r="X24895" s="19"/>
      <c r="Y24895" s="20"/>
    </row>
    <row r="24896" spans="24:25">
      <c r="X24896" s="19"/>
      <c r="Y24896" s="20"/>
    </row>
    <row r="24897" spans="24:25">
      <c r="X24897" s="19"/>
      <c r="Y24897" s="20"/>
    </row>
    <row r="24898" spans="24:25">
      <c r="X24898" s="19"/>
      <c r="Y24898" s="20"/>
    </row>
    <row r="24899" spans="24:25">
      <c r="X24899" s="19"/>
      <c r="Y24899" s="20"/>
    </row>
    <row r="24900" spans="24:25">
      <c r="X24900" s="19"/>
      <c r="Y24900" s="20"/>
    </row>
    <row r="24901" spans="24:25">
      <c r="X24901" s="19"/>
      <c r="Y24901" s="20"/>
    </row>
    <row r="24902" spans="24:25">
      <c r="X24902" s="19"/>
      <c r="Y24902" s="20"/>
    </row>
    <row r="24903" spans="24:25">
      <c r="X24903" s="19"/>
      <c r="Y24903" s="20"/>
    </row>
    <row r="24904" spans="24:25">
      <c r="X24904" s="19"/>
      <c r="Y24904" s="20"/>
    </row>
    <row r="24905" spans="24:25">
      <c r="X24905" s="19"/>
      <c r="Y24905" s="20"/>
    </row>
    <row r="24906" spans="24:25">
      <c r="X24906" s="19"/>
      <c r="Y24906" s="20"/>
    </row>
    <row r="24907" spans="24:25">
      <c r="X24907" s="19"/>
      <c r="Y24907" s="20"/>
    </row>
    <row r="24908" spans="24:25">
      <c r="X24908" s="19"/>
      <c r="Y24908" s="20"/>
    </row>
    <row r="24909" spans="24:25">
      <c r="X24909" s="19"/>
      <c r="Y24909" s="20"/>
    </row>
    <row r="24910" spans="24:25">
      <c r="X24910" s="19"/>
      <c r="Y24910" s="20"/>
    </row>
    <row r="24911" spans="24:25">
      <c r="X24911" s="19"/>
      <c r="Y24911" s="20"/>
    </row>
    <row r="24912" spans="24:25">
      <c r="X24912" s="19"/>
      <c r="Y24912" s="20"/>
    </row>
    <row r="24913" spans="24:25">
      <c r="X24913" s="19"/>
      <c r="Y24913" s="20"/>
    </row>
    <row r="24914" spans="24:25">
      <c r="X24914" s="19"/>
      <c r="Y24914" s="20"/>
    </row>
    <row r="24915" spans="24:25">
      <c r="X24915" s="19"/>
      <c r="Y24915" s="20"/>
    </row>
    <row r="24916" spans="24:25">
      <c r="X24916" s="19"/>
      <c r="Y24916" s="20"/>
    </row>
    <row r="24917" spans="24:25">
      <c r="X24917" s="19"/>
      <c r="Y24917" s="20"/>
    </row>
    <row r="24918" spans="24:25">
      <c r="X24918" s="19"/>
      <c r="Y24918" s="20"/>
    </row>
    <row r="24919" spans="24:25">
      <c r="X24919" s="19"/>
      <c r="Y24919" s="20"/>
    </row>
    <row r="24920" spans="24:25">
      <c r="X24920" s="19"/>
      <c r="Y24920" s="20"/>
    </row>
    <row r="24921" spans="24:25">
      <c r="X24921" s="19"/>
      <c r="Y24921" s="20"/>
    </row>
    <row r="24922" spans="24:25">
      <c r="X24922" s="19"/>
      <c r="Y24922" s="20"/>
    </row>
    <row r="24923" spans="24:25">
      <c r="X24923" s="19"/>
      <c r="Y24923" s="20"/>
    </row>
    <row r="24924" spans="24:25">
      <c r="X24924" s="19"/>
      <c r="Y24924" s="20"/>
    </row>
    <row r="24925" spans="24:25">
      <c r="X24925" s="19"/>
      <c r="Y24925" s="20"/>
    </row>
    <row r="24926" spans="24:25">
      <c r="X24926" s="19"/>
      <c r="Y24926" s="20"/>
    </row>
    <row r="24927" spans="24:25">
      <c r="X24927" s="19"/>
      <c r="Y24927" s="20"/>
    </row>
    <row r="24928" spans="24:25">
      <c r="X24928" s="19"/>
      <c r="Y24928" s="20"/>
    </row>
    <row r="24929" spans="24:25">
      <c r="X24929" s="19"/>
      <c r="Y24929" s="20"/>
    </row>
    <row r="24930" spans="24:25">
      <c r="X24930" s="19"/>
      <c r="Y24930" s="20"/>
    </row>
    <row r="24931" spans="24:25">
      <c r="X24931" s="19"/>
      <c r="Y24931" s="20"/>
    </row>
    <row r="24932" spans="24:25">
      <c r="X24932" s="19"/>
      <c r="Y24932" s="20"/>
    </row>
    <row r="24933" spans="24:25">
      <c r="X24933" s="19"/>
      <c r="Y24933" s="20"/>
    </row>
    <row r="24934" spans="24:25">
      <c r="X24934" s="19"/>
      <c r="Y24934" s="20"/>
    </row>
    <row r="24935" spans="24:25">
      <c r="X24935" s="19"/>
      <c r="Y24935" s="20"/>
    </row>
    <row r="24936" spans="24:25">
      <c r="X24936" s="19"/>
      <c r="Y24936" s="20"/>
    </row>
    <row r="24937" spans="24:25">
      <c r="X24937" s="19"/>
      <c r="Y24937" s="20"/>
    </row>
    <row r="24938" spans="24:25">
      <c r="X24938" s="19"/>
      <c r="Y24938" s="20"/>
    </row>
    <row r="24939" spans="24:25">
      <c r="X24939" s="19"/>
      <c r="Y24939" s="20"/>
    </row>
    <row r="24940" spans="24:25">
      <c r="X24940" s="19"/>
      <c r="Y24940" s="20"/>
    </row>
    <row r="24941" spans="24:25">
      <c r="X24941" s="19"/>
      <c r="Y24941" s="20"/>
    </row>
    <row r="24942" spans="24:25">
      <c r="X24942" s="19"/>
      <c r="Y24942" s="20"/>
    </row>
    <row r="24943" spans="24:25">
      <c r="X24943" s="19"/>
      <c r="Y24943" s="20"/>
    </row>
    <row r="24944" spans="24:25">
      <c r="X24944" s="19"/>
      <c r="Y24944" s="20"/>
    </row>
    <row r="24945" spans="24:25">
      <c r="X24945" s="19"/>
      <c r="Y24945" s="20"/>
    </row>
    <row r="24946" spans="24:25">
      <c r="X24946" s="19"/>
      <c r="Y24946" s="20"/>
    </row>
    <row r="24947" spans="24:25">
      <c r="X24947" s="19"/>
      <c r="Y24947" s="20"/>
    </row>
    <row r="24948" spans="24:25">
      <c r="X24948" s="19"/>
      <c r="Y24948" s="20"/>
    </row>
    <row r="24949" spans="24:25">
      <c r="X24949" s="19"/>
      <c r="Y24949" s="20"/>
    </row>
    <row r="24950" spans="24:25">
      <c r="X24950" s="19"/>
      <c r="Y24950" s="20"/>
    </row>
    <row r="24951" spans="24:25">
      <c r="X24951" s="19"/>
      <c r="Y24951" s="20"/>
    </row>
    <row r="24952" spans="24:25">
      <c r="X24952" s="19"/>
      <c r="Y24952" s="20"/>
    </row>
    <row r="24953" spans="24:25">
      <c r="X24953" s="19"/>
      <c r="Y24953" s="20"/>
    </row>
    <row r="24954" spans="24:25">
      <c r="X24954" s="19"/>
      <c r="Y24954" s="20"/>
    </row>
    <row r="24955" spans="24:25">
      <c r="X24955" s="19"/>
      <c r="Y24955" s="20"/>
    </row>
    <row r="24956" spans="24:25">
      <c r="X24956" s="19"/>
      <c r="Y24956" s="20"/>
    </row>
    <row r="24957" spans="24:25">
      <c r="X24957" s="19"/>
      <c r="Y24957" s="20"/>
    </row>
    <row r="24958" spans="24:25">
      <c r="X24958" s="19"/>
      <c r="Y24958" s="20"/>
    </row>
    <row r="24959" spans="24:25">
      <c r="X24959" s="19"/>
      <c r="Y24959" s="20"/>
    </row>
    <row r="24960" spans="24:25">
      <c r="X24960" s="19"/>
      <c r="Y24960" s="20"/>
    </row>
    <row r="24961" spans="24:25">
      <c r="X24961" s="19"/>
      <c r="Y24961" s="20"/>
    </row>
    <row r="24962" spans="24:25">
      <c r="X24962" s="19"/>
      <c r="Y24962" s="20"/>
    </row>
    <row r="24963" spans="24:25">
      <c r="X24963" s="19"/>
      <c r="Y24963" s="20"/>
    </row>
    <row r="24964" spans="24:25">
      <c r="X24964" s="19"/>
      <c r="Y24964" s="20"/>
    </row>
    <row r="24965" spans="24:25">
      <c r="X24965" s="19"/>
      <c r="Y24965" s="20"/>
    </row>
    <row r="24966" spans="24:25">
      <c r="X24966" s="19"/>
      <c r="Y24966" s="20"/>
    </row>
    <row r="24967" spans="24:25">
      <c r="X24967" s="19"/>
      <c r="Y24967" s="20"/>
    </row>
    <row r="24968" spans="24:25">
      <c r="X24968" s="19"/>
      <c r="Y24968" s="20"/>
    </row>
    <row r="24969" spans="24:25">
      <c r="X24969" s="19"/>
      <c r="Y24969" s="20"/>
    </row>
    <row r="24970" spans="24:25">
      <c r="X24970" s="19"/>
      <c r="Y24970" s="20"/>
    </row>
    <row r="24971" spans="24:25">
      <c r="X24971" s="19"/>
      <c r="Y24971" s="20"/>
    </row>
    <row r="24972" spans="24:25">
      <c r="X24972" s="19"/>
      <c r="Y24972" s="20"/>
    </row>
    <row r="24973" spans="24:25">
      <c r="X24973" s="19"/>
      <c r="Y24973" s="20"/>
    </row>
    <row r="24974" spans="24:25">
      <c r="X24974" s="19"/>
      <c r="Y24974" s="20"/>
    </row>
    <row r="24975" spans="24:25">
      <c r="X24975" s="19"/>
      <c r="Y24975" s="20"/>
    </row>
    <row r="24976" spans="24:25">
      <c r="X24976" s="19"/>
      <c r="Y24976" s="20"/>
    </row>
    <row r="24977" spans="24:25">
      <c r="X24977" s="19"/>
      <c r="Y24977" s="20"/>
    </row>
    <row r="24978" spans="24:25">
      <c r="X24978" s="19"/>
      <c r="Y24978" s="20"/>
    </row>
    <row r="24979" spans="24:25">
      <c r="X24979" s="19"/>
      <c r="Y24979" s="20"/>
    </row>
    <row r="24980" spans="24:25">
      <c r="X24980" s="19"/>
      <c r="Y24980" s="20"/>
    </row>
    <row r="24981" spans="24:25">
      <c r="X24981" s="19"/>
      <c r="Y24981" s="20"/>
    </row>
    <row r="24982" spans="24:25">
      <c r="X24982" s="19"/>
      <c r="Y24982" s="20"/>
    </row>
    <row r="24983" spans="24:25">
      <c r="X24983" s="19"/>
      <c r="Y24983" s="20"/>
    </row>
    <row r="24984" spans="24:25">
      <c r="X24984" s="19"/>
      <c r="Y24984" s="20"/>
    </row>
    <row r="24985" spans="24:25">
      <c r="X24985" s="19"/>
      <c r="Y24985" s="20"/>
    </row>
    <row r="24986" spans="24:25">
      <c r="X24986" s="19"/>
      <c r="Y24986" s="20"/>
    </row>
    <row r="24987" spans="24:25">
      <c r="X24987" s="19"/>
      <c r="Y24987" s="20"/>
    </row>
    <row r="24988" spans="24:25">
      <c r="X24988" s="19"/>
      <c r="Y24988" s="20"/>
    </row>
    <row r="24989" spans="24:25">
      <c r="X24989" s="19"/>
      <c r="Y24989" s="20"/>
    </row>
    <row r="24990" spans="24:25">
      <c r="X24990" s="19"/>
      <c r="Y24990" s="20"/>
    </row>
    <row r="24991" spans="24:25">
      <c r="X24991" s="19"/>
      <c r="Y24991" s="20"/>
    </row>
    <row r="24992" spans="24:25">
      <c r="X24992" s="19"/>
      <c r="Y24992" s="20"/>
    </row>
    <row r="24993" spans="24:25">
      <c r="X24993" s="19"/>
      <c r="Y24993" s="20"/>
    </row>
    <row r="24994" spans="24:25">
      <c r="X24994" s="19"/>
      <c r="Y24994" s="20"/>
    </row>
    <row r="24995" spans="24:25">
      <c r="X24995" s="19"/>
      <c r="Y24995" s="20"/>
    </row>
    <row r="24996" spans="24:25">
      <c r="X24996" s="19"/>
      <c r="Y24996" s="20"/>
    </row>
    <row r="24997" spans="24:25">
      <c r="X24997" s="19"/>
      <c r="Y24997" s="20"/>
    </row>
    <row r="24998" spans="24:25">
      <c r="X24998" s="19"/>
      <c r="Y24998" s="20"/>
    </row>
    <row r="24999" spans="24:25">
      <c r="X24999" s="19"/>
      <c r="Y24999" s="20"/>
    </row>
    <row r="25000" spans="24:25">
      <c r="X25000" s="19"/>
      <c r="Y25000" s="20"/>
    </row>
    <row r="25001" spans="24:25">
      <c r="X25001" s="19"/>
      <c r="Y25001" s="20"/>
    </row>
    <row r="25002" spans="24:25">
      <c r="X25002" s="19"/>
      <c r="Y25002" s="20"/>
    </row>
    <row r="25003" spans="24:25">
      <c r="X25003" s="19"/>
      <c r="Y25003" s="20"/>
    </row>
    <row r="25004" spans="24:25">
      <c r="X25004" s="19"/>
      <c r="Y25004" s="20"/>
    </row>
    <row r="25005" spans="24:25">
      <c r="X25005" s="19"/>
      <c r="Y25005" s="20"/>
    </row>
    <row r="25006" spans="24:25">
      <c r="X25006" s="19"/>
      <c r="Y25006" s="20"/>
    </row>
    <row r="25007" spans="24:25">
      <c r="X25007" s="19"/>
      <c r="Y25007" s="20"/>
    </row>
    <row r="25008" spans="24:25">
      <c r="X25008" s="19"/>
      <c r="Y25008" s="20"/>
    </row>
    <row r="25009" spans="24:25">
      <c r="X25009" s="19"/>
      <c r="Y25009" s="20"/>
    </row>
    <row r="25010" spans="24:25">
      <c r="X25010" s="19"/>
      <c r="Y25010" s="20"/>
    </row>
    <row r="25011" spans="24:25">
      <c r="X25011" s="19"/>
      <c r="Y25011" s="20"/>
    </row>
    <row r="25012" spans="24:25">
      <c r="X25012" s="19"/>
      <c r="Y25012" s="20"/>
    </row>
    <row r="25013" spans="24:25">
      <c r="X25013" s="19"/>
      <c r="Y25013" s="20"/>
    </row>
    <row r="25014" spans="24:25">
      <c r="X25014" s="19"/>
      <c r="Y25014" s="20"/>
    </row>
    <row r="25015" spans="24:25">
      <c r="X25015" s="19"/>
      <c r="Y25015" s="20"/>
    </row>
    <row r="25016" spans="24:25">
      <c r="X25016" s="19"/>
      <c r="Y25016" s="20"/>
    </row>
    <row r="25017" spans="24:25">
      <c r="X25017" s="19"/>
      <c r="Y25017" s="20"/>
    </row>
    <row r="25018" spans="24:25">
      <c r="X25018" s="19"/>
      <c r="Y25018" s="20"/>
    </row>
    <row r="25019" spans="24:25">
      <c r="X25019" s="19"/>
      <c r="Y25019" s="20"/>
    </row>
    <row r="25020" spans="24:25">
      <c r="X25020" s="19"/>
      <c r="Y25020" s="20"/>
    </row>
    <row r="25021" spans="24:25">
      <c r="X25021" s="19"/>
      <c r="Y25021" s="20"/>
    </row>
    <row r="25022" spans="24:25">
      <c r="X25022" s="19"/>
      <c r="Y25022" s="20"/>
    </row>
    <row r="25023" spans="24:25">
      <c r="X25023" s="19"/>
      <c r="Y25023" s="20"/>
    </row>
    <row r="25024" spans="24:25">
      <c r="X25024" s="19"/>
      <c r="Y25024" s="20"/>
    </row>
    <row r="25025" spans="24:25">
      <c r="X25025" s="19"/>
      <c r="Y25025" s="20"/>
    </row>
    <row r="25026" spans="24:25">
      <c r="X25026" s="19"/>
      <c r="Y25026" s="20"/>
    </row>
    <row r="25027" spans="24:25">
      <c r="X25027" s="19"/>
      <c r="Y25027" s="20"/>
    </row>
    <row r="25028" spans="24:25">
      <c r="X25028" s="19"/>
      <c r="Y25028" s="20"/>
    </row>
    <row r="25029" spans="24:25">
      <c r="X25029" s="19"/>
      <c r="Y25029" s="20"/>
    </row>
    <row r="25030" spans="24:25">
      <c r="X25030" s="19"/>
      <c r="Y25030" s="20"/>
    </row>
    <row r="25031" spans="24:25">
      <c r="X25031" s="19"/>
      <c r="Y25031" s="20"/>
    </row>
    <row r="25032" spans="24:25">
      <c r="X25032" s="19"/>
      <c r="Y25032" s="20"/>
    </row>
    <row r="25033" spans="24:25">
      <c r="X25033" s="19"/>
      <c r="Y25033" s="20"/>
    </row>
    <row r="25034" spans="24:25">
      <c r="X25034" s="19"/>
      <c r="Y25034" s="20"/>
    </row>
    <row r="25035" spans="24:25">
      <c r="X25035" s="19"/>
      <c r="Y25035" s="20"/>
    </row>
    <row r="25036" spans="24:25">
      <c r="X25036" s="19"/>
      <c r="Y25036" s="20"/>
    </row>
    <row r="25037" spans="24:25">
      <c r="X25037" s="19"/>
      <c r="Y25037" s="20"/>
    </row>
    <row r="25038" spans="24:25">
      <c r="X25038" s="19"/>
      <c r="Y25038" s="20"/>
    </row>
    <row r="25039" spans="24:25">
      <c r="X25039" s="19"/>
      <c r="Y25039" s="20"/>
    </row>
    <row r="25040" spans="24:25">
      <c r="X25040" s="19"/>
      <c r="Y25040" s="20"/>
    </row>
    <row r="25041" spans="24:25">
      <c r="X25041" s="19"/>
      <c r="Y25041" s="20"/>
    </row>
    <row r="25042" spans="24:25">
      <c r="X25042" s="19"/>
      <c r="Y25042" s="20"/>
    </row>
    <row r="25043" spans="24:25">
      <c r="X25043" s="19"/>
      <c r="Y25043" s="20"/>
    </row>
    <row r="25044" spans="24:25">
      <c r="X25044" s="19"/>
      <c r="Y25044" s="20"/>
    </row>
    <row r="25045" spans="24:25">
      <c r="X25045" s="19"/>
      <c r="Y25045" s="20"/>
    </row>
    <row r="25046" spans="24:25">
      <c r="X25046" s="19"/>
      <c r="Y25046" s="20"/>
    </row>
    <row r="25047" spans="24:25">
      <c r="X25047" s="19"/>
      <c r="Y25047" s="20"/>
    </row>
    <row r="25048" spans="24:25">
      <c r="X25048" s="19"/>
      <c r="Y25048" s="20"/>
    </row>
    <row r="25049" spans="24:25">
      <c r="X25049" s="19"/>
      <c r="Y25049" s="20"/>
    </row>
    <row r="25050" spans="24:25">
      <c r="X25050" s="19"/>
      <c r="Y25050" s="20"/>
    </row>
    <row r="25051" spans="24:25">
      <c r="X25051" s="19"/>
      <c r="Y25051" s="20"/>
    </row>
    <row r="25052" spans="24:25">
      <c r="X25052" s="19"/>
      <c r="Y25052" s="20"/>
    </row>
    <row r="25053" spans="24:25">
      <c r="X25053" s="19"/>
      <c r="Y25053" s="20"/>
    </row>
    <row r="25054" spans="24:25">
      <c r="X25054" s="19"/>
      <c r="Y25054" s="20"/>
    </row>
    <row r="25055" spans="24:25">
      <c r="X25055" s="19"/>
      <c r="Y25055" s="20"/>
    </row>
    <row r="25056" spans="24:25">
      <c r="X25056" s="19"/>
      <c r="Y25056" s="20"/>
    </row>
    <row r="25057" spans="24:25">
      <c r="X25057" s="19"/>
      <c r="Y25057" s="20"/>
    </row>
    <row r="25058" spans="24:25">
      <c r="X25058" s="19"/>
      <c r="Y25058" s="20"/>
    </row>
    <row r="25059" spans="24:25">
      <c r="X25059" s="19"/>
      <c r="Y25059" s="20"/>
    </row>
    <row r="25060" spans="24:25">
      <c r="X25060" s="19"/>
      <c r="Y25060" s="20"/>
    </row>
    <row r="25061" spans="24:25">
      <c r="X25061" s="19"/>
      <c r="Y25061" s="20"/>
    </row>
    <row r="25062" spans="24:25">
      <c r="X25062" s="19"/>
      <c r="Y25062" s="20"/>
    </row>
    <row r="25063" spans="24:25">
      <c r="X25063" s="19"/>
      <c r="Y25063" s="20"/>
    </row>
    <row r="25064" spans="24:25">
      <c r="X25064" s="19"/>
      <c r="Y25064" s="20"/>
    </row>
    <row r="25065" spans="24:25">
      <c r="X25065" s="19"/>
      <c r="Y25065" s="20"/>
    </row>
    <row r="25066" spans="24:25">
      <c r="X25066" s="19"/>
      <c r="Y25066" s="20"/>
    </row>
    <row r="25067" spans="24:25">
      <c r="X25067" s="19"/>
      <c r="Y25067" s="20"/>
    </row>
    <row r="25068" spans="24:25">
      <c r="X25068" s="19"/>
      <c r="Y25068" s="20"/>
    </row>
    <row r="25069" spans="24:25">
      <c r="X25069" s="19"/>
      <c r="Y25069" s="20"/>
    </row>
    <row r="25070" spans="24:25">
      <c r="X25070" s="19"/>
      <c r="Y25070" s="20"/>
    </row>
    <row r="25071" spans="24:25">
      <c r="X25071" s="19"/>
      <c r="Y25071" s="20"/>
    </row>
    <row r="25072" spans="24:25">
      <c r="X25072" s="19"/>
      <c r="Y25072" s="20"/>
    </row>
    <row r="25073" spans="24:25">
      <c r="X25073" s="19"/>
      <c r="Y25073" s="20"/>
    </row>
    <row r="25074" spans="24:25">
      <c r="X25074" s="19"/>
      <c r="Y25074" s="20"/>
    </row>
    <row r="25075" spans="24:25">
      <c r="X25075" s="19"/>
      <c r="Y25075" s="20"/>
    </row>
    <row r="25076" spans="24:25">
      <c r="X25076" s="19"/>
      <c r="Y25076" s="20"/>
    </row>
    <row r="25077" spans="24:25">
      <c r="X25077" s="19"/>
      <c r="Y25077" s="20"/>
    </row>
    <row r="25078" spans="24:25">
      <c r="X25078" s="19"/>
      <c r="Y25078" s="20"/>
    </row>
    <row r="25079" spans="24:25">
      <c r="X25079" s="19"/>
      <c r="Y25079" s="20"/>
    </row>
    <row r="25080" spans="24:25">
      <c r="X25080" s="19"/>
      <c r="Y25080" s="20"/>
    </row>
    <row r="25081" spans="24:25">
      <c r="X25081" s="19"/>
      <c r="Y25081" s="20"/>
    </row>
    <row r="25082" spans="24:25">
      <c r="X25082" s="19"/>
      <c r="Y25082" s="20"/>
    </row>
    <row r="25083" spans="24:25">
      <c r="X25083" s="19"/>
      <c r="Y25083" s="20"/>
    </row>
    <row r="25084" spans="24:25">
      <c r="X25084" s="19"/>
      <c r="Y25084" s="20"/>
    </row>
    <row r="25085" spans="24:25">
      <c r="X25085" s="19"/>
      <c r="Y25085" s="20"/>
    </row>
    <row r="25086" spans="24:25">
      <c r="X25086" s="19"/>
      <c r="Y25086" s="20"/>
    </row>
    <row r="25087" spans="24:25">
      <c r="X25087" s="19"/>
      <c r="Y25087" s="20"/>
    </row>
    <row r="25088" spans="24:25">
      <c r="X25088" s="19"/>
      <c r="Y25088" s="20"/>
    </row>
    <row r="25089" spans="24:25">
      <c r="X25089" s="19"/>
      <c r="Y25089" s="20"/>
    </row>
    <row r="25090" spans="24:25">
      <c r="X25090" s="19"/>
      <c r="Y25090" s="20"/>
    </row>
    <row r="25091" spans="24:25">
      <c r="X25091" s="19"/>
      <c r="Y25091" s="20"/>
    </row>
    <row r="25092" spans="24:25">
      <c r="X25092" s="19"/>
      <c r="Y25092" s="20"/>
    </row>
    <row r="25093" spans="24:25">
      <c r="X25093" s="19"/>
      <c r="Y25093" s="20"/>
    </row>
    <row r="25094" spans="24:25">
      <c r="X25094" s="19"/>
      <c r="Y25094" s="20"/>
    </row>
    <row r="25095" spans="24:25">
      <c r="X25095" s="19"/>
      <c r="Y25095" s="20"/>
    </row>
    <row r="25096" spans="24:25">
      <c r="X25096" s="19"/>
      <c r="Y25096" s="20"/>
    </row>
    <row r="25097" spans="24:25">
      <c r="X25097" s="19"/>
      <c r="Y25097" s="20"/>
    </row>
    <row r="25098" spans="24:25">
      <c r="X25098" s="19"/>
      <c r="Y25098" s="20"/>
    </row>
    <row r="25099" spans="24:25">
      <c r="X25099" s="19"/>
      <c r="Y25099" s="20"/>
    </row>
    <row r="25100" spans="24:25">
      <c r="X25100" s="19"/>
      <c r="Y25100" s="20"/>
    </row>
    <row r="25101" spans="24:25">
      <c r="X25101" s="19"/>
      <c r="Y25101" s="20"/>
    </row>
    <row r="25102" spans="24:25">
      <c r="X25102" s="19"/>
      <c r="Y25102" s="20"/>
    </row>
    <row r="25103" spans="24:25">
      <c r="X25103" s="19"/>
      <c r="Y25103" s="20"/>
    </row>
    <row r="25104" spans="24:25">
      <c r="X25104" s="19"/>
      <c r="Y25104" s="20"/>
    </row>
    <row r="25105" spans="24:25">
      <c r="X25105" s="19"/>
      <c r="Y25105" s="20"/>
    </row>
    <row r="25106" spans="24:25">
      <c r="X25106" s="19"/>
      <c r="Y25106" s="20"/>
    </row>
    <row r="25107" spans="24:25">
      <c r="X25107" s="19"/>
      <c r="Y25107" s="20"/>
    </row>
    <row r="25108" spans="24:25">
      <c r="X25108" s="19"/>
      <c r="Y25108" s="20"/>
    </row>
    <row r="25109" spans="24:25">
      <c r="X25109" s="19"/>
      <c r="Y25109" s="20"/>
    </row>
    <row r="25110" spans="24:25">
      <c r="X25110" s="19"/>
      <c r="Y25110" s="20"/>
    </row>
    <row r="25111" spans="24:25">
      <c r="X25111" s="19"/>
      <c r="Y25111" s="20"/>
    </row>
    <row r="25112" spans="24:25">
      <c r="X25112" s="19"/>
      <c r="Y25112" s="20"/>
    </row>
    <row r="25113" spans="24:25">
      <c r="X25113" s="19"/>
      <c r="Y25113" s="20"/>
    </row>
    <row r="25114" spans="24:25">
      <c r="X25114" s="19"/>
      <c r="Y25114" s="20"/>
    </row>
    <row r="25115" spans="24:25">
      <c r="X25115" s="19"/>
      <c r="Y25115" s="20"/>
    </row>
    <row r="25116" spans="24:25">
      <c r="X25116" s="19"/>
      <c r="Y25116" s="20"/>
    </row>
    <row r="25117" spans="24:25">
      <c r="X25117" s="19"/>
      <c r="Y25117" s="20"/>
    </row>
    <row r="25118" spans="24:25">
      <c r="X25118" s="19"/>
      <c r="Y25118" s="20"/>
    </row>
    <row r="25119" spans="24:25">
      <c r="X25119" s="19"/>
      <c r="Y25119" s="20"/>
    </row>
    <row r="25120" spans="24:25">
      <c r="X25120" s="19"/>
      <c r="Y25120" s="20"/>
    </row>
    <row r="25121" spans="24:25">
      <c r="X25121" s="19"/>
      <c r="Y25121" s="20"/>
    </row>
    <row r="25122" spans="24:25">
      <c r="X25122" s="19"/>
      <c r="Y25122" s="20"/>
    </row>
    <row r="25123" spans="24:25">
      <c r="X25123" s="19"/>
      <c r="Y25123" s="20"/>
    </row>
    <row r="25124" spans="24:25">
      <c r="X25124" s="19"/>
      <c r="Y25124" s="20"/>
    </row>
    <row r="25125" spans="24:25">
      <c r="X25125" s="19"/>
      <c r="Y25125" s="20"/>
    </row>
    <row r="25126" spans="24:25">
      <c r="X25126" s="19"/>
      <c r="Y25126" s="20"/>
    </row>
    <row r="25127" spans="24:25">
      <c r="X25127" s="19"/>
      <c r="Y25127" s="20"/>
    </row>
    <row r="25128" spans="24:25">
      <c r="X25128" s="19"/>
      <c r="Y25128" s="20"/>
    </row>
    <row r="25129" spans="24:25">
      <c r="X25129" s="19"/>
      <c r="Y25129" s="20"/>
    </row>
    <row r="25130" spans="24:25">
      <c r="X25130" s="19"/>
      <c r="Y25130" s="20"/>
    </row>
    <row r="25131" spans="24:25">
      <c r="X25131" s="19"/>
      <c r="Y25131" s="20"/>
    </row>
    <row r="25132" spans="24:25">
      <c r="X25132" s="19"/>
      <c r="Y25132" s="20"/>
    </row>
    <row r="25133" spans="24:25">
      <c r="X25133" s="19"/>
      <c r="Y25133" s="20"/>
    </row>
    <row r="25134" spans="24:25">
      <c r="X25134" s="19"/>
      <c r="Y25134" s="20"/>
    </row>
    <row r="25135" spans="24:25">
      <c r="X25135" s="19"/>
      <c r="Y25135" s="20"/>
    </row>
    <row r="25136" spans="24:25">
      <c r="X25136" s="19"/>
      <c r="Y25136" s="20"/>
    </row>
    <row r="25137" spans="24:25">
      <c r="X25137" s="19"/>
      <c r="Y25137" s="20"/>
    </row>
    <row r="25138" spans="24:25">
      <c r="X25138" s="19"/>
      <c r="Y25138" s="20"/>
    </row>
    <row r="25139" spans="24:25">
      <c r="X25139" s="19"/>
      <c r="Y25139" s="20"/>
    </row>
    <row r="25140" spans="24:25">
      <c r="X25140" s="19"/>
      <c r="Y25140" s="20"/>
    </row>
    <row r="25141" spans="24:25">
      <c r="X25141" s="19"/>
      <c r="Y25141" s="20"/>
    </row>
    <row r="25142" spans="24:25">
      <c r="X25142" s="19"/>
      <c r="Y25142" s="20"/>
    </row>
    <row r="25143" spans="24:25">
      <c r="X25143" s="19"/>
      <c r="Y25143" s="20"/>
    </row>
    <row r="25144" spans="24:25">
      <c r="X25144" s="19"/>
      <c r="Y25144" s="20"/>
    </row>
    <row r="25145" spans="24:25">
      <c r="X25145" s="19"/>
      <c r="Y25145" s="20"/>
    </row>
    <row r="25146" spans="24:25">
      <c r="X25146" s="19"/>
      <c r="Y25146" s="20"/>
    </row>
    <row r="25147" spans="24:25">
      <c r="X25147" s="19"/>
      <c r="Y25147" s="20"/>
    </row>
    <row r="25148" spans="24:25">
      <c r="X25148" s="19"/>
      <c r="Y25148" s="20"/>
    </row>
    <row r="25149" spans="24:25">
      <c r="X25149" s="19"/>
      <c r="Y25149" s="20"/>
    </row>
    <row r="25150" spans="24:25">
      <c r="X25150" s="19"/>
      <c r="Y25150" s="20"/>
    </row>
    <row r="25151" spans="24:25">
      <c r="X25151" s="19"/>
      <c r="Y25151" s="20"/>
    </row>
    <row r="25152" spans="24:25">
      <c r="X25152" s="19"/>
      <c r="Y25152" s="20"/>
    </row>
    <row r="25153" spans="24:25">
      <c r="X25153" s="19"/>
      <c r="Y25153" s="20"/>
    </row>
    <row r="25154" spans="24:25">
      <c r="X25154" s="19"/>
      <c r="Y25154" s="20"/>
    </row>
    <row r="25155" spans="24:25">
      <c r="X25155" s="19"/>
      <c r="Y25155" s="20"/>
    </row>
    <row r="25156" spans="24:25">
      <c r="X25156" s="19"/>
      <c r="Y25156" s="20"/>
    </row>
    <row r="25157" spans="24:25">
      <c r="X25157" s="19"/>
      <c r="Y25157" s="20"/>
    </row>
    <row r="25158" spans="24:25">
      <c r="X25158" s="19"/>
      <c r="Y25158" s="20"/>
    </row>
    <row r="25159" spans="24:25">
      <c r="X25159" s="19"/>
      <c r="Y25159" s="20"/>
    </row>
    <row r="25160" spans="24:25">
      <c r="X25160" s="19"/>
      <c r="Y25160" s="20"/>
    </row>
    <row r="25161" spans="24:25">
      <c r="X25161" s="19"/>
      <c r="Y25161" s="20"/>
    </row>
    <row r="25162" spans="24:25">
      <c r="X25162" s="19"/>
      <c r="Y25162" s="20"/>
    </row>
    <row r="25163" spans="24:25">
      <c r="X25163" s="19"/>
      <c r="Y25163" s="20"/>
    </row>
    <row r="25164" spans="24:25">
      <c r="X25164" s="19"/>
      <c r="Y25164" s="20"/>
    </row>
    <row r="25165" spans="24:25">
      <c r="X25165" s="19"/>
      <c r="Y25165" s="20"/>
    </row>
    <row r="25166" spans="24:25">
      <c r="X25166" s="19"/>
      <c r="Y25166" s="20"/>
    </row>
    <row r="25167" spans="24:25">
      <c r="X25167" s="19"/>
      <c r="Y25167" s="20"/>
    </row>
    <row r="25168" spans="24:25">
      <c r="X25168" s="19"/>
      <c r="Y25168" s="20"/>
    </row>
    <row r="25169" spans="24:25">
      <c r="X25169" s="19"/>
      <c r="Y25169" s="20"/>
    </row>
    <row r="25170" spans="24:25">
      <c r="X25170" s="19"/>
      <c r="Y25170" s="20"/>
    </row>
    <row r="25171" spans="24:25">
      <c r="X25171" s="19"/>
      <c r="Y25171" s="20"/>
    </row>
    <row r="25172" spans="24:25">
      <c r="X25172" s="19"/>
      <c r="Y25172" s="20"/>
    </row>
    <row r="25173" spans="24:25">
      <c r="X25173" s="19"/>
      <c r="Y25173" s="20"/>
    </row>
    <row r="25174" spans="24:25">
      <c r="X25174" s="19"/>
      <c r="Y25174" s="20"/>
    </row>
    <row r="25175" spans="24:25">
      <c r="X25175" s="19"/>
      <c r="Y25175" s="20"/>
    </row>
    <row r="25176" spans="24:25">
      <c r="X25176" s="19"/>
      <c r="Y25176" s="20"/>
    </row>
    <row r="25177" spans="24:25">
      <c r="X25177" s="19"/>
      <c r="Y25177" s="20"/>
    </row>
    <row r="25178" spans="24:25">
      <c r="X25178" s="19"/>
      <c r="Y25178" s="20"/>
    </row>
    <row r="25179" spans="24:25">
      <c r="X25179" s="19"/>
      <c r="Y25179" s="20"/>
    </row>
    <row r="25180" spans="24:25">
      <c r="X25180" s="19"/>
      <c r="Y25180" s="20"/>
    </row>
    <row r="25181" spans="24:25">
      <c r="X25181" s="19"/>
      <c r="Y25181" s="20"/>
    </row>
    <row r="25182" spans="24:25">
      <c r="X25182" s="19"/>
      <c r="Y25182" s="20"/>
    </row>
    <row r="25183" spans="24:25">
      <c r="X25183" s="19"/>
      <c r="Y25183" s="20"/>
    </row>
    <row r="25184" spans="24:25">
      <c r="X25184" s="19"/>
      <c r="Y25184" s="20"/>
    </row>
    <row r="25185" spans="24:25">
      <c r="X25185" s="19"/>
      <c r="Y25185" s="20"/>
    </row>
    <row r="25186" spans="24:25">
      <c r="X25186" s="19"/>
      <c r="Y25186" s="20"/>
    </row>
    <row r="25187" spans="24:25">
      <c r="X25187" s="19"/>
      <c r="Y25187" s="20"/>
    </row>
    <row r="25188" spans="24:25">
      <c r="X25188" s="19"/>
      <c r="Y25188" s="20"/>
    </row>
    <row r="25189" spans="24:25">
      <c r="X25189" s="19"/>
      <c r="Y25189" s="20"/>
    </row>
    <row r="25190" spans="24:25">
      <c r="X25190" s="19"/>
      <c r="Y25190" s="20"/>
    </row>
    <row r="25191" spans="24:25">
      <c r="X25191" s="19"/>
      <c r="Y25191" s="20"/>
    </row>
    <row r="25192" spans="24:25">
      <c r="X25192" s="19"/>
      <c r="Y25192" s="20"/>
    </row>
    <row r="25193" spans="24:25">
      <c r="X25193" s="19"/>
      <c r="Y25193" s="20"/>
    </row>
    <row r="25194" spans="24:25">
      <c r="X25194" s="19"/>
      <c r="Y25194" s="20"/>
    </row>
    <row r="25195" spans="24:25">
      <c r="X25195" s="19"/>
      <c r="Y25195" s="20"/>
    </row>
    <row r="25196" spans="24:25">
      <c r="X25196" s="19"/>
      <c r="Y25196" s="20"/>
    </row>
    <row r="25197" spans="24:25">
      <c r="X25197" s="19"/>
      <c r="Y25197" s="20"/>
    </row>
    <row r="25198" spans="24:25">
      <c r="X25198" s="19"/>
      <c r="Y25198" s="20"/>
    </row>
    <row r="25199" spans="24:25">
      <c r="X25199" s="19"/>
      <c r="Y25199" s="20"/>
    </row>
    <row r="25200" spans="24:25">
      <c r="X25200" s="19"/>
      <c r="Y25200" s="20"/>
    </row>
    <row r="25201" spans="24:25">
      <c r="X25201" s="19"/>
      <c r="Y25201" s="20"/>
    </row>
    <row r="25202" spans="24:25">
      <c r="X25202" s="19"/>
      <c r="Y25202" s="20"/>
    </row>
    <row r="25203" spans="24:25">
      <c r="X25203" s="19"/>
      <c r="Y25203" s="20"/>
    </row>
    <row r="25204" spans="24:25">
      <c r="X25204" s="19"/>
      <c r="Y25204" s="20"/>
    </row>
    <row r="25205" spans="24:25">
      <c r="X25205" s="19"/>
      <c r="Y25205" s="20"/>
    </row>
    <row r="25206" spans="24:25">
      <c r="X25206" s="19"/>
      <c r="Y25206" s="20"/>
    </row>
    <row r="25207" spans="24:25">
      <c r="X25207" s="19"/>
      <c r="Y25207" s="20"/>
    </row>
    <row r="25208" spans="24:25">
      <c r="X25208" s="19"/>
      <c r="Y25208" s="20"/>
    </row>
    <row r="25209" spans="24:25">
      <c r="X25209" s="19"/>
      <c r="Y25209" s="20"/>
    </row>
    <row r="25210" spans="24:25">
      <c r="X25210" s="19"/>
      <c r="Y25210" s="20"/>
    </row>
    <row r="25211" spans="24:25">
      <c r="X25211" s="19"/>
      <c r="Y25211" s="20"/>
    </row>
    <row r="25212" spans="24:25">
      <c r="X25212" s="19"/>
      <c r="Y25212" s="20"/>
    </row>
    <row r="25213" spans="24:25">
      <c r="X25213" s="19"/>
      <c r="Y25213" s="20"/>
    </row>
    <row r="25214" spans="24:25">
      <c r="X25214" s="19"/>
      <c r="Y25214" s="20"/>
    </row>
    <row r="25215" spans="24:25">
      <c r="X25215" s="19"/>
      <c r="Y25215" s="20"/>
    </row>
    <row r="25216" spans="24:25">
      <c r="X25216" s="19"/>
      <c r="Y25216" s="20"/>
    </row>
    <row r="25217" spans="24:25">
      <c r="X25217" s="19"/>
      <c r="Y25217" s="20"/>
    </row>
    <row r="25218" spans="24:25">
      <c r="X25218" s="19"/>
      <c r="Y25218" s="20"/>
    </row>
    <row r="25219" spans="24:25">
      <c r="X25219" s="19"/>
      <c r="Y25219" s="20"/>
    </row>
    <row r="25220" spans="24:25">
      <c r="X25220" s="19"/>
      <c r="Y25220" s="20"/>
    </row>
    <row r="25221" spans="24:25">
      <c r="X25221" s="19"/>
      <c r="Y25221" s="20"/>
    </row>
    <row r="25222" spans="24:25">
      <c r="X25222" s="19"/>
      <c r="Y25222" s="20"/>
    </row>
    <row r="25223" spans="24:25">
      <c r="X25223" s="19"/>
      <c r="Y25223" s="20"/>
    </row>
    <row r="25224" spans="24:25">
      <c r="X25224" s="19"/>
      <c r="Y25224" s="20"/>
    </row>
    <row r="25225" spans="24:25">
      <c r="X25225" s="19"/>
      <c r="Y25225" s="20"/>
    </row>
    <row r="25226" spans="24:25">
      <c r="X25226" s="19"/>
      <c r="Y25226" s="20"/>
    </row>
    <row r="25227" spans="24:25">
      <c r="X25227" s="19"/>
      <c r="Y25227" s="20"/>
    </row>
    <row r="25228" spans="24:25">
      <c r="X25228" s="19"/>
      <c r="Y25228" s="20"/>
    </row>
    <row r="25229" spans="24:25">
      <c r="X25229" s="19"/>
      <c r="Y25229" s="20"/>
    </row>
    <row r="25230" spans="24:25">
      <c r="X25230" s="19"/>
      <c r="Y25230" s="20"/>
    </row>
    <row r="25231" spans="24:25">
      <c r="X25231" s="19"/>
      <c r="Y25231" s="20"/>
    </row>
    <row r="25232" spans="24:25">
      <c r="X25232" s="19"/>
      <c r="Y25232" s="20"/>
    </row>
    <row r="25233" spans="24:25">
      <c r="X25233" s="19"/>
      <c r="Y25233" s="20"/>
    </row>
    <row r="25234" spans="24:25">
      <c r="X25234" s="19"/>
      <c r="Y25234" s="20"/>
    </row>
    <row r="25235" spans="24:25">
      <c r="X25235" s="19"/>
      <c r="Y25235" s="20"/>
    </row>
    <row r="25236" spans="24:25">
      <c r="X25236" s="19"/>
      <c r="Y25236" s="20"/>
    </row>
    <row r="25237" spans="24:25">
      <c r="X25237" s="19"/>
      <c r="Y25237" s="20"/>
    </row>
    <row r="25238" spans="24:25">
      <c r="X25238" s="19"/>
      <c r="Y25238" s="20"/>
    </row>
    <row r="25239" spans="24:25">
      <c r="X25239" s="19"/>
      <c r="Y25239" s="20"/>
    </row>
    <row r="25240" spans="24:25">
      <c r="X25240" s="19"/>
      <c r="Y25240" s="20"/>
    </row>
    <row r="25241" spans="24:25">
      <c r="X25241" s="19"/>
      <c r="Y25241" s="20"/>
    </row>
    <row r="25242" spans="24:25">
      <c r="X25242" s="19"/>
      <c r="Y25242" s="20"/>
    </row>
    <row r="25243" spans="24:25">
      <c r="X25243" s="19"/>
      <c r="Y25243" s="20"/>
    </row>
    <row r="25244" spans="24:25">
      <c r="X25244" s="19"/>
      <c r="Y25244" s="20"/>
    </row>
    <row r="25245" spans="24:25">
      <c r="X25245" s="19"/>
      <c r="Y25245" s="20"/>
    </row>
    <row r="25246" spans="24:25">
      <c r="X25246" s="19"/>
      <c r="Y25246" s="20"/>
    </row>
    <row r="25247" spans="24:25">
      <c r="X25247" s="19"/>
      <c r="Y25247" s="20"/>
    </row>
    <row r="25248" spans="24:25">
      <c r="X25248" s="19"/>
      <c r="Y25248" s="20"/>
    </row>
    <row r="25249" spans="24:25">
      <c r="X25249" s="19"/>
      <c r="Y25249" s="20"/>
    </row>
    <row r="25250" spans="24:25">
      <c r="X25250" s="19"/>
      <c r="Y25250" s="20"/>
    </row>
    <row r="25251" spans="24:25">
      <c r="X25251" s="19"/>
      <c r="Y25251" s="20"/>
    </row>
    <row r="25252" spans="24:25">
      <c r="X25252" s="19"/>
      <c r="Y25252" s="20"/>
    </row>
    <row r="25253" spans="24:25">
      <c r="X25253" s="19"/>
      <c r="Y25253" s="20"/>
    </row>
    <row r="25254" spans="24:25">
      <c r="X25254" s="19"/>
      <c r="Y25254" s="20"/>
    </row>
    <row r="25255" spans="24:25">
      <c r="X25255" s="19"/>
      <c r="Y25255" s="20"/>
    </row>
    <row r="25256" spans="24:25">
      <c r="X25256" s="19"/>
      <c r="Y25256" s="20"/>
    </row>
    <row r="25257" spans="24:25">
      <c r="X25257" s="19"/>
      <c r="Y25257" s="20"/>
    </row>
    <row r="25258" spans="24:25">
      <c r="X25258" s="19"/>
      <c r="Y25258" s="20"/>
    </row>
    <row r="25259" spans="24:25">
      <c r="X25259" s="19"/>
      <c r="Y25259" s="20"/>
    </row>
    <row r="25260" spans="24:25">
      <c r="X25260" s="19"/>
      <c r="Y25260" s="20"/>
    </row>
    <row r="25261" spans="24:25">
      <c r="X25261" s="19"/>
      <c r="Y25261" s="20"/>
    </row>
    <row r="25262" spans="24:25">
      <c r="X25262" s="19"/>
      <c r="Y25262" s="20"/>
    </row>
    <row r="25263" spans="24:25">
      <c r="X25263" s="19"/>
      <c r="Y25263" s="20"/>
    </row>
    <row r="25264" spans="24:25">
      <c r="X25264" s="19"/>
      <c r="Y25264" s="20"/>
    </row>
    <row r="25265" spans="24:25">
      <c r="X25265" s="19"/>
      <c r="Y25265" s="20"/>
    </row>
    <row r="25266" spans="24:25">
      <c r="X25266" s="19"/>
      <c r="Y25266" s="20"/>
    </row>
    <row r="25267" spans="24:25">
      <c r="X25267" s="19"/>
      <c r="Y25267" s="20"/>
    </row>
    <row r="25268" spans="24:25">
      <c r="X25268" s="19"/>
      <c r="Y25268" s="20"/>
    </row>
    <row r="25269" spans="24:25">
      <c r="X25269" s="19"/>
      <c r="Y25269" s="20"/>
    </row>
    <row r="25270" spans="24:25">
      <c r="X25270" s="19"/>
      <c r="Y25270" s="20"/>
    </row>
    <row r="25271" spans="24:25">
      <c r="X25271" s="19"/>
      <c r="Y25271" s="20"/>
    </row>
    <row r="25272" spans="24:25">
      <c r="X25272" s="19"/>
      <c r="Y25272" s="20"/>
    </row>
    <row r="25273" spans="24:25">
      <c r="X25273" s="19"/>
      <c r="Y25273" s="20"/>
    </row>
    <row r="25274" spans="24:25">
      <c r="X25274" s="19"/>
      <c r="Y25274" s="20"/>
    </row>
    <row r="25275" spans="24:25">
      <c r="X25275" s="19"/>
      <c r="Y25275" s="20"/>
    </row>
    <row r="25276" spans="24:25">
      <c r="X25276" s="19"/>
      <c r="Y25276" s="20"/>
    </row>
    <row r="25277" spans="24:25">
      <c r="X25277" s="19"/>
      <c r="Y25277" s="20"/>
    </row>
    <row r="25278" spans="24:25">
      <c r="X25278" s="19"/>
      <c r="Y25278" s="20"/>
    </row>
    <row r="25279" spans="24:25">
      <c r="X25279" s="19"/>
      <c r="Y25279" s="20"/>
    </row>
    <row r="25280" spans="24:25">
      <c r="X25280" s="19"/>
      <c r="Y25280" s="20"/>
    </row>
    <row r="25281" spans="24:25">
      <c r="X25281" s="19"/>
      <c r="Y25281" s="20"/>
    </row>
    <row r="25282" spans="24:25">
      <c r="X25282" s="19"/>
      <c r="Y25282" s="20"/>
    </row>
    <row r="25283" spans="24:25">
      <c r="X25283" s="19"/>
      <c r="Y25283" s="20"/>
    </row>
    <row r="25284" spans="24:25">
      <c r="X25284" s="19"/>
      <c r="Y25284" s="20"/>
    </row>
    <row r="25285" spans="24:25">
      <c r="X25285" s="19"/>
      <c r="Y25285" s="20"/>
    </row>
    <row r="25286" spans="24:25">
      <c r="X25286" s="19"/>
      <c r="Y25286" s="20"/>
    </row>
    <row r="25287" spans="24:25">
      <c r="X25287" s="19"/>
      <c r="Y25287" s="20"/>
    </row>
    <row r="25288" spans="24:25">
      <c r="X25288" s="19"/>
      <c r="Y25288" s="20"/>
    </row>
    <row r="25289" spans="24:25">
      <c r="X25289" s="19"/>
      <c r="Y25289" s="20"/>
    </row>
    <row r="25290" spans="24:25">
      <c r="X25290" s="19"/>
      <c r="Y25290" s="20"/>
    </row>
    <row r="25291" spans="24:25">
      <c r="X25291" s="19"/>
      <c r="Y25291" s="20"/>
    </row>
    <row r="25292" spans="24:25">
      <c r="X25292" s="19"/>
      <c r="Y25292" s="20"/>
    </row>
    <row r="25293" spans="24:25">
      <c r="X25293" s="19"/>
      <c r="Y25293" s="20"/>
    </row>
    <row r="25294" spans="24:25">
      <c r="X25294" s="19"/>
      <c r="Y25294" s="20"/>
    </row>
    <row r="25295" spans="24:25">
      <c r="X25295" s="19"/>
      <c r="Y25295" s="20"/>
    </row>
    <row r="25296" spans="24:25">
      <c r="X25296" s="19"/>
      <c r="Y25296" s="20"/>
    </row>
    <row r="25297" spans="24:25">
      <c r="X25297" s="19"/>
      <c r="Y25297" s="20"/>
    </row>
    <row r="25298" spans="24:25">
      <c r="X25298" s="19"/>
      <c r="Y25298" s="20"/>
    </row>
    <row r="25299" spans="24:25">
      <c r="X25299" s="19"/>
      <c r="Y25299" s="20"/>
    </row>
    <row r="25300" spans="24:25">
      <c r="X25300" s="19"/>
      <c r="Y25300" s="20"/>
    </row>
    <row r="25301" spans="24:25">
      <c r="X25301" s="19"/>
      <c r="Y25301" s="20"/>
    </row>
    <row r="25302" spans="24:25">
      <c r="X25302" s="19"/>
      <c r="Y25302" s="20"/>
    </row>
    <row r="25303" spans="24:25">
      <c r="X25303" s="19"/>
      <c r="Y25303" s="20"/>
    </row>
    <row r="25304" spans="24:25">
      <c r="X25304" s="19"/>
      <c r="Y25304" s="20"/>
    </row>
    <row r="25305" spans="24:25">
      <c r="X25305" s="19"/>
      <c r="Y25305" s="20"/>
    </row>
    <row r="25306" spans="24:25">
      <c r="X25306" s="19"/>
      <c r="Y25306" s="20"/>
    </row>
    <row r="25307" spans="24:25">
      <c r="X25307" s="19"/>
      <c r="Y25307" s="20"/>
    </row>
    <row r="25308" spans="24:25">
      <c r="X25308" s="19"/>
      <c r="Y25308" s="20"/>
    </row>
    <row r="25309" spans="24:25">
      <c r="X25309" s="19"/>
      <c r="Y25309" s="20"/>
    </row>
    <row r="25310" spans="24:25">
      <c r="X25310" s="19"/>
      <c r="Y25310" s="20"/>
    </row>
    <row r="25311" spans="24:25">
      <c r="X25311" s="19"/>
      <c r="Y25311" s="20"/>
    </row>
    <row r="25312" spans="24:25">
      <c r="X25312" s="19"/>
      <c r="Y25312" s="20"/>
    </row>
    <row r="25313" spans="24:25">
      <c r="X25313" s="19"/>
      <c r="Y25313" s="20"/>
    </row>
    <row r="25314" spans="24:25">
      <c r="X25314" s="19"/>
      <c r="Y25314" s="20"/>
    </row>
    <row r="25315" spans="24:25">
      <c r="X25315" s="19"/>
      <c r="Y25315" s="20"/>
    </row>
    <row r="25316" spans="24:25">
      <c r="X25316" s="19"/>
      <c r="Y25316" s="20"/>
    </row>
    <row r="25317" spans="24:25">
      <c r="X25317" s="19"/>
      <c r="Y25317" s="20"/>
    </row>
    <row r="25318" spans="24:25">
      <c r="X25318" s="19"/>
      <c r="Y25318" s="20"/>
    </row>
    <row r="25319" spans="24:25">
      <c r="X25319" s="19"/>
      <c r="Y25319" s="20"/>
    </row>
    <row r="25320" spans="24:25">
      <c r="X25320" s="19"/>
      <c r="Y25320" s="20"/>
    </row>
    <row r="25321" spans="24:25">
      <c r="X25321" s="19"/>
      <c r="Y25321" s="20"/>
    </row>
    <row r="25322" spans="24:25">
      <c r="X25322" s="19"/>
      <c r="Y25322" s="20"/>
    </row>
    <row r="25323" spans="24:25">
      <c r="X25323" s="19"/>
      <c r="Y25323" s="20"/>
    </row>
    <row r="25324" spans="24:25">
      <c r="X25324" s="19"/>
      <c r="Y25324" s="20"/>
    </row>
    <row r="25325" spans="24:25">
      <c r="X25325" s="19"/>
      <c r="Y25325" s="20"/>
    </row>
    <row r="25326" spans="24:25">
      <c r="X25326" s="19"/>
      <c r="Y25326" s="20"/>
    </row>
    <row r="25327" spans="24:25">
      <c r="X25327" s="19"/>
      <c r="Y25327" s="20"/>
    </row>
    <row r="25328" spans="24:25">
      <c r="X25328" s="19"/>
      <c r="Y25328" s="20"/>
    </row>
    <row r="25329" spans="24:25">
      <c r="X25329" s="19"/>
      <c r="Y25329" s="20"/>
    </row>
    <row r="25330" spans="24:25">
      <c r="X25330" s="19"/>
      <c r="Y25330" s="20"/>
    </row>
    <row r="25331" spans="24:25">
      <c r="X25331" s="19"/>
      <c r="Y25331" s="20"/>
    </row>
    <row r="25332" spans="24:25">
      <c r="X25332" s="19"/>
      <c r="Y25332" s="20"/>
    </row>
    <row r="25333" spans="24:25">
      <c r="X25333" s="19"/>
      <c r="Y25333" s="20"/>
    </row>
    <row r="25334" spans="24:25">
      <c r="X25334" s="19"/>
      <c r="Y25334" s="20"/>
    </row>
    <row r="25335" spans="24:25">
      <c r="X25335" s="19"/>
      <c r="Y25335" s="20"/>
    </row>
    <row r="25336" spans="24:25">
      <c r="X25336" s="19"/>
      <c r="Y25336" s="20"/>
    </row>
    <row r="25337" spans="24:25">
      <c r="X25337" s="19"/>
      <c r="Y25337" s="20"/>
    </row>
    <row r="25338" spans="24:25">
      <c r="X25338" s="19"/>
      <c r="Y25338" s="20"/>
    </row>
    <row r="25339" spans="24:25">
      <c r="X25339" s="19"/>
      <c r="Y25339" s="20"/>
    </row>
    <row r="25340" spans="24:25">
      <c r="X25340" s="19"/>
      <c r="Y25340" s="20"/>
    </row>
    <row r="25341" spans="24:25">
      <c r="X25341" s="19"/>
      <c r="Y25341" s="20"/>
    </row>
    <row r="25342" spans="24:25">
      <c r="X25342" s="19"/>
      <c r="Y25342" s="20"/>
    </row>
    <row r="25343" spans="24:25">
      <c r="X25343" s="19"/>
      <c r="Y25343" s="20"/>
    </row>
    <row r="25344" spans="24:25">
      <c r="X25344" s="19"/>
      <c r="Y25344" s="20"/>
    </row>
    <row r="25345" spans="24:25">
      <c r="X25345" s="19"/>
      <c r="Y25345" s="20"/>
    </row>
    <row r="25346" spans="24:25">
      <c r="X25346" s="19"/>
      <c r="Y25346" s="20"/>
    </row>
    <row r="25347" spans="24:25">
      <c r="X25347" s="19"/>
      <c r="Y25347" s="20"/>
    </row>
    <row r="25348" spans="24:25">
      <c r="X25348" s="19"/>
      <c r="Y25348" s="20"/>
    </row>
    <row r="25349" spans="24:25">
      <c r="X25349" s="19"/>
      <c r="Y25349" s="20"/>
    </row>
    <row r="25350" spans="24:25">
      <c r="X25350" s="19"/>
      <c r="Y25350" s="20"/>
    </row>
    <row r="25351" spans="24:25">
      <c r="X25351" s="19"/>
      <c r="Y25351" s="20"/>
    </row>
    <row r="25352" spans="24:25">
      <c r="X25352" s="19"/>
      <c r="Y25352" s="20"/>
    </row>
    <row r="25353" spans="24:25">
      <c r="X25353" s="19"/>
      <c r="Y25353" s="20"/>
    </row>
    <row r="25354" spans="24:25">
      <c r="X25354" s="19"/>
      <c r="Y25354" s="20"/>
    </row>
    <row r="25355" spans="24:25">
      <c r="X25355" s="19"/>
      <c r="Y25355" s="20"/>
    </row>
    <row r="25356" spans="24:25">
      <c r="X25356" s="19"/>
      <c r="Y25356" s="20"/>
    </row>
    <row r="25357" spans="24:25">
      <c r="X25357" s="19"/>
      <c r="Y25357" s="20"/>
    </row>
    <row r="25358" spans="24:25">
      <c r="X25358" s="19"/>
      <c r="Y25358" s="20"/>
    </row>
    <row r="25359" spans="24:25">
      <c r="X25359" s="19"/>
      <c r="Y25359" s="20"/>
    </row>
    <row r="25360" spans="24:25">
      <c r="X25360" s="19"/>
      <c r="Y25360" s="20"/>
    </row>
    <row r="25361" spans="24:25">
      <c r="X25361" s="19"/>
      <c r="Y25361" s="20"/>
    </row>
    <row r="25362" spans="24:25">
      <c r="X25362" s="19"/>
      <c r="Y25362" s="20"/>
    </row>
    <row r="25363" spans="24:25">
      <c r="X25363" s="19"/>
      <c r="Y25363" s="20"/>
    </row>
    <row r="25364" spans="24:25">
      <c r="X25364" s="19"/>
      <c r="Y25364" s="20"/>
    </row>
    <row r="25365" spans="24:25">
      <c r="X25365" s="19"/>
      <c r="Y25365" s="20"/>
    </row>
    <row r="25366" spans="24:25">
      <c r="X25366" s="19"/>
      <c r="Y25366" s="20"/>
    </row>
    <row r="25367" spans="24:25">
      <c r="X25367" s="19"/>
      <c r="Y25367" s="20"/>
    </row>
    <row r="25368" spans="24:25">
      <c r="X25368" s="19"/>
      <c r="Y25368" s="20"/>
    </row>
    <row r="25369" spans="24:25">
      <c r="X25369" s="19"/>
      <c r="Y25369" s="20"/>
    </row>
    <row r="25370" spans="24:25">
      <c r="X25370" s="19"/>
      <c r="Y25370" s="20"/>
    </row>
    <row r="25371" spans="24:25">
      <c r="X25371" s="19"/>
      <c r="Y25371" s="20"/>
    </row>
    <row r="25372" spans="24:25">
      <c r="X25372" s="19"/>
      <c r="Y25372" s="20"/>
    </row>
    <row r="25373" spans="24:25">
      <c r="X25373" s="19"/>
      <c r="Y25373" s="20"/>
    </row>
    <row r="25374" spans="24:25">
      <c r="X25374" s="19"/>
      <c r="Y25374" s="20"/>
    </row>
    <row r="25375" spans="24:25">
      <c r="X25375" s="19"/>
      <c r="Y25375" s="20"/>
    </row>
    <row r="25376" spans="24:25">
      <c r="X25376" s="19"/>
      <c r="Y25376" s="20"/>
    </row>
    <row r="25377" spans="24:25">
      <c r="X25377" s="19"/>
      <c r="Y25377" s="20"/>
    </row>
    <row r="25378" spans="24:25">
      <c r="X25378" s="19"/>
      <c r="Y25378" s="20"/>
    </row>
    <row r="25379" spans="24:25">
      <c r="X25379" s="19"/>
      <c r="Y25379" s="20"/>
    </row>
    <row r="25380" spans="24:25">
      <c r="X25380" s="19"/>
      <c r="Y25380" s="20"/>
    </row>
    <row r="25381" spans="24:25">
      <c r="X25381" s="19"/>
      <c r="Y25381" s="20"/>
    </row>
    <row r="25382" spans="24:25">
      <c r="X25382" s="19"/>
      <c r="Y25382" s="20"/>
    </row>
    <row r="25383" spans="24:25">
      <c r="X25383" s="19"/>
      <c r="Y25383" s="20"/>
    </row>
    <row r="25384" spans="24:25">
      <c r="X25384" s="19"/>
      <c r="Y25384" s="20"/>
    </row>
    <row r="25385" spans="24:25">
      <c r="X25385" s="19"/>
      <c r="Y25385" s="20"/>
    </row>
    <row r="25386" spans="24:25">
      <c r="X25386" s="19"/>
      <c r="Y25386" s="20"/>
    </row>
    <row r="25387" spans="24:25">
      <c r="X25387" s="19"/>
      <c r="Y25387" s="20"/>
    </row>
    <row r="25388" spans="24:25">
      <c r="X25388" s="19"/>
      <c r="Y25388" s="20"/>
    </row>
    <row r="25389" spans="24:25">
      <c r="X25389" s="19"/>
      <c r="Y25389" s="20"/>
    </row>
    <row r="25390" spans="24:25">
      <c r="X25390" s="19"/>
      <c r="Y25390" s="20"/>
    </row>
    <row r="25391" spans="24:25">
      <c r="X25391" s="19"/>
      <c r="Y25391" s="20"/>
    </row>
    <row r="25392" spans="24:25">
      <c r="X25392" s="19"/>
      <c r="Y25392" s="20"/>
    </row>
    <row r="25393" spans="24:25">
      <c r="X25393" s="19"/>
      <c r="Y25393" s="20"/>
    </row>
    <row r="25394" spans="24:25">
      <c r="X25394" s="19"/>
      <c r="Y25394" s="20"/>
    </row>
    <row r="25395" spans="24:25">
      <c r="X25395" s="19"/>
      <c r="Y25395" s="20"/>
    </row>
    <row r="25396" spans="24:25">
      <c r="X25396" s="19"/>
      <c r="Y25396" s="20"/>
    </row>
    <row r="25397" spans="24:25">
      <c r="X25397" s="19"/>
      <c r="Y25397" s="20"/>
    </row>
    <row r="25398" spans="24:25">
      <c r="X25398" s="19"/>
      <c r="Y25398" s="20"/>
    </row>
    <row r="25399" spans="24:25">
      <c r="X25399" s="19"/>
      <c r="Y25399" s="20"/>
    </row>
    <row r="25400" spans="24:25">
      <c r="X25400" s="19"/>
      <c r="Y25400" s="20"/>
    </row>
    <row r="25401" spans="24:25">
      <c r="X25401" s="19"/>
      <c r="Y25401" s="20"/>
    </row>
    <row r="25402" spans="24:25">
      <c r="X25402" s="19"/>
      <c r="Y25402" s="20"/>
    </row>
    <row r="25403" spans="24:25">
      <c r="X25403" s="19"/>
      <c r="Y25403" s="20"/>
    </row>
    <row r="25404" spans="24:25">
      <c r="X25404" s="19"/>
      <c r="Y25404" s="20"/>
    </row>
    <row r="25405" spans="24:25">
      <c r="X25405" s="19"/>
      <c r="Y25405" s="20"/>
    </row>
    <row r="25406" spans="24:25">
      <c r="X25406" s="19"/>
      <c r="Y25406" s="20"/>
    </row>
    <row r="25407" spans="24:25">
      <c r="X25407" s="19"/>
      <c r="Y25407" s="20"/>
    </row>
    <row r="25408" spans="24:25">
      <c r="X25408" s="19"/>
      <c r="Y25408" s="20"/>
    </row>
    <row r="25409" spans="24:25">
      <c r="X25409" s="19"/>
      <c r="Y25409" s="20"/>
    </row>
    <row r="25410" spans="24:25">
      <c r="X25410" s="19"/>
      <c r="Y25410" s="20"/>
    </row>
    <row r="25411" spans="24:25">
      <c r="X25411" s="19"/>
      <c r="Y25411" s="20"/>
    </row>
    <row r="25412" spans="24:25">
      <c r="X25412" s="19"/>
      <c r="Y25412" s="20"/>
    </row>
    <row r="25413" spans="24:25">
      <c r="X25413" s="19"/>
      <c r="Y25413" s="20"/>
    </row>
    <row r="25414" spans="24:25">
      <c r="X25414" s="19"/>
      <c r="Y25414" s="20"/>
    </row>
    <row r="25415" spans="24:25">
      <c r="X25415" s="19"/>
      <c r="Y25415" s="20"/>
    </row>
    <row r="25416" spans="24:25">
      <c r="X25416" s="19"/>
      <c r="Y25416" s="20"/>
    </row>
    <row r="25417" spans="24:25">
      <c r="X25417" s="19"/>
      <c r="Y25417" s="20"/>
    </row>
    <row r="25418" spans="24:25">
      <c r="X25418" s="19"/>
      <c r="Y25418" s="20"/>
    </row>
    <row r="25419" spans="24:25">
      <c r="X25419" s="19"/>
      <c r="Y25419" s="20"/>
    </row>
    <row r="25420" spans="24:25">
      <c r="X25420" s="19"/>
      <c r="Y25420" s="20"/>
    </row>
    <row r="25421" spans="24:25">
      <c r="X25421" s="19"/>
      <c r="Y25421" s="20"/>
    </row>
    <row r="25422" spans="24:25">
      <c r="X25422" s="19"/>
      <c r="Y25422" s="20"/>
    </row>
    <row r="25423" spans="24:25">
      <c r="X25423" s="19"/>
      <c r="Y25423" s="20"/>
    </row>
    <row r="25424" spans="24:25">
      <c r="X25424" s="19"/>
      <c r="Y25424" s="20"/>
    </row>
    <row r="25425" spans="24:25">
      <c r="X25425" s="19"/>
      <c r="Y25425" s="20"/>
    </row>
    <row r="25426" spans="24:25">
      <c r="X25426" s="19"/>
      <c r="Y25426" s="20"/>
    </row>
    <row r="25427" spans="24:25">
      <c r="X25427" s="19"/>
      <c r="Y25427" s="20"/>
    </row>
    <row r="25428" spans="24:25">
      <c r="X25428" s="19"/>
      <c r="Y25428" s="20"/>
    </row>
    <row r="25429" spans="24:25">
      <c r="X25429" s="19"/>
      <c r="Y25429" s="20"/>
    </row>
    <row r="25430" spans="24:25">
      <c r="X25430" s="19"/>
      <c r="Y25430" s="20"/>
    </row>
    <row r="25431" spans="24:25">
      <c r="X25431" s="19"/>
      <c r="Y25431" s="20"/>
    </row>
    <row r="25432" spans="24:25">
      <c r="X25432" s="19"/>
      <c r="Y25432" s="20"/>
    </row>
    <row r="25433" spans="24:25">
      <c r="X25433" s="19"/>
      <c r="Y25433" s="20"/>
    </row>
    <row r="25434" spans="24:25">
      <c r="X25434" s="19"/>
      <c r="Y25434" s="20"/>
    </row>
    <row r="25435" spans="24:25">
      <c r="X25435" s="19"/>
      <c r="Y25435" s="20"/>
    </row>
    <row r="25436" spans="24:25">
      <c r="X25436" s="19"/>
      <c r="Y25436" s="20"/>
    </row>
    <row r="25437" spans="24:25">
      <c r="X25437" s="19"/>
      <c r="Y25437" s="20"/>
    </row>
    <row r="25438" spans="24:25">
      <c r="X25438" s="19"/>
      <c r="Y25438" s="20"/>
    </row>
    <row r="25439" spans="24:25">
      <c r="X25439" s="19"/>
      <c r="Y25439" s="20"/>
    </row>
    <row r="25440" spans="24:25">
      <c r="X25440" s="19"/>
      <c r="Y25440" s="20"/>
    </row>
    <row r="25441" spans="24:25">
      <c r="X25441" s="19"/>
      <c r="Y25441" s="20"/>
    </row>
    <row r="25442" spans="24:25">
      <c r="X25442" s="19"/>
      <c r="Y25442" s="20"/>
    </row>
    <row r="25443" spans="24:25">
      <c r="X25443" s="19"/>
      <c r="Y25443" s="20"/>
    </row>
    <row r="25444" spans="24:25">
      <c r="X25444" s="19"/>
      <c r="Y25444" s="20"/>
    </row>
    <row r="25445" spans="24:25">
      <c r="X25445" s="19"/>
      <c r="Y25445" s="20"/>
    </row>
    <row r="25446" spans="24:25">
      <c r="X25446" s="19"/>
      <c r="Y25446" s="20"/>
    </row>
    <row r="25447" spans="24:25">
      <c r="X25447" s="19"/>
      <c r="Y25447" s="20"/>
    </row>
    <row r="25448" spans="24:25">
      <c r="X25448" s="19"/>
      <c r="Y25448" s="20"/>
    </row>
    <row r="25449" spans="24:25">
      <c r="X25449" s="19"/>
      <c r="Y25449" s="20"/>
    </row>
    <row r="25450" spans="24:25">
      <c r="X25450" s="19"/>
      <c r="Y25450" s="20"/>
    </row>
    <row r="25451" spans="24:25">
      <c r="X25451" s="19"/>
      <c r="Y25451" s="20"/>
    </row>
    <row r="25452" spans="24:25">
      <c r="X25452" s="19"/>
      <c r="Y25452" s="20"/>
    </row>
    <row r="25453" spans="24:25">
      <c r="X25453" s="19"/>
      <c r="Y25453" s="20"/>
    </row>
    <row r="25454" spans="24:25">
      <c r="X25454" s="19"/>
      <c r="Y25454" s="20"/>
    </row>
    <row r="25455" spans="24:25">
      <c r="X25455" s="19"/>
      <c r="Y25455" s="20"/>
    </row>
    <row r="25456" spans="24:25">
      <c r="X25456" s="19"/>
      <c r="Y25456" s="20"/>
    </row>
    <row r="25457" spans="24:25">
      <c r="X25457" s="19"/>
      <c r="Y25457" s="20"/>
    </row>
    <row r="25458" spans="24:25">
      <c r="X25458" s="19"/>
      <c r="Y25458" s="20"/>
    </row>
    <row r="25459" spans="24:25">
      <c r="X25459" s="19"/>
      <c r="Y25459" s="20"/>
    </row>
    <row r="25460" spans="24:25">
      <c r="X25460" s="19"/>
      <c r="Y25460" s="20"/>
    </row>
    <row r="25461" spans="24:25">
      <c r="X25461" s="19"/>
      <c r="Y25461" s="20"/>
    </row>
    <row r="25462" spans="24:25">
      <c r="X25462" s="19"/>
      <c r="Y25462" s="20"/>
    </row>
    <row r="25463" spans="24:25">
      <c r="X25463" s="19"/>
      <c r="Y25463" s="20"/>
    </row>
    <row r="25464" spans="24:25">
      <c r="X25464" s="19"/>
      <c r="Y25464" s="20"/>
    </row>
    <row r="25465" spans="24:25">
      <c r="X25465" s="19"/>
      <c r="Y25465" s="20"/>
    </row>
    <row r="25466" spans="24:25">
      <c r="X25466" s="19"/>
      <c r="Y25466" s="20"/>
    </row>
    <row r="25467" spans="24:25">
      <c r="X25467" s="19"/>
      <c r="Y25467" s="20"/>
    </row>
    <row r="25468" spans="24:25">
      <c r="X25468" s="19"/>
      <c r="Y25468" s="20"/>
    </row>
    <row r="25469" spans="24:25">
      <c r="X25469" s="19"/>
      <c r="Y25469" s="20"/>
    </row>
    <row r="25470" spans="24:25">
      <c r="X25470" s="19"/>
      <c r="Y25470" s="20"/>
    </row>
    <row r="25471" spans="24:25">
      <c r="X25471" s="19"/>
      <c r="Y25471" s="20"/>
    </row>
    <row r="25472" spans="24:25">
      <c r="X25472" s="19"/>
      <c r="Y25472" s="20"/>
    </row>
    <row r="25473" spans="24:25">
      <c r="X25473" s="19"/>
      <c r="Y25473" s="20"/>
    </row>
    <row r="25474" spans="24:25">
      <c r="X25474" s="19"/>
      <c r="Y25474" s="20"/>
    </row>
    <row r="25475" spans="24:25">
      <c r="X25475" s="19"/>
      <c r="Y25475" s="20"/>
    </row>
    <row r="25476" spans="24:25">
      <c r="X25476" s="19"/>
      <c r="Y25476" s="20"/>
    </row>
    <row r="25477" spans="24:25">
      <c r="X25477" s="19"/>
      <c r="Y25477" s="20"/>
    </row>
    <row r="25478" spans="24:25">
      <c r="X25478" s="19"/>
      <c r="Y25478" s="20"/>
    </row>
    <row r="25479" spans="24:25">
      <c r="X25479" s="19"/>
      <c r="Y25479" s="20"/>
    </row>
    <row r="25480" spans="24:25">
      <c r="X25480" s="19"/>
      <c r="Y25480" s="20"/>
    </row>
    <row r="25481" spans="24:25">
      <c r="X25481" s="19"/>
      <c r="Y25481" s="20"/>
    </row>
    <row r="25482" spans="24:25">
      <c r="X25482" s="19"/>
      <c r="Y25482" s="20"/>
    </row>
    <row r="25483" spans="24:25">
      <c r="X25483" s="19"/>
      <c r="Y25483" s="20"/>
    </row>
    <row r="25484" spans="24:25">
      <c r="X25484" s="19"/>
      <c r="Y25484" s="20"/>
    </row>
    <row r="25485" spans="24:25">
      <c r="X25485" s="19"/>
      <c r="Y25485" s="20"/>
    </row>
    <row r="25486" spans="24:25">
      <c r="X25486" s="19"/>
      <c r="Y25486" s="20"/>
    </row>
    <row r="25487" spans="24:25">
      <c r="X25487" s="19"/>
      <c r="Y25487" s="20"/>
    </row>
    <row r="25488" spans="24:25">
      <c r="X25488" s="19"/>
      <c r="Y25488" s="20"/>
    </row>
    <row r="25489" spans="24:25">
      <c r="X25489" s="19"/>
      <c r="Y25489" s="20"/>
    </row>
    <row r="25490" spans="24:25">
      <c r="X25490" s="19"/>
      <c r="Y25490" s="20"/>
    </row>
    <row r="25491" spans="24:25">
      <c r="X25491" s="19"/>
      <c r="Y25491" s="20"/>
    </row>
    <row r="25492" spans="24:25">
      <c r="X25492" s="19"/>
      <c r="Y25492" s="20"/>
    </row>
    <row r="25493" spans="24:25">
      <c r="X25493" s="19"/>
      <c r="Y25493" s="20"/>
    </row>
    <row r="25494" spans="24:25">
      <c r="X25494" s="19"/>
      <c r="Y25494" s="20"/>
    </row>
    <row r="25495" spans="24:25">
      <c r="X25495" s="19"/>
      <c r="Y25495" s="20"/>
    </row>
    <row r="25496" spans="24:25">
      <c r="X25496" s="19"/>
      <c r="Y25496" s="20"/>
    </row>
    <row r="25497" spans="24:25">
      <c r="X25497" s="19"/>
      <c r="Y25497" s="20"/>
    </row>
    <row r="25498" spans="24:25">
      <c r="X25498" s="19"/>
      <c r="Y25498" s="20"/>
    </row>
    <row r="25499" spans="24:25">
      <c r="X25499" s="19"/>
      <c r="Y25499" s="20"/>
    </row>
    <row r="25500" spans="24:25">
      <c r="X25500" s="19"/>
      <c r="Y25500" s="20"/>
    </row>
    <row r="25501" spans="24:25">
      <c r="X25501" s="19"/>
      <c r="Y25501" s="20"/>
    </row>
    <row r="25502" spans="24:25">
      <c r="X25502" s="19"/>
      <c r="Y25502" s="20"/>
    </row>
    <row r="25503" spans="24:25">
      <c r="X25503" s="19"/>
      <c r="Y25503" s="20"/>
    </row>
    <row r="25504" spans="24:25">
      <c r="X25504" s="19"/>
      <c r="Y25504" s="20"/>
    </row>
    <row r="25505" spans="24:25">
      <c r="X25505" s="19"/>
      <c r="Y25505" s="20"/>
    </row>
    <row r="25506" spans="24:25">
      <c r="X25506" s="19"/>
      <c r="Y25506" s="20"/>
    </row>
    <row r="25507" spans="24:25">
      <c r="X25507" s="19"/>
      <c r="Y25507" s="20"/>
    </row>
    <row r="25508" spans="24:25">
      <c r="X25508" s="19"/>
      <c r="Y25508" s="20"/>
    </row>
    <row r="25509" spans="24:25">
      <c r="X25509" s="19"/>
      <c r="Y25509" s="20"/>
    </row>
    <row r="25510" spans="24:25">
      <c r="X25510" s="19"/>
      <c r="Y25510" s="20"/>
    </row>
    <row r="25511" spans="24:25">
      <c r="X25511" s="19"/>
      <c r="Y25511" s="20"/>
    </row>
    <row r="25512" spans="24:25">
      <c r="X25512" s="19"/>
      <c r="Y25512" s="20"/>
    </row>
    <row r="25513" spans="24:25">
      <c r="X25513" s="19"/>
      <c r="Y25513" s="20"/>
    </row>
    <row r="25514" spans="24:25">
      <c r="X25514" s="19"/>
      <c r="Y25514" s="20"/>
    </row>
    <row r="25515" spans="24:25">
      <c r="X25515" s="19"/>
      <c r="Y25515" s="20"/>
    </row>
    <row r="25516" spans="24:25">
      <c r="X25516" s="19"/>
      <c r="Y25516" s="20"/>
    </row>
    <row r="25517" spans="24:25">
      <c r="X25517" s="19"/>
      <c r="Y25517" s="20"/>
    </row>
    <row r="25518" spans="24:25">
      <c r="X25518" s="19"/>
      <c r="Y25518" s="20"/>
    </row>
    <row r="25519" spans="24:25">
      <c r="X25519" s="19"/>
      <c r="Y25519" s="20"/>
    </row>
    <row r="25520" spans="24:25">
      <c r="X25520" s="19"/>
      <c r="Y25520" s="20"/>
    </row>
    <row r="25521" spans="24:25">
      <c r="X25521" s="19"/>
      <c r="Y25521" s="20"/>
    </row>
    <row r="25522" spans="24:25">
      <c r="X25522" s="19"/>
      <c r="Y25522" s="20"/>
    </row>
    <row r="25523" spans="24:25">
      <c r="X25523" s="19"/>
      <c r="Y25523" s="20"/>
    </row>
    <row r="25524" spans="24:25">
      <c r="X25524" s="19"/>
      <c r="Y25524" s="20"/>
    </row>
    <row r="25525" spans="24:25">
      <c r="X25525" s="19"/>
      <c r="Y25525" s="20"/>
    </row>
    <row r="25526" spans="24:25">
      <c r="X25526" s="19"/>
      <c r="Y25526" s="20"/>
    </row>
    <row r="25527" spans="24:25">
      <c r="X25527" s="19"/>
      <c r="Y25527" s="20"/>
    </row>
    <row r="25528" spans="24:25">
      <c r="X25528" s="19"/>
      <c r="Y25528" s="20"/>
    </row>
    <row r="25529" spans="24:25">
      <c r="X25529" s="19"/>
      <c r="Y25529" s="20"/>
    </row>
    <row r="25530" spans="24:25">
      <c r="X25530" s="19"/>
      <c r="Y25530" s="20"/>
    </row>
    <row r="25531" spans="24:25">
      <c r="X25531" s="19"/>
      <c r="Y25531" s="20"/>
    </row>
    <row r="25532" spans="24:25">
      <c r="X25532" s="19"/>
      <c r="Y25532" s="20"/>
    </row>
    <row r="25533" spans="24:25">
      <c r="X25533" s="19"/>
      <c r="Y25533" s="20"/>
    </row>
    <row r="25534" spans="24:25">
      <c r="X25534" s="19"/>
      <c r="Y25534" s="20"/>
    </row>
    <row r="25535" spans="24:25">
      <c r="X25535" s="19"/>
      <c r="Y25535" s="20"/>
    </row>
    <row r="25536" spans="24:25">
      <c r="X25536" s="19"/>
      <c r="Y25536" s="20"/>
    </row>
    <row r="25537" spans="24:25">
      <c r="X25537" s="19"/>
      <c r="Y25537" s="20"/>
    </row>
    <row r="25538" spans="24:25">
      <c r="X25538" s="19"/>
      <c r="Y25538" s="20"/>
    </row>
    <row r="25539" spans="24:25">
      <c r="X25539" s="19"/>
      <c r="Y25539" s="20"/>
    </row>
    <row r="25540" spans="24:25">
      <c r="X25540" s="19"/>
      <c r="Y25540" s="20"/>
    </row>
    <row r="25541" spans="24:25">
      <c r="X25541" s="19"/>
      <c r="Y25541" s="20"/>
    </row>
    <row r="25542" spans="24:25">
      <c r="X25542" s="19"/>
      <c r="Y25542" s="20"/>
    </row>
    <row r="25543" spans="24:25">
      <c r="X25543" s="19"/>
      <c r="Y25543" s="20"/>
    </row>
    <row r="25544" spans="24:25">
      <c r="X25544" s="19"/>
      <c r="Y25544" s="20"/>
    </row>
    <row r="25545" spans="24:25">
      <c r="X25545" s="19"/>
      <c r="Y25545" s="20"/>
    </row>
    <row r="25546" spans="24:25">
      <c r="X25546" s="19"/>
      <c r="Y25546" s="20"/>
    </row>
    <row r="25547" spans="24:25">
      <c r="X25547" s="19"/>
      <c r="Y25547" s="20"/>
    </row>
    <row r="25548" spans="24:25">
      <c r="X25548" s="19"/>
      <c r="Y25548" s="20"/>
    </row>
    <row r="25549" spans="24:25">
      <c r="X25549" s="19"/>
      <c r="Y25549" s="20"/>
    </row>
    <row r="25550" spans="24:25">
      <c r="X25550" s="19"/>
      <c r="Y25550" s="20"/>
    </row>
    <row r="25551" spans="24:25">
      <c r="X25551" s="19"/>
      <c r="Y25551" s="20"/>
    </row>
    <row r="25552" spans="24:25">
      <c r="X25552" s="19"/>
      <c r="Y25552" s="20"/>
    </row>
    <row r="25553" spans="24:25">
      <c r="X25553" s="19"/>
      <c r="Y25553" s="20"/>
    </row>
    <row r="25554" spans="24:25">
      <c r="X25554" s="19"/>
      <c r="Y25554" s="20"/>
    </row>
    <row r="25555" spans="24:25">
      <c r="X25555" s="19"/>
      <c r="Y25555" s="20"/>
    </row>
    <row r="25556" spans="24:25">
      <c r="X25556" s="19"/>
      <c r="Y25556" s="20"/>
    </row>
    <row r="25557" spans="24:25">
      <c r="X25557" s="19"/>
      <c r="Y25557" s="20"/>
    </row>
    <row r="25558" spans="24:25">
      <c r="X25558" s="19"/>
      <c r="Y25558" s="20"/>
    </row>
    <row r="25559" spans="24:25">
      <c r="X25559" s="19"/>
      <c r="Y25559" s="20"/>
    </row>
    <row r="25560" spans="24:25">
      <c r="X25560" s="19"/>
      <c r="Y25560" s="20"/>
    </row>
    <row r="25561" spans="24:25">
      <c r="X25561" s="19"/>
      <c r="Y25561" s="20"/>
    </row>
    <row r="25562" spans="24:25">
      <c r="X25562" s="19"/>
      <c r="Y25562" s="20"/>
    </row>
    <row r="25563" spans="24:25">
      <c r="X25563" s="19"/>
      <c r="Y25563" s="20"/>
    </row>
    <row r="25564" spans="24:25">
      <c r="X25564" s="19"/>
      <c r="Y25564" s="20"/>
    </row>
    <row r="25565" spans="24:25">
      <c r="X25565" s="19"/>
      <c r="Y25565" s="20"/>
    </row>
    <row r="25566" spans="24:25">
      <c r="X25566" s="19"/>
      <c r="Y25566" s="20"/>
    </row>
    <row r="25567" spans="24:25">
      <c r="X25567" s="19"/>
      <c r="Y25567" s="20"/>
    </row>
    <row r="25568" spans="24:25">
      <c r="X25568" s="19"/>
      <c r="Y25568" s="20"/>
    </row>
    <row r="25569" spans="24:25">
      <c r="X25569" s="19"/>
      <c r="Y25569" s="20"/>
    </row>
    <row r="25570" spans="24:25">
      <c r="X25570" s="19"/>
      <c r="Y25570" s="20"/>
    </row>
    <row r="25571" spans="24:25">
      <c r="X25571" s="19"/>
      <c r="Y25571" s="20"/>
    </row>
    <row r="25572" spans="24:25">
      <c r="X25572" s="19"/>
      <c r="Y25572" s="20"/>
    </row>
    <row r="25573" spans="24:25">
      <c r="X25573" s="19"/>
      <c r="Y25573" s="20"/>
    </row>
    <row r="25574" spans="24:25">
      <c r="X25574" s="19"/>
      <c r="Y25574" s="20"/>
    </row>
    <row r="25575" spans="24:25">
      <c r="X25575" s="19"/>
      <c r="Y25575" s="20"/>
    </row>
    <row r="25576" spans="24:25">
      <c r="X25576" s="19"/>
      <c r="Y25576" s="20"/>
    </row>
    <row r="25577" spans="24:25">
      <c r="X25577" s="19"/>
      <c r="Y25577" s="20"/>
    </row>
    <row r="25578" spans="24:25">
      <c r="X25578" s="19"/>
      <c r="Y25578" s="20"/>
    </row>
    <row r="25579" spans="24:25">
      <c r="X25579" s="19"/>
      <c r="Y25579" s="20"/>
    </row>
    <row r="25580" spans="24:25">
      <c r="X25580" s="19"/>
      <c r="Y25580" s="20"/>
    </row>
    <row r="25581" spans="24:25">
      <c r="X25581" s="19"/>
      <c r="Y25581" s="20"/>
    </row>
    <row r="25582" spans="24:25">
      <c r="X25582" s="19"/>
      <c r="Y25582" s="20"/>
    </row>
    <row r="25583" spans="24:25">
      <c r="X25583" s="19"/>
      <c r="Y25583" s="20"/>
    </row>
    <row r="25584" spans="24:25">
      <c r="X25584" s="19"/>
      <c r="Y25584" s="20"/>
    </row>
    <row r="25585" spans="24:25">
      <c r="X25585" s="19"/>
      <c r="Y25585" s="20"/>
    </row>
    <row r="25586" spans="24:25">
      <c r="X25586" s="19"/>
      <c r="Y25586" s="20"/>
    </row>
    <row r="25587" spans="24:25">
      <c r="X25587" s="19"/>
      <c r="Y25587" s="20"/>
    </row>
    <row r="25588" spans="24:25">
      <c r="X25588" s="19"/>
      <c r="Y25588" s="20"/>
    </row>
    <row r="25589" spans="24:25">
      <c r="X25589" s="19"/>
      <c r="Y25589" s="20"/>
    </row>
    <row r="25590" spans="24:25">
      <c r="X25590" s="19"/>
      <c r="Y25590" s="20"/>
    </row>
    <row r="25591" spans="24:25">
      <c r="X25591" s="19"/>
      <c r="Y25591" s="20"/>
    </row>
    <row r="25592" spans="24:25">
      <c r="X25592" s="19"/>
      <c r="Y25592" s="20"/>
    </row>
    <row r="25593" spans="24:25">
      <c r="X25593" s="19"/>
      <c r="Y25593" s="20"/>
    </row>
    <row r="25594" spans="24:25">
      <c r="X25594" s="19"/>
      <c r="Y25594" s="20"/>
    </row>
    <row r="25595" spans="24:25">
      <c r="X25595" s="19"/>
      <c r="Y25595" s="20"/>
    </row>
    <row r="25596" spans="24:25">
      <c r="X25596" s="19"/>
      <c r="Y25596" s="20"/>
    </row>
    <row r="25597" spans="24:25">
      <c r="X25597" s="19"/>
      <c r="Y25597" s="20"/>
    </row>
    <row r="25598" spans="24:25">
      <c r="X25598" s="19"/>
      <c r="Y25598" s="20"/>
    </row>
    <row r="25599" spans="24:25">
      <c r="X25599" s="19"/>
      <c r="Y25599" s="20"/>
    </row>
    <row r="25600" spans="24:25">
      <c r="X25600" s="19"/>
      <c r="Y25600" s="20"/>
    </row>
    <row r="25601" spans="24:25">
      <c r="X25601" s="19"/>
      <c r="Y25601" s="20"/>
    </row>
    <row r="25602" spans="24:25">
      <c r="X25602" s="19"/>
      <c r="Y25602" s="20"/>
    </row>
    <row r="25603" spans="24:25">
      <c r="X25603" s="19"/>
      <c r="Y25603" s="20"/>
    </row>
    <row r="25604" spans="24:25">
      <c r="X25604" s="19"/>
      <c r="Y25604" s="20"/>
    </row>
    <row r="25605" spans="24:25">
      <c r="X25605" s="19"/>
      <c r="Y25605" s="20"/>
    </row>
    <row r="25606" spans="24:25">
      <c r="X25606" s="19"/>
      <c r="Y25606" s="20"/>
    </row>
    <row r="25607" spans="24:25">
      <c r="X25607" s="19"/>
      <c r="Y25607" s="20"/>
    </row>
    <row r="25608" spans="24:25">
      <c r="X25608" s="19"/>
      <c r="Y25608" s="20"/>
    </row>
    <row r="25609" spans="24:25">
      <c r="X25609" s="19"/>
      <c r="Y25609" s="20"/>
    </row>
    <row r="25610" spans="24:25">
      <c r="X25610" s="19"/>
      <c r="Y25610" s="20"/>
    </row>
    <row r="25611" spans="24:25">
      <c r="X25611" s="19"/>
      <c r="Y25611" s="20"/>
    </row>
    <row r="25612" spans="24:25">
      <c r="X25612" s="19"/>
      <c r="Y25612" s="20"/>
    </row>
    <row r="25613" spans="24:25">
      <c r="X25613" s="19"/>
      <c r="Y25613" s="20"/>
    </row>
    <row r="25614" spans="24:25">
      <c r="X25614" s="19"/>
      <c r="Y25614" s="20"/>
    </row>
    <row r="25615" spans="24:25">
      <c r="X25615" s="19"/>
      <c r="Y25615" s="20"/>
    </row>
    <row r="25616" spans="24:25">
      <c r="X25616" s="19"/>
      <c r="Y25616" s="20"/>
    </row>
    <row r="25617" spans="24:25">
      <c r="X25617" s="19"/>
      <c r="Y25617" s="20"/>
    </row>
    <row r="25618" spans="24:25">
      <c r="X25618" s="19"/>
      <c r="Y25618" s="20"/>
    </row>
    <row r="25619" spans="24:25">
      <c r="X25619" s="19"/>
      <c r="Y25619" s="20"/>
    </row>
    <row r="25620" spans="24:25">
      <c r="X25620" s="19"/>
      <c r="Y25620" s="20"/>
    </row>
    <row r="25621" spans="24:25">
      <c r="X25621" s="19"/>
      <c r="Y25621" s="20"/>
    </row>
    <row r="25622" spans="24:25">
      <c r="X25622" s="19"/>
      <c r="Y25622" s="20"/>
    </row>
    <row r="25623" spans="24:25">
      <c r="X25623" s="19"/>
      <c r="Y25623" s="20"/>
    </row>
    <row r="25624" spans="24:25">
      <c r="X25624" s="19"/>
      <c r="Y25624" s="20"/>
    </row>
    <row r="25625" spans="24:25">
      <c r="X25625" s="19"/>
      <c r="Y25625" s="20"/>
    </row>
    <row r="25626" spans="24:25">
      <c r="X25626" s="19"/>
      <c r="Y25626" s="20"/>
    </row>
    <row r="25627" spans="24:25">
      <c r="X25627" s="19"/>
      <c r="Y25627" s="20"/>
    </row>
    <row r="25628" spans="24:25">
      <c r="X25628" s="19"/>
      <c r="Y25628" s="20"/>
    </row>
    <row r="25629" spans="24:25">
      <c r="X25629" s="19"/>
      <c r="Y25629" s="20"/>
    </row>
    <row r="25630" spans="24:25">
      <c r="X25630" s="19"/>
      <c r="Y25630" s="20"/>
    </row>
    <row r="25631" spans="24:25">
      <c r="X25631" s="19"/>
      <c r="Y25631" s="20"/>
    </row>
    <row r="25632" spans="24:25">
      <c r="X25632" s="19"/>
      <c r="Y25632" s="20"/>
    </row>
    <row r="25633" spans="24:25">
      <c r="X25633" s="19"/>
      <c r="Y25633" s="20"/>
    </row>
    <row r="25634" spans="24:25">
      <c r="X25634" s="19"/>
      <c r="Y25634" s="20"/>
    </row>
    <row r="25635" spans="24:25">
      <c r="X25635" s="19"/>
      <c r="Y25635" s="20"/>
    </row>
    <row r="25636" spans="24:25">
      <c r="X25636" s="19"/>
      <c r="Y25636" s="20"/>
    </row>
    <row r="25637" spans="24:25">
      <c r="X25637" s="19"/>
      <c r="Y25637" s="20"/>
    </row>
    <row r="25638" spans="24:25">
      <c r="X25638" s="19"/>
      <c r="Y25638" s="20"/>
    </row>
    <row r="25639" spans="24:25">
      <c r="X25639" s="19"/>
      <c r="Y25639" s="20"/>
    </row>
    <row r="25640" spans="24:25">
      <c r="X25640" s="19"/>
      <c r="Y25640" s="20"/>
    </row>
    <row r="25641" spans="24:25">
      <c r="X25641" s="19"/>
      <c r="Y25641" s="20"/>
    </row>
    <row r="25642" spans="24:25">
      <c r="X25642" s="19"/>
      <c r="Y25642" s="20"/>
    </row>
    <row r="25643" spans="24:25">
      <c r="X25643" s="19"/>
      <c r="Y25643" s="20"/>
    </row>
    <row r="25644" spans="24:25">
      <c r="X25644" s="19"/>
      <c r="Y25644" s="20"/>
    </row>
    <row r="25645" spans="24:25">
      <c r="X25645" s="19"/>
      <c r="Y25645" s="20"/>
    </row>
    <row r="25646" spans="24:25">
      <c r="X25646" s="19"/>
      <c r="Y25646" s="20"/>
    </row>
    <row r="25647" spans="24:25">
      <c r="X25647" s="19"/>
      <c r="Y25647" s="20"/>
    </row>
    <row r="25648" spans="24:25">
      <c r="X25648" s="19"/>
      <c r="Y25648" s="20"/>
    </row>
    <row r="25649" spans="24:25">
      <c r="X25649" s="19"/>
      <c r="Y25649" s="20"/>
    </row>
    <row r="25650" spans="24:25">
      <c r="X25650" s="19"/>
      <c r="Y25650" s="20"/>
    </row>
    <row r="25651" spans="24:25">
      <c r="X25651" s="19"/>
      <c r="Y25651" s="20"/>
    </row>
    <row r="25652" spans="24:25">
      <c r="X25652" s="19"/>
      <c r="Y25652" s="20"/>
    </row>
    <row r="25653" spans="24:25">
      <c r="X25653" s="19"/>
      <c r="Y25653" s="20"/>
    </row>
    <row r="25654" spans="24:25">
      <c r="X25654" s="19"/>
      <c r="Y25654" s="20"/>
    </row>
    <row r="25655" spans="24:25">
      <c r="X25655" s="19"/>
      <c r="Y25655" s="20"/>
    </row>
    <row r="25656" spans="24:25">
      <c r="X25656" s="19"/>
      <c r="Y25656" s="20"/>
    </row>
    <row r="25657" spans="24:25">
      <c r="X25657" s="19"/>
      <c r="Y25657" s="20"/>
    </row>
    <row r="25658" spans="24:25">
      <c r="X25658" s="19"/>
      <c r="Y25658" s="20"/>
    </row>
    <row r="25659" spans="24:25">
      <c r="X25659" s="19"/>
      <c r="Y25659" s="20"/>
    </row>
    <row r="25660" spans="24:25">
      <c r="X25660" s="19"/>
      <c r="Y25660" s="20"/>
    </row>
    <row r="25661" spans="24:25">
      <c r="X25661" s="19"/>
      <c r="Y25661" s="20"/>
    </row>
    <row r="25662" spans="24:25">
      <c r="X25662" s="19"/>
      <c r="Y25662" s="20"/>
    </row>
    <row r="25663" spans="24:25">
      <c r="X25663" s="19"/>
      <c r="Y25663" s="20"/>
    </row>
    <row r="25664" spans="24:25">
      <c r="X25664" s="19"/>
      <c r="Y25664" s="20"/>
    </row>
    <row r="25665" spans="24:25">
      <c r="X25665" s="19"/>
      <c r="Y25665" s="20"/>
    </row>
    <row r="25666" spans="24:25">
      <c r="X25666" s="19"/>
      <c r="Y25666" s="20"/>
    </row>
    <row r="25667" spans="24:25">
      <c r="X25667" s="19"/>
      <c r="Y25667" s="20"/>
    </row>
    <row r="25668" spans="24:25">
      <c r="X25668" s="19"/>
      <c r="Y25668" s="20"/>
    </row>
    <row r="25669" spans="24:25">
      <c r="X25669" s="19"/>
      <c r="Y25669" s="20"/>
    </row>
    <row r="25670" spans="24:25">
      <c r="X25670" s="19"/>
      <c r="Y25670" s="20"/>
    </row>
    <row r="25671" spans="24:25">
      <c r="X25671" s="19"/>
      <c r="Y25671" s="20"/>
    </row>
    <row r="25672" spans="24:25">
      <c r="X25672" s="19"/>
      <c r="Y25672" s="20"/>
    </row>
    <row r="25673" spans="24:25">
      <c r="X25673" s="19"/>
      <c r="Y25673" s="20"/>
    </row>
    <row r="25674" spans="24:25">
      <c r="X25674" s="19"/>
      <c r="Y25674" s="20"/>
    </row>
    <row r="25675" spans="24:25">
      <c r="X25675" s="19"/>
      <c r="Y25675" s="20"/>
    </row>
    <row r="25676" spans="24:25">
      <c r="X25676" s="19"/>
      <c r="Y25676" s="20"/>
    </row>
    <row r="25677" spans="24:25">
      <c r="X25677" s="19"/>
      <c r="Y25677" s="20"/>
    </row>
    <row r="25678" spans="24:25">
      <c r="X25678" s="19"/>
      <c r="Y25678" s="20"/>
    </row>
    <row r="25679" spans="24:25">
      <c r="X25679" s="19"/>
      <c r="Y25679" s="20"/>
    </row>
    <row r="25680" spans="24:25">
      <c r="X25680" s="19"/>
      <c r="Y25680" s="20"/>
    </row>
    <row r="25681" spans="24:25">
      <c r="X25681" s="19"/>
      <c r="Y25681" s="20"/>
    </row>
    <row r="25682" spans="24:25">
      <c r="X25682" s="19"/>
      <c r="Y25682" s="20"/>
    </row>
    <row r="25683" spans="24:25">
      <c r="X25683" s="19"/>
      <c r="Y25683" s="20"/>
    </row>
    <row r="25684" spans="24:25">
      <c r="X25684" s="19"/>
      <c r="Y25684" s="20"/>
    </row>
    <row r="25685" spans="24:25">
      <c r="X25685" s="19"/>
      <c r="Y25685" s="20"/>
    </row>
    <row r="25686" spans="24:25">
      <c r="X25686" s="19"/>
      <c r="Y25686" s="20"/>
    </row>
    <row r="25687" spans="24:25">
      <c r="X25687" s="19"/>
      <c r="Y25687" s="20"/>
    </row>
    <row r="25688" spans="24:25">
      <c r="X25688" s="19"/>
      <c r="Y25688" s="20"/>
    </row>
    <row r="25689" spans="24:25">
      <c r="X25689" s="19"/>
      <c r="Y25689" s="20"/>
    </row>
    <row r="25690" spans="24:25">
      <c r="X25690" s="19"/>
      <c r="Y25690" s="20"/>
    </row>
    <row r="25691" spans="24:25">
      <c r="X25691" s="19"/>
      <c r="Y25691" s="20"/>
    </row>
    <row r="25692" spans="24:25">
      <c r="X25692" s="19"/>
      <c r="Y25692" s="20"/>
    </row>
    <row r="25693" spans="24:25">
      <c r="X25693" s="19"/>
      <c r="Y25693" s="20"/>
    </row>
    <row r="25694" spans="24:25">
      <c r="X25694" s="19"/>
      <c r="Y25694" s="20"/>
    </row>
    <row r="25695" spans="24:25">
      <c r="X25695" s="19"/>
      <c r="Y25695" s="20"/>
    </row>
    <row r="25696" spans="24:25">
      <c r="X25696" s="19"/>
      <c r="Y25696" s="20"/>
    </row>
    <row r="25697" spans="24:25">
      <c r="X25697" s="19"/>
      <c r="Y25697" s="20"/>
    </row>
    <row r="25698" spans="24:25">
      <c r="X25698" s="19"/>
      <c r="Y25698" s="20"/>
    </row>
    <row r="25699" spans="24:25">
      <c r="X25699" s="19"/>
      <c r="Y25699" s="20"/>
    </row>
    <row r="25700" spans="24:25">
      <c r="X25700" s="19"/>
      <c r="Y25700" s="20"/>
    </row>
    <row r="25701" spans="24:25">
      <c r="X25701" s="19"/>
      <c r="Y25701" s="20"/>
    </row>
    <row r="25702" spans="24:25">
      <c r="X25702" s="19"/>
      <c r="Y25702" s="20"/>
    </row>
    <row r="25703" spans="24:25">
      <c r="X25703" s="19"/>
      <c r="Y25703" s="20"/>
    </row>
    <row r="25704" spans="24:25">
      <c r="X25704" s="19"/>
      <c r="Y25704" s="20"/>
    </row>
    <row r="25705" spans="24:25">
      <c r="X25705" s="19"/>
      <c r="Y25705" s="20"/>
    </row>
    <row r="25706" spans="24:25">
      <c r="X25706" s="19"/>
      <c r="Y25706" s="20"/>
    </row>
    <row r="25707" spans="24:25">
      <c r="X25707" s="19"/>
      <c r="Y25707" s="20"/>
    </row>
    <row r="25708" spans="24:25">
      <c r="X25708" s="19"/>
      <c r="Y25708" s="20"/>
    </row>
    <row r="25709" spans="24:25">
      <c r="X25709" s="19"/>
      <c r="Y25709" s="20"/>
    </row>
    <row r="25710" spans="24:25">
      <c r="X25710" s="19"/>
      <c r="Y25710" s="20"/>
    </row>
    <row r="25711" spans="24:25">
      <c r="X25711" s="19"/>
      <c r="Y25711" s="20"/>
    </row>
    <row r="25712" spans="24:25">
      <c r="X25712" s="19"/>
      <c r="Y25712" s="20"/>
    </row>
    <row r="25713" spans="24:25">
      <c r="X25713" s="19"/>
      <c r="Y25713" s="20"/>
    </row>
    <row r="25714" spans="24:25">
      <c r="X25714" s="19"/>
      <c r="Y25714" s="20"/>
    </row>
    <row r="25715" spans="24:25">
      <c r="X25715" s="19"/>
      <c r="Y25715" s="20"/>
    </row>
    <row r="25716" spans="24:25">
      <c r="X25716" s="19"/>
      <c r="Y25716" s="20"/>
    </row>
    <row r="25717" spans="24:25">
      <c r="X25717" s="19"/>
      <c r="Y25717" s="20"/>
    </row>
    <row r="25718" spans="24:25">
      <c r="X25718" s="19"/>
      <c r="Y25718" s="20"/>
    </row>
    <row r="25719" spans="24:25">
      <c r="X25719" s="19"/>
      <c r="Y25719" s="20"/>
    </row>
    <row r="25720" spans="24:25">
      <c r="X25720" s="19"/>
      <c r="Y25720" s="20"/>
    </row>
    <row r="25721" spans="24:25">
      <c r="X25721" s="19"/>
      <c r="Y25721" s="20"/>
    </row>
    <row r="25722" spans="24:25">
      <c r="X25722" s="19"/>
      <c r="Y25722" s="20"/>
    </row>
    <row r="25723" spans="24:25">
      <c r="X25723" s="19"/>
      <c r="Y25723" s="20"/>
    </row>
    <row r="25724" spans="24:25">
      <c r="X25724" s="19"/>
      <c r="Y25724" s="20"/>
    </row>
    <row r="25725" spans="24:25">
      <c r="X25725" s="19"/>
      <c r="Y25725" s="20"/>
    </row>
    <row r="25726" spans="24:25">
      <c r="X25726" s="19"/>
      <c r="Y25726" s="20"/>
    </row>
    <row r="25727" spans="24:25">
      <c r="X25727" s="19"/>
      <c r="Y25727" s="20"/>
    </row>
    <row r="25728" spans="24:25">
      <c r="X25728" s="19"/>
      <c r="Y25728" s="20"/>
    </row>
    <row r="25729" spans="24:25">
      <c r="X25729" s="19"/>
      <c r="Y25729" s="20"/>
    </row>
    <row r="25730" spans="24:25">
      <c r="X25730" s="19"/>
      <c r="Y25730" s="20"/>
    </row>
    <row r="25731" spans="24:25">
      <c r="X25731" s="19"/>
      <c r="Y25731" s="20"/>
    </row>
    <row r="25732" spans="24:25">
      <c r="X25732" s="19"/>
      <c r="Y25732" s="20"/>
    </row>
    <row r="25733" spans="24:25">
      <c r="X25733" s="19"/>
      <c r="Y25733" s="20"/>
    </row>
    <row r="25734" spans="24:25">
      <c r="X25734" s="19"/>
      <c r="Y25734" s="20"/>
    </row>
    <row r="25735" spans="24:25">
      <c r="X25735" s="19"/>
      <c r="Y25735" s="20"/>
    </row>
    <row r="25736" spans="24:25">
      <c r="X25736" s="19"/>
      <c r="Y25736" s="20"/>
    </row>
    <row r="25737" spans="24:25">
      <c r="X25737" s="19"/>
      <c r="Y25737" s="20"/>
    </row>
    <row r="25738" spans="24:25">
      <c r="X25738" s="19"/>
      <c r="Y25738" s="20"/>
    </row>
    <row r="25739" spans="24:25">
      <c r="X25739" s="19"/>
      <c r="Y25739" s="20"/>
    </row>
    <row r="25740" spans="24:25">
      <c r="X25740" s="19"/>
      <c r="Y25740" s="20"/>
    </row>
    <row r="25741" spans="24:25">
      <c r="X25741" s="19"/>
      <c r="Y25741" s="20"/>
    </row>
    <row r="25742" spans="24:25">
      <c r="X25742" s="19"/>
      <c r="Y25742" s="20"/>
    </row>
    <row r="25743" spans="24:25">
      <c r="X25743" s="19"/>
      <c r="Y25743" s="20"/>
    </row>
    <row r="25744" spans="24:25">
      <c r="X25744" s="19"/>
      <c r="Y25744" s="20"/>
    </row>
    <row r="25745" spans="24:25">
      <c r="X25745" s="19"/>
      <c r="Y25745" s="20"/>
    </row>
    <row r="25746" spans="24:25">
      <c r="X25746" s="19"/>
      <c r="Y25746" s="20"/>
    </row>
    <row r="25747" spans="24:25">
      <c r="X25747" s="19"/>
      <c r="Y25747" s="20"/>
    </row>
    <row r="25748" spans="24:25">
      <c r="X25748" s="19"/>
      <c r="Y25748" s="20"/>
    </row>
    <row r="25749" spans="24:25">
      <c r="X25749" s="19"/>
      <c r="Y25749" s="20"/>
    </row>
    <row r="25750" spans="24:25">
      <c r="X25750" s="19"/>
      <c r="Y25750" s="20"/>
    </row>
    <row r="25751" spans="24:25">
      <c r="X25751" s="19"/>
      <c r="Y25751" s="20"/>
    </row>
    <row r="25752" spans="24:25">
      <c r="X25752" s="19"/>
      <c r="Y25752" s="20"/>
    </row>
    <row r="25753" spans="24:25">
      <c r="X25753" s="19"/>
      <c r="Y25753" s="20"/>
    </row>
    <row r="25754" spans="24:25">
      <c r="X25754" s="19"/>
      <c r="Y25754" s="20"/>
    </row>
    <row r="25755" spans="24:25">
      <c r="X25755" s="19"/>
      <c r="Y25755" s="20"/>
    </row>
    <row r="25756" spans="24:25">
      <c r="X25756" s="19"/>
      <c r="Y25756" s="20"/>
    </row>
    <row r="25757" spans="24:25">
      <c r="X25757" s="19"/>
      <c r="Y25757" s="20"/>
    </row>
    <row r="25758" spans="24:25">
      <c r="X25758" s="19"/>
      <c r="Y25758" s="20"/>
    </row>
    <row r="25759" spans="24:25">
      <c r="X25759" s="19"/>
      <c r="Y25759" s="20"/>
    </row>
    <row r="25760" spans="24:25">
      <c r="X25760" s="19"/>
      <c r="Y25760" s="20"/>
    </row>
    <row r="25761" spans="24:25">
      <c r="X25761" s="19"/>
      <c r="Y25761" s="20"/>
    </row>
    <row r="25762" spans="24:25">
      <c r="X25762" s="19"/>
      <c r="Y25762" s="20"/>
    </row>
    <row r="25763" spans="24:25">
      <c r="X25763" s="19"/>
      <c r="Y25763" s="20"/>
    </row>
    <row r="25764" spans="24:25">
      <c r="X25764" s="19"/>
      <c r="Y25764" s="20"/>
    </row>
    <row r="25765" spans="24:25">
      <c r="X25765" s="19"/>
      <c r="Y25765" s="20"/>
    </row>
    <row r="25766" spans="24:25">
      <c r="X25766" s="19"/>
      <c r="Y25766" s="20"/>
    </row>
    <row r="25767" spans="24:25">
      <c r="X25767" s="19"/>
      <c r="Y25767" s="20"/>
    </row>
    <row r="25768" spans="24:25">
      <c r="X25768" s="19"/>
      <c r="Y25768" s="20"/>
    </row>
    <row r="25769" spans="24:25">
      <c r="X25769" s="19"/>
      <c r="Y25769" s="20"/>
    </row>
    <row r="25770" spans="24:25">
      <c r="X25770" s="19"/>
      <c r="Y25770" s="20"/>
    </row>
    <row r="25771" spans="24:25">
      <c r="X25771" s="19"/>
      <c r="Y25771" s="20"/>
    </row>
    <row r="25772" spans="24:25">
      <c r="X25772" s="19"/>
      <c r="Y25772" s="20"/>
    </row>
    <row r="25773" spans="24:25">
      <c r="X25773" s="19"/>
      <c r="Y25773" s="20"/>
    </row>
    <row r="25774" spans="24:25">
      <c r="X25774" s="19"/>
      <c r="Y25774" s="20"/>
    </row>
    <row r="25775" spans="24:25">
      <c r="X25775" s="19"/>
      <c r="Y25775" s="20"/>
    </row>
    <row r="25776" spans="24:25">
      <c r="X25776" s="19"/>
      <c r="Y25776" s="20"/>
    </row>
    <row r="25777" spans="24:25">
      <c r="X25777" s="19"/>
      <c r="Y25777" s="20"/>
    </row>
    <row r="25778" spans="24:25">
      <c r="X25778" s="19"/>
      <c r="Y25778" s="20"/>
    </row>
    <row r="25779" spans="24:25">
      <c r="X25779" s="19"/>
      <c r="Y25779" s="20"/>
    </row>
    <row r="25780" spans="24:25">
      <c r="X25780" s="19"/>
      <c r="Y25780" s="20"/>
    </row>
    <row r="25781" spans="24:25">
      <c r="X25781" s="19"/>
      <c r="Y25781" s="20"/>
    </row>
    <row r="25782" spans="24:25">
      <c r="X25782" s="19"/>
      <c r="Y25782" s="20"/>
    </row>
    <row r="25783" spans="24:25">
      <c r="X25783" s="19"/>
      <c r="Y25783" s="20"/>
    </row>
    <row r="25784" spans="24:25">
      <c r="X25784" s="19"/>
      <c r="Y25784" s="20"/>
    </row>
    <row r="25785" spans="24:25">
      <c r="X25785" s="19"/>
      <c r="Y25785" s="20"/>
    </row>
    <row r="25786" spans="24:25">
      <c r="X25786" s="19"/>
      <c r="Y25786" s="20"/>
    </row>
    <row r="25787" spans="24:25">
      <c r="X25787" s="19"/>
      <c r="Y25787" s="20"/>
    </row>
    <row r="25788" spans="24:25">
      <c r="X25788" s="19"/>
      <c r="Y25788" s="20"/>
    </row>
    <row r="25789" spans="24:25">
      <c r="X25789" s="19"/>
      <c r="Y25789" s="20"/>
    </row>
    <row r="25790" spans="24:25">
      <c r="X25790" s="19"/>
      <c r="Y25790" s="20"/>
    </row>
    <row r="25791" spans="24:25">
      <c r="X25791" s="19"/>
      <c r="Y25791" s="20"/>
    </row>
    <row r="25792" spans="24:25">
      <c r="X25792" s="19"/>
      <c r="Y25792" s="20"/>
    </row>
    <row r="25793" spans="24:25">
      <c r="X25793" s="19"/>
      <c r="Y25793" s="20"/>
    </row>
    <row r="25794" spans="24:25">
      <c r="X25794" s="19"/>
      <c r="Y25794" s="20"/>
    </row>
    <row r="25795" spans="24:25">
      <c r="X25795" s="19"/>
      <c r="Y25795" s="20"/>
    </row>
    <row r="25796" spans="24:25">
      <c r="X25796" s="19"/>
      <c r="Y25796" s="20"/>
    </row>
    <row r="25797" spans="24:25">
      <c r="X25797" s="19"/>
      <c r="Y25797" s="20"/>
    </row>
    <row r="25798" spans="24:25">
      <c r="X25798" s="19"/>
      <c r="Y25798" s="20"/>
    </row>
    <row r="25799" spans="24:25">
      <c r="X25799" s="19"/>
      <c r="Y25799" s="20"/>
    </row>
    <row r="25800" spans="24:25">
      <c r="X25800" s="19"/>
      <c r="Y25800" s="20"/>
    </row>
    <row r="25801" spans="24:25">
      <c r="X25801" s="19"/>
      <c r="Y25801" s="20"/>
    </row>
    <row r="25802" spans="24:25">
      <c r="X25802" s="19"/>
      <c r="Y25802" s="20"/>
    </row>
    <row r="25803" spans="24:25">
      <c r="X25803" s="19"/>
      <c r="Y25803" s="20"/>
    </row>
    <row r="25804" spans="24:25">
      <c r="X25804" s="19"/>
      <c r="Y25804" s="20"/>
    </row>
    <row r="25805" spans="24:25">
      <c r="X25805" s="19"/>
      <c r="Y25805" s="20"/>
    </row>
    <row r="25806" spans="24:25">
      <c r="X25806" s="19"/>
      <c r="Y25806" s="20"/>
    </row>
    <row r="25807" spans="24:25">
      <c r="X25807" s="19"/>
      <c r="Y25807" s="20"/>
    </row>
    <row r="25808" spans="24:25">
      <c r="X25808" s="19"/>
      <c r="Y25808" s="20"/>
    </row>
    <row r="25809" spans="24:25">
      <c r="X25809" s="19"/>
      <c r="Y25809" s="20"/>
    </row>
    <row r="25810" spans="24:25">
      <c r="X25810" s="19"/>
      <c r="Y25810" s="20"/>
    </row>
    <row r="25811" spans="24:25">
      <c r="X25811" s="19"/>
      <c r="Y25811" s="20"/>
    </row>
    <row r="25812" spans="24:25">
      <c r="X25812" s="19"/>
      <c r="Y25812" s="20"/>
    </row>
    <row r="25813" spans="24:25">
      <c r="X25813" s="19"/>
      <c r="Y25813" s="20"/>
    </row>
    <row r="25814" spans="24:25">
      <c r="X25814" s="19"/>
      <c r="Y25814" s="20"/>
    </row>
    <row r="25815" spans="24:25">
      <c r="X25815" s="19"/>
      <c r="Y25815" s="20"/>
    </row>
    <row r="25816" spans="24:25">
      <c r="X25816" s="19"/>
      <c r="Y25816" s="20"/>
    </row>
    <row r="25817" spans="24:25">
      <c r="X25817" s="19"/>
      <c r="Y25817" s="20"/>
    </row>
    <row r="25818" spans="24:25">
      <c r="X25818" s="19"/>
      <c r="Y25818" s="20"/>
    </row>
    <row r="25819" spans="24:25">
      <c r="X25819" s="19"/>
      <c r="Y25819" s="20"/>
    </row>
    <row r="25820" spans="24:25">
      <c r="X25820" s="19"/>
      <c r="Y25820" s="20"/>
    </row>
    <row r="25821" spans="24:25">
      <c r="X25821" s="19"/>
      <c r="Y25821" s="20"/>
    </row>
    <row r="25822" spans="24:25">
      <c r="X25822" s="19"/>
      <c r="Y25822" s="20"/>
    </row>
    <row r="25823" spans="24:25">
      <c r="X25823" s="19"/>
      <c r="Y25823" s="20"/>
    </row>
    <row r="25824" spans="24:25">
      <c r="X25824" s="19"/>
      <c r="Y25824" s="20"/>
    </row>
    <row r="25825" spans="24:25">
      <c r="X25825" s="19"/>
      <c r="Y25825" s="20"/>
    </row>
    <row r="25826" spans="24:25">
      <c r="X25826" s="19"/>
      <c r="Y25826" s="20"/>
    </row>
    <row r="25827" spans="24:25">
      <c r="X25827" s="19"/>
      <c r="Y25827" s="20"/>
    </row>
    <row r="25828" spans="24:25">
      <c r="X25828" s="19"/>
      <c r="Y25828" s="20"/>
    </row>
    <row r="25829" spans="24:25">
      <c r="X25829" s="19"/>
      <c r="Y25829" s="20"/>
    </row>
    <row r="25830" spans="24:25">
      <c r="X25830" s="19"/>
      <c r="Y25830" s="20"/>
    </row>
    <row r="25831" spans="24:25">
      <c r="X25831" s="19"/>
      <c r="Y25831" s="20"/>
    </row>
    <row r="25832" spans="24:25">
      <c r="X25832" s="19"/>
      <c r="Y25832" s="20"/>
    </row>
    <row r="25833" spans="24:25">
      <c r="X25833" s="19"/>
      <c r="Y25833" s="20"/>
    </row>
    <row r="25834" spans="24:25">
      <c r="X25834" s="19"/>
      <c r="Y25834" s="20"/>
    </row>
    <row r="25835" spans="24:25">
      <c r="X25835" s="19"/>
      <c r="Y25835" s="20"/>
    </row>
    <row r="25836" spans="24:25">
      <c r="X25836" s="19"/>
      <c r="Y25836" s="20"/>
    </row>
    <row r="25837" spans="24:25">
      <c r="X25837" s="19"/>
      <c r="Y25837" s="20"/>
    </row>
    <row r="25838" spans="24:25">
      <c r="X25838" s="19"/>
      <c r="Y25838" s="20"/>
    </row>
    <row r="25839" spans="24:25">
      <c r="X25839" s="19"/>
      <c r="Y25839" s="20"/>
    </row>
    <row r="25840" spans="24:25">
      <c r="X25840" s="19"/>
      <c r="Y25840" s="20"/>
    </row>
    <row r="25841" spans="24:25">
      <c r="X25841" s="19"/>
      <c r="Y25841" s="20"/>
    </row>
    <row r="25842" spans="24:25">
      <c r="X25842" s="19"/>
      <c r="Y25842" s="20"/>
    </row>
    <row r="25843" spans="24:25">
      <c r="X25843" s="19"/>
      <c r="Y25843" s="20"/>
    </row>
    <row r="25844" spans="24:25">
      <c r="X25844" s="19"/>
      <c r="Y25844" s="20"/>
    </row>
    <row r="25845" spans="24:25">
      <c r="X25845" s="19"/>
      <c r="Y25845" s="20"/>
    </row>
    <row r="25846" spans="24:25">
      <c r="X25846" s="19"/>
      <c r="Y25846" s="20"/>
    </row>
    <row r="25847" spans="24:25">
      <c r="X25847" s="19"/>
      <c r="Y25847" s="20"/>
    </row>
    <row r="25848" spans="24:25">
      <c r="X25848" s="19"/>
      <c r="Y25848" s="20"/>
    </row>
    <row r="25849" spans="24:25">
      <c r="X25849" s="19"/>
      <c r="Y25849" s="20"/>
    </row>
    <row r="25850" spans="24:25">
      <c r="X25850" s="19"/>
      <c r="Y25850" s="20"/>
    </row>
    <row r="25851" spans="24:25">
      <c r="X25851" s="19"/>
      <c r="Y25851" s="20"/>
    </row>
    <row r="25852" spans="24:25">
      <c r="X25852" s="19"/>
      <c r="Y25852" s="20"/>
    </row>
    <row r="25853" spans="24:25">
      <c r="X25853" s="19"/>
      <c r="Y25853" s="20"/>
    </row>
    <row r="25854" spans="24:25">
      <c r="X25854" s="19"/>
      <c r="Y25854" s="20"/>
    </row>
    <row r="25855" spans="24:25">
      <c r="X25855" s="19"/>
      <c r="Y25855" s="20"/>
    </row>
    <row r="25856" spans="24:25">
      <c r="X25856" s="19"/>
      <c r="Y25856" s="20"/>
    </row>
    <row r="25857" spans="24:25">
      <c r="X25857" s="19"/>
      <c r="Y25857" s="20"/>
    </row>
    <row r="25858" spans="24:25">
      <c r="X25858" s="19"/>
      <c r="Y25858" s="20"/>
    </row>
    <row r="25859" spans="24:25">
      <c r="X25859" s="19"/>
      <c r="Y25859" s="20"/>
    </row>
    <row r="25860" spans="24:25">
      <c r="X25860" s="19"/>
      <c r="Y25860" s="20"/>
    </row>
    <row r="25861" spans="24:25">
      <c r="X25861" s="19"/>
      <c r="Y25861" s="20"/>
    </row>
    <row r="25862" spans="24:25">
      <c r="X25862" s="19"/>
      <c r="Y25862" s="20"/>
    </row>
    <row r="25863" spans="24:25">
      <c r="X25863" s="19"/>
      <c r="Y25863" s="20"/>
    </row>
    <row r="25864" spans="24:25">
      <c r="X25864" s="19"/>
      <c r="Y25864" s="20"/>
    </row>
    <row r="25865" spans="24:25">
      <c r="X25865" s="19"/>
      <c r="Y25865" s="20"/>
    </row>
    <row r="25866" spans="24:25">
      <c r="X25866" s="19"/>
      <c r="Y25866" s="20"/>
    </row>
    <row r="25867" spans="24:25">
      <c r="X25867" s="19"/>
      <c r="Y25867" s="20"/>
    </row>
    <row r="25868" spans="24:25">
      <c r="X25868" s="19"/>
      <c r="Y25868" s="20"/>
    </row>
    <row r="25869" spans="24:25">
      <c r="X25869" s="19"/>
      <c r="Y25869" s="20"/>
    </row>
    <row r="25870" spans="24:25">
      <c r="X25870" s="19"/>
      <c r="Y25870" s="20"/>
    </row>
    <row r="25871" spans="24:25">
      <c r="X25871" s="19"/>
      <c r="Y25871" s="20"/>
    </row>
    <row r="25872" spans="24:25">
      <c r="X25872" s="19"/>
      <c r="Y25872" s="20"/>
    </row>
    <row r="25873" spans="24:25">
      <c r="X25873" s="19"/>
      <c r="Y25873" s="20"/>
    </row>
    <row r="25874" spans="24:25">
      <c r="X25874" s="19"/>
      <c r="Y25874" s="20"/>
    </row>
    <row r="25875" spans="24:25">
      <c r="X25875" s="19"/>
      <c r="Y25875" s="20"/>
    </row>
    <row r="25876" spans="24:25">
      <c r="X25876" s="19"/>
      <c r="Y25876" s="20"/>
    </row>
    <row r="25877" spans="24:25">
      <c r="X25877" s="19"/>
      <c r="Y25877" s="20"/>
    </row>
    <row r="25878" spans="24:25">
      <c r="X25878" s="19"/>
      <c r="Y25878" s="20"/>
    </row>
    <row r="25879" spans="24:25">
      <c r="X25879" s="19"/>
      <c r="Y25879" s="20"/>
    </row>
    <row r="25880" spans="24:25">
      <c r="X25880" s="19"/>
      <c r="Y25880" s="20"/>
    </row>
    <row r="25881" spans="24:25">
      <c r="X25881" s="19"/>
      <c r="Y25881" s="20"/>
    </row>
    <row r="25882" spans="24:25">
      <c r="X25882" s="19"/>
      <c r="Y25882" s="20"/>
    </row>
    <row r="25883" spans="24:25">
      <c r="X25883" s="19"/>
      <c r="Y25883" s="20"/>
    </row>
    <row r="25884" spans="24:25">
      <c r="X25884" s="19"/>
      <c r="Y25884" s="20"/>
    </row>
    <row r="25885" spans="24:25">
      <c r="X25885" s="19"/>
      <c r="Y25885" s="20"/>
    </row>
    <row r="25886" spans="24:25">
      <c r="X25886" s="19"/>
      <c r="Y25886" s="20"/>
    </row>
    <row r="25887" spans="24:25">
      <c r="X25887" s="19"/>
      <c r="Y25887" s="20"/>
    </row>
    <row r="25888" spans="24:25">
      <c r="X25888" s="19"/>
      <c r="Y25888" s="20"/>
    </row>
    <row r="25889" spans="24:25">
      <c r="X25889" s="19"/>
      <c r="Y25889" s="20"/>
    </row>
    <row r="25890" spans="24:25">
      <c r="X25890" s="19"/>
      <c r="Y25890" s="20"/>
    </row>
    <row r="25891" spans="24:25">
      <c r="X25891" s="19"/>
      <c r="Y25891" s="20"/>
    </row>
    <row r="25892" spans="24:25">
      <c r="X25892" s="19"/>
      <c r="Y25892" s="20"/>
    </row>
    <row r="25893" spans="24:25">
      <c r="X25893" s="19"/>
      <c r="Y25893" s="20"/>
    </row>
    <row r="25894" spans="24:25">
      <c r="X25894" s="19"/>
      <c r="Y25894" s="20"/>
    </row>
    <row r="25895" spans="24:25">
      <c r="X25895" s="19"/>
      <c r="Y25895" s="20"/>
    </row>
    <row r="25896" spans="24:25">
      <c r="X25896" s="19"/>
      <c r="Y25896" s="20"/>
    </row>
    <row r="25897" spans="24:25">
      <c r="X25897" s="19"/>
      <c r="Y25897" s="20"/>
    </row>
    <row r="25898" spans="24:25">
      <c r="X25898" s="19"/>
      <c r="Y25898" s="20"/>
    </row>
    <row r="25899" spans="24:25">
      <c r="X25899" s="19"/>
      <c r="Y25899" s="20"/>
    </row>
    <row r="25900" spans="24:25">
      <c r="X25900" s="19"/>
      <c r="Y25900" s="20"/>
    </row>
    <row r="25901" spans="24:25">
      <c r="X25901" s="19"/>
      <c r="Y25901" s="20"/>
    </row>
    <row r="25902" spans="24:25">
      <c r="X25902" s="19"/>
      <c r="Y25902" s="20"/>
    </row>
    <row r="25903" spans="24:25">
      <c r="X25903" s="19"/>
      <c r="Y25903" s="20"/>
    </row>
    <row r="25904" spans="24:25">
      <c r="X25904" s="19"/>
      <c r="Y25904" s="20"/>
    </row>
    <row r="25905" spans="24:25">
      <c r="X25905" s="19"/>
      <c r="Y25905" s="20"/>
    </row>
    <row r="25906" spans="24:25">
      <c r="X25906" s="19"/>
      <c r="Y25906" s="20"/>
    </row>
    <row r="25907" spans="24:25">
      <c r="X25907" s="19"/>
      <c r="Y25907" s="20"/>
    </row>
    <row r="25908" spans="24:25">
      <c r="X25908" s="19"/>
      <c r="Y25908" s="20"/>
    </row>
    <row r="25909" spans="24:25">
      <c r="X25909" s="19"/>
      <c r="Y25909" s="20"/>
    </row>
    <row r="25910" spans="24:25">
      <c r="X25910" s="19"/>
      <c r="Y25910" s="20"/>
    </row>
    <row r="25911" spans="24:25">
      <c r="X25911" s="19"/>
      <c r="Y25911" s="20"/>
    </row>
    <row r="25912" spans="24:25">
      <c r="X25912" s="19"/>
      <c r="Y25912" s="20"/>
    </row>
    <row r="25913" spans="24:25">
      <c r="X25913" s="19"/>
      <c r="Y25913" s="20"/>
    </row>
    <row r="25914" spans="24:25">
      <c r="X25914" s="19"/>
      <c r="Y25914" s="20"/>
    </row>
    <row r="25915" spans="24:25">
      <c r="X25915" s="19"/>
      <c r="Y25915" s="20"/>
    </row>
    <row r="25916" spans="24:25">
      <c r="X25916" s="19"/>
      <c r="Y25916" s="20"/>
    </row>
    <row r="25917" spans="24:25">
      <c r="X25917" s="19"/>
      <c r="Y25917" s="20"/>
    </row>
    <row r="25918" spans="24:25">
      <c r="X25918" s="19"/>
      <c r="Y25918" s="20"/>
    </row>
    <row r="25919" spans="24:25">
      <c r="X25919" s="19"/>
      <c r="Y25919" s="20"/>
    </row>
    <row r="25920" spans="24:25">
      <c r="X25920" s="19"/>
      <c r="Y25920" s="20"/>
    </row>
    <row r="25921" spans="24:25">
      <c r="X25921" s="19"/>
      <c r="Y25921" s="20"/>
    </row>
    <row r="25922" spans="24:25">
      <c r="X25922" s="19"/>
      <c r="Y25922" s="20"/>
    </row>
    <row r="25923" spans="24:25">
      <c r="X25923" s="19"/>
      <c r="Y25923" s="20"/>
    </row>
    <row r="25924" spans="24:25">
      <c r="X25924" s="19"/>
      <c r="Y25924" s="20"/>
    </row>
    <row r="25925" spans="24:25">
      <c r="X25925" s="19"/>
      <c r="Y25925" s="20"/>
    </row>
    <row r="25926" spans="24:25">
      <c r="X25926" s="19"/>
      <c r="Y25926" s="20"/>
    </row>
    <row r="25927" spans="24:25">
      <c r="X25927" s="19"/>
      <c r="Y25927" s="20"/>
    </row>
    <row r="25928" spans="24:25">
      <c r="X25928" s="19"/>
      <c r="Y25928" s="20"/>
    </row>
    <row r="25929" spans="24:25">
      <c r="X25929" s="19"/>
      <c r="Y25929" s="20"/>
    </row>
    <row r="25930" spans="24:25">
      <c r="X25930" s="19"/>
      <c r="Y25930" s="20"/>
    </row>
    <row r="25931" spans="24:25">
      <c r="X25931" s="19"/>
      <c r="Y25931" s="20"/>
    </row>
    <row r="25932" spans="24:25">
      <c r="X25932" s="19"/>
      <c r="Y25932" s="20"/>
    </row>
    <row r="25933" spans="24:25">
      <c r="X25933" s="19"/>
      <c r="Y25933" s="20"/>
    </row>
    <row r="25934" spans="24:25">
      <c r="X25934" s="19"/>
      <c r="Y25934" s="20"/>
    </row>
    <row r="25935" spans="24:25">
      <c r="X25935" s="19"/>
      <c r="Y25935" s="20"/>
    </row>
    <row r="25936" spans="24:25">
      <c r="X25936" s="19"/>
      <c r="Y25936" s="20"/>
    </row>
    <row r="25937" spans="24:25">
      <c r="X25937" s="19"/>
      <c r="Y25937" s="20"/>
    </row>
    <row r="25938" spans="24:25">
      <c r="X25938" s="19"/>
      <c r="Y25938" s="20"/>
    </row>
    <row r="25939" spans="24:25">
      <c r="X25939" s="19"/>
      <c r="Y25939" s="20"/>
    </row>
    <row r="25940" spans="24:25">
      <c r="X25940" s="19"/>
      <c r="Y25940" s="20"/>
    </row>
    <row r="25941" spans="24:25">
      <c r="X25941" s="19"/>
      <c r="Y25941" s="20"/>
    </row>
    <row r="25942" spans="24:25">
      <c r="X25942" s="19"/>
      <c r="Y25942" s="20"/>
    </row>
    <row r="25943" spans="24:25">
      <c r="X25943" s="19"/>
      <c r="Y25943" s="20"/>
    </row>
    <row r="25944" spans="24:25">
      <c r="X25944" s="19"/>
      <c r="Y25944" s="20"/>
    </row>
    <row r="25945" spans="24:25">
      <c r="X25945" s="19"/>
      <c r="Y25945" s="20"/>
    </row>
    <row r="25946" spans="24:25">
      <c r="X25946" s="19"/>
      <c r="Y25946" s="20"/>
    </row>
    <row r="25947" spans="24:25">
      <c r="X25947" s="19"/>
      <c r="Y25947" s="20"/>
    </row>
    <row r="25948" spans="24:25">
      <c r="X25948" s="19"/>
      <c r="Y25948" s="20"/>
    </row>
    <row r="25949" spans="24:25">
      <c r="X25949" s="19"/>
      <c r="Y25949" s="20"/>
    </row>
    <row r="25950" spans="24:25">
      <c r="X25950" s="19"/>
      <c r="Y25950" s="20"/>
    </row>
    <row r="25951" spans="24:25">
      <c r="X25951" s="19"/>
      <c r="Y25951" s="20"/>
    </row>
    <row r="25952" spans="24:25">
      <c r="X25952" s="19"/>
      <c r="Y25952" s="20"/>
    </row>
    <row r="25953" spans="24:25">
      <c r="X25953" s="19"/>
      <c r="Y25953" s="20"/>
    </row>
    <row r="25954" spans="24:25">
      <c r="X25954" s="19"/>
      <c r="Y25954" s="20"/>
    </row>
    <row r="25955" spans="24:25">
      <c r="X25955" s="19"/>
      <c r="Y25955" s="20"/>
    </row>
    <row r="25956" spans="24:25">
      <c r="X25956" s="19"/>
      <c r="Y25956" s="20"/>
    </row>
    <row r="25957" spans="24:25">
      <c r="X25957" s="19"/>
      <c r="Y25957" s="20"/>
    </row>
    <row r="25958" spans="24:25">
      <c r="X25958" s="19"/>
      <c r="Y25958" s="20"/>
    </row>
    <row r="25959" spans="24:25">
      <c r="X25959" s="19"/>
      <c r="Y25959" s="20"/>
    </row>
    <row r="25960" spans="24:25">
      <c r="X25960" s="19"/>
      <c r="Y25960" s="20"/>
    </row>
    <row r="25961" spans="24:25">
      <c r="X25961" s="19"/>
      <c r="Y25961" s="20"/>
    </row>
    <row r="25962" spans="24:25">
      <c r="X25962" s="19"/>
      <c r="Y25962" s="20"/>
    </row>
    <row r="25963" spans="24:25">
      <c r="X25963" s="19"/>
      <c r="Y25963" s="20"/>
    </row>
    <row r="25964" spans="24:25">
      <c r="X25964" s="19"/>
      <c r="Y25964" s="20"/>
    </row>
    <row r="25965" spans="24:25">
      <c r="X25965" s="19"/>
      <c r="Y25965" s="20"/>
    </row>
    <row r="25966" spans="24:25">
      <c r="X25966" s="19"/>
      <c r="Y25966" s="20"/>
    </row>
    <row r="25967" spans="24:25">
      <c r="X25967" s="19"/>
      <c r="Y25967" s="20"/>
    </row>
    <row r="25968" spans="24:25">
      <c r="X25968" s="19"/>
      <c r="Y25968" s="20"/>
    </row>
    <row r="25969" spans="24:25">
      <c r="X25969" s="19"/>
      <c r="Y25969" s="20"/>
    </row>
    <row r="25970" spans="24:25">
      <c r="X25970" s="19"/>
      <c r="Y25970" s="20"/>
    </row>
    <row r="25971" spans="24:25">
      <c r="X25971" s="19"/>
      <c r="Y25971" s="20"/>
    </row>
    <row r="25972" spans="24:25">
      <c r="X25972" s="19"/>
      <c r="Y25972" s="20"/>
    </row>
    <row r="25973" spans="24:25">
      <c r="X25973" s="19"/>
      <c r="Y25973" s="20"/>
    </row>
    <row r="25974" spans="24:25">
      <c r="X25974" s="19"/>
      <c r="Y25974" s="20"/>
    </row>
    <row r="25975" spans="24:25">
      <c r="X25975" s="19"/>
      <c r="Y25975" s="20"/>
    </row>
    <row r="25976" spans="24:25">
      <c r="X25976" s="19"/>
      <c r="Y25976" s="20"/>
    </row>
    <row r="25977" spans="24:25">
      <c r="X25977" s="19"/>
      <c r="Y25977" s="20"/>
    </row>
    <row r="25978" spans="24:25">
      <c r="X25978" s="19"/>
      <c r="Y25978" s="20"/>
    </row>
    <row r="25979" spans="24:25">
      <c r="X25979" s="19"/>
      <c r="Y25979" s="20"/>
    </row>
    <row r="25980" spans="24:25">
      <c r="X25980" s="19"/>
      <c r="Y25980" s="20"/>
    </row>
    <row r="25981" spans="24:25">
      <c r="X25981" s="19"/>
      <c r="Y25981" s="20"/>
    </row>
    <row r="25982" spans="24:25">
      <c r="X25982" s="19"/>
      <c r="Y25982" s="20"/>
    </row>
    <row r="25983" spans="24:25">
      <c r="X25983" s="19"/>
      <c r="Y25983" s="20"/>
    </row>
    <row r="25984" spans="24:25">
      <c r="X25984" s="19"/>
      <c r="Y25984" s="20"/>
    </row>
    <row r="25985" spans="24:25">
      <c r="X25985" s="19"/>
      <c r="Y25985" s="20"/>
    </row>
    <row r="25986" spans="24:25">
      <c r="X25986" s="19"/>
      <c r="Y25986" s="20"/>
    </row>
    <row r="25987" spans="24:25">
      <c r="X25987" s="19"/>
      <c r="Y25987" s="20"/>
    </row>
    <row r="25988" spans="24:25">
      <c r="X25988" s="19"/>
      <c r="Y25988" s="20"/>
    </row>
    <row r="25989" spans="24:25">
      <c r="X25989" s="19"/>
      <c r="Y25989" s="20"/>
    </row>
    <row r="25990" spans="24:25">
      <c r="X25990" s="19"/>
      <c r="Y25990" s="20"/>
    </row>
    <row r="25991" spans="24:25">
      <c r="X25991" s="19"/>
      <c r="Y25991" s="20"/>
    </row>
    <row r="25992" spans="24:25">
      <c r="X25992" s="19"/>
      <c r="Y25992" s="20"/>
    </row>
    <row r="25993" spans="24:25">
      <c r="X25993" s="19"/>
      <c r="Y25993" s="20"/>
    </row>
    <row r="25994" spans="24:25">
      <c r="X25994" s="19"/>
      <c r="Y25994" s="20"/>
    </row>
    <row r="25995" spans="24:25">
      <c r="X25995" s="19"/>
      <c r="Y25995" s="20"/>
    </row>
    <row r="25996" spans="24:25">
      <c r="X25996" s="19"/>
      <c r="Y25996" s="20"/>
    </row>
    <row r="25997" spans="24:25">
      <c r="X25997" s="19"/>
      <c r="Y25997" s="20"/>
    </row>
    <row r="25998" spans="24:25">
      <c r="X25998" s="19"/>
      <c r="Y25998" s="20"/>
    </row>
    <row r="25999" spans="24:25">
      <c r="X25999" s="19"/>
      <c r="Y25999" s="20"/>
    </row>
    <row r="26000" spans="24:25">
      <c r="X26000" s="19"/>
      <c r="Y26000" s="20"/>
    </row>
    <row r="26001" spans="24:25">
      <c r="X26001" s="19"/>
      <c r="Y26001" s="20"/>
    </row>
    <row r="26002" spans="24:25">
      <c r="X26002" s="19"/>
      <c r="Y26002" s="20"/>
    </row>
    <row r="26003" spans="24:25">
      <c r="X26003" s="19"/>
      <c r="Y26003" s="20"/>
    </row>
    <row r="26004" spans="24:25">
      <c r="X26004" s="19"/>
      <c r="Y26004" s="20"/>
    </row>
    <row r="26005" spans="24:25">
      <c r="X26005" s="19"/>
      <c r="Y26005" s="20"/>
    </row>
    <row r="26006" spans="24:25">
      <c r="X26006" s="19"/>
      <c r="Y26006" s="20"/>
    </row>
    <row r="26007" spans="24:25">
      <c r="X26007" s="19"/>
      <c r="Y26007" s="20"/>
    </row>
    <row r="26008" spans="24:25">
      <c r="X26008" s="19"/>
      <c r="Y26008" s="20"/>
    </row>
    <row r="26009" spans="24:25">
      <c r="X26009" s="19"/>
      <c r="Y26009" s="20"/>
    </row>
    <row r="26010" spans="24:25">
      <c r="X26010" s="19"/>
      <c r="Y26010" s="20"/>
    </row>
    <row r="26011" spans="24:25">
      <c r="X26011" s="19"/>
      <c r="Y26011" s="20"/>
    </row>
    <row r="26012" spans="24:25">
      <c r="X26012" s="19"/>
      <c r="Y26012" s="20"/>
    </row>
    <row r="26013" spans="24:25">
      <c r="X26013" s="19"/>
      <c r="Y26013" s="20"/>
    </row>
    <row r="26014" spans="24:25">
      <c r="X26014" s="19"/>
      <c r="Y26014" s="20"/>
    </row>
    <row r="26015" spans="24:25">
      <c r="X26015" s="19"/>
      <c r="Y26015" s="20"/>
    </row>
    <row r="26016" spans="24:25">
      <c r="X26016" s="19"/>
      <c r="Y26016" s="20"/>
    </row>
    <row r="26017" spans="24:25">
      <c r="X26017" s="19"/>
      <c r="Y26017" s="20"/>
    </row>
    <row r="26018" spans="24:25">
      <c r="X26018" s="19"/>
      <c r="Y26018" s="20"/>
    </row>
    <row r="26019" spans="24:25">
      <c r="X26019" s="19"/>
      <c r="Y26019" s="20"/>
    </row>
    <row r="26020" spans="24:25">
      <c r="X26020" s="19"/>
      <c r="Y26020" s="20"/>
    </row>
    <row r="26021" spans="24:25">
      <c r="X26021" s="19"/>
      <c r="Y26021" s="20"/>
    </row>
    <row r="26022" spans="24:25">
      <c r="X26022" s="19"/>
      <c r="Y26022" s="20"/>
    </row>
    <row r="26023" spans="24:25">
      <c r="X26023" s="19"/>
      <c r="Y26023" s="20"/>
    </row>
    <row r="26024" spans="24:25">
      <c r="X26024" s="19"/>
      <c r="Y26024" s="20"/>
    </row>
    <row r="26025" spans="24:25">
      <c r="X26025" s="19"/>
      <c r="Y26025" s="20"/>
    </row>
    <row r="26026" spans="24:25">
      <c r="X26026" s="19"/>
      <c r="Y26026" s="20"/>
    </row>
    <row r="26027" spans="24:25">
      <c r="X26027" s="19"/>
      <c r="Y26027" s="20"/>
    </row>
    <row r="26028" spans="24:25">
      <c r="X26028" s="19"/>
      <c r="Y26028" s="20"/>
    </row>
    <row r="26029" spans="24:25">
      <c r="X26029" s="19"/>
      <c r="Y26029" s="20"/>
    </row>
    <row r="26030" spans="24:25">
      <c r="X26030" s="19"/>
      <c r="Y26030" s="20"/>
    </row>
    <row r="26031" spans="24:25">
      <c r="X26031" s="19"/>
      <c r="Y26031" s="20"/>
    </row>
    <row r="26032" spans="24:25">
      <c r="X26032" s="19"/>
      <c r="Y26032" s="20"/>
    </row>
    <row r="26033" spans="24:25">
      <c r="X26033" s="19"/>
      <c r="Y26033" s="20"/>
    </row>
    <row r="26034" spans="24:25">
      <c r="X26034" s="19"/>
      <c r="Y26034" s="20"/>
    </row>
    <row r="26035" spans="24:25">
      <c r="X26035" s="19"/>
      <c r="Y26035" s="20"/>
    </row>
    <row r="26036" spans="24:25">
      <c r="X26036" s="19"/>
      <c r="Y26036" s="20"/>
    </row>
    <row r="26037" spans="24:25">
      <c r="X26037" s="19"/>
      <c r="Y26037" s="20"/>
    </row>
    <row r="26038" spans="24:25">
      <c r="X26038" s="19"/>
      <c r="Y26038" s="20"/>
    </row>
    <row r="26039" spans="24:25">
      <c r="X26039" s="19"/>
      <c r="Y26039" s="20"/>
    </row>
    <row r="26040" spans="24:25">
      <c r="X26040" s="19"/>
      <c r="Y26040" s="20"/>
    </row>
    <row r="26041" spans="24:25">
      <c r="X26041" s="19"/>
      <c r="Y26041" s="20"/>
    </row>
    <row r="26042" spans="24:25">
      <c r="X26042" s="19"/>
      <c r="Y26042" s="20"/>
    </row>
    <row r="26043" spans="24:25">
      <c r="X26043" s="19"/>
      <c r="Y26043" s="20"/>
    </row>
    <row r="26044" spans="24:25">
      <c r="X26044" s="19"/>
      <c r="Y26044" s="20"/>
    </row>
    <row r="26045" spans="24:25">
      <c r="X26045" s="19"/>
      <c r="Y26045" s="20"/>
    </row>
    <row r="26046" spans="24:25">
      <c r="X26046" s="19"/>
      <c r="Y26046" s="20"/>
    </row>
    <row r="26047" spans="24:25">
      <c r="X26047" s="19"/>
      <c r="Y26047" s="20"/>
    </row>
    <row r="26048" spans="24:25">
      <c r="X26048" s="19"/>
      <c r="Y26048" s="20"/>
    </row>
    <row r="26049" spans="24:25">
      <c r="X26049" s="19"/>
      <c r="Y26049" s="20"/>
    </row>
    <row r="26050" spans="24:25">
      <c r="X26050" s="19"/>
      <c r="Y26050" s="20"/>
    </row>
    <row r="26051" spans="24:25">
      <c r="X26051" s="19"/>
      <c r="Y26051" s="20"/>
    </row>
    <row r="26052" spans="24:25">
      <c r="X26052" s="19"/>
      <c r="Y26052" s="20"/>
    </row>
    <row r="26053" spans="24:25">
      <c r="X26053" s="19"/>
      <c r="Y26053" s="20"/>
    </row>
    <row r="26054" spans="24:25">
      <c r="X26054" s="19"/>
      <c r="Y26054" s="20"/>
    </row>
    <row r="26055" spans="24:25">
      <c r="X26055" s="19"/>
      <c r="Y26055" s="20"/>
    </row>
    <row r="26056" spans="24:25">
      <c r="X26056" s="19"/>
      <c r="Y26056" s="20"/>
    </row>
    <row r="26057" spans="24:25">
      <c r="X26057" s="19"/>
      <c r="Y26057" s="20"/>
    </row>
    <row r="26058" spans="24:25">
      <c r="X26058" s="19"/>
      <c r="Y26058" s="20"/>
    </row>
    <row r="26059" spans="24:25">
      <c r="X26059" s="19"/>
      <c r="Y26059" s="20"/>
    </row>
    <row r="26060" spans="24:25">
      <c r="X26060" s="19"/>
      <c r="Y26060" s="20"/>
    </row>
    <row r="26061" spans="24:25">
      <c r="X26061" s="19"/>
      <c r="Y26061" s="20"/>
    </row>
    <row r="26062" spans="24:25">
      <c r="X26062" s="19"/>
      <c r="Y26062" s="20"/>
    </row>
    <row r="26063" spans="24:25">
      <c r="X26063" s="19"/>
      <c r="Y26063" s="20"/>
    </row>
    <row r="26064" spans="24:25">
      <c r="X26064" s="19"/>
      <c r="Y26064" s="20"/>
    </row>
    <row r="26065" spans="24:25">
      <c r="X26065" s="19"/>
      <c r="Y26065" s="20"/>
    </row>
    <row r="26066" spans="24:25">
      <c r="X26066" s="19"/>
      <c r="Y26066" s="20"/>
    </row>
    <row r="26067" spans="24:25">
      <c r="X26067" s="19"/>
      <c r="Y26067" s="20"/>
    </row>
    <row r="26068" spans="24:25">
      <c r="X26068" s="19"/>
      <c r="Y26068" s="20"/>
    </row>
    <row r="26069" spans="24:25">
      <c r="X26069" s="19"/>
      <c r="Y26069" s="20"/>
    </row>
    <row r="26070" spans="24:25">
      <c r="X26070" s="19"/>
      <c r="Y26070" s="20"/>
    </row>
    <row r="26071" spans="24:25">
      <c r="X26071" s="19"/>
      <c r="Y26071" s="20"/>
    </row>
    <row r="26072" spans="24:25">
      <c r="X26072" s="19"/>
      <c r="Y26072" s="20"/>
    </row>
    <row r="26073" spans="24:25">
      <c r="X26073" s="19"/>
      <c r="Y26073" s="20"/>
    </row>
    <row r="26074" spans="24:25">
      <c r="X26074" s="19"/>
      <c r="Y26074" s="20"/>
    </row>
    <row r="26075" spans="24:25">
      <c r="X26075" s="19"/>
      <c r="Y26075" s="20"/>
    </row>
    <row r="26076" spans="24:25">
      <c r="X26076" s="19"/>
      <c r="Y26076" s="20"/>
    </row>
    <row r="26077" spans="24:25">
      <c r="X26077" s="19"/>
      <c r="Y26077" s="20"/>
    </row>
    <row r="26078" spans="24:25">
      <c r="X26078" s="19"/>
      <c r="Y26078" s="20"/>
    </row>
    <row r="26079" spans="24:25">
      <c r="X26079" s="19"/>
      <c r="Y26079" s="20"/>
    </row>
    <row r="26080" spans="24:25">
      <c r="X26080" s="19"/>
      <c r="Y26080" s="20"/>
    </row>
    <row r="26081" spans="24:25">
      <c r="X26081" s="19"/>
      <c r="Y26081" s="20"/>
    </row>
    <row r="26082" spans="24:25">
      <c r="X26082" s="19"/>
      <c r="Y26082" s="20"/>
    </row>
    <row r="26083" spans="24:25">
      <c r="X26083" s="19"/>
      <c r="Y26083" s="20"/>
    </row>
    <row r="26084" spans="24:25">
      <c r="X26084" s="19"/>
      <c r="Y26084" s="20"/>
    </row>
    <row r="26085" spans="24:25">
      <c r="X26085" s="19"/>
      <c r="Y26085" s="20"/>
    </row>
    <row r="26086" spans="24:25">
      <c r="X26086" s="19"/>
      <c r="Y26086" s="20"/>
    </row>
    <row r="26087" spans="24:25">
      <c r="X26087" s="19"/>
      <c r="Y26087" s="20"/>
    </row>
    <row r="26088" spans="24:25">
      <c r="X26088" s="19"/>
      <c r="Y26088" s="20"/>
    </row>
    <row r="26089" spans="24:25">
      <c r="X26089" s="19"/>
      <c r="Y26089" s="20"/>
    </row>
    <row r="26090" spans="24:25">
      <c r="X26090" s="19"/>
      <c r="Y26090" s="20"/>
    </row>
    <row r="26091" spans="24:25">
      <c r="X26091" s="19"/>
      <c r="Y26091" s="20"/>
    </row>
    <row r="26092" spans="24:25">
      <c r="X26092" s="19"/>
      <c r="Y26092" s="20"/>
    </row>
    <row r="26093" spans="24:25">
      <c r="X26093" s="19"/>
      <c r="Y26093" s="20"/>
    </row>
    <row r="26094" spans="24:25">
      <c r="X26094" s="19"/>
      <c r="Y26094" s="20"/>
    </row>
    <row r="26095" spans="24:25">
      <c r="X26095" s="19"/>
      <c r="Y26095" s="20"/>
    </row>
    <row r="26096" spans="24:25">
      <c r="X26096" s="19"/>
      <c r="Y26096" s="20"/>
    </row>
    <row r="26097" spans="24:25">
      <c r="X26097" s="19"/>
      <c r="Y26097" s="20"/>
    </row>
    <row r="26098" spans="24:25">
      <c r="X26098" s="19"/>
      <c r="Y26098" s="20"/>
    </row>
    <row r="26099" spans="24:25">
      <c r="X26099" s="19"/>
      <c r="Y26099" s="20"/>
    </row>
    <row r="26100" spans="24:25">
      <c r="X26100" s="19"/>
      <c r="Y26100" s="20"/>
    </row>
    <row r="26101" spans="24:25">
      <c r="X26101" s="19"/>
      <c r="Y26101" s="20"/>
    </row>
    <row r="26102" spans="24:25">
      <c r="X26102" s="19"/>
      <c r="Y26102" s="20"/>
    </row>
    <row r="26103" spans="24:25">
      <c r="X26103" s="19"/>
      <c r="Y26103" s="20"/>
    </row>
    <row r="26104" spans="24:25">
      <c r="X26104" s="19"/>
      <c r="Y26104" s="20"/>
    </row>
    <row r="26105" spans="24:25">
      <c r="X26105" s="19"/>
      <c r="Y26105" s="20"/>
    </row>
    <row r="26106" spans="24:25">
      <c r="X26106" s="19"/>
      <c r="Y26106" s="20"/>
    </row>
    <row r="26107" spans="24:25">
      <c r="X26107" s="19"/>
      <c r="Y26107" s="20"/>
    </row>
    <row r="26108" spans="24:25">
      <c r="X26108" s="19"/>
      <c r="Y26108" s="20"/>
    </row>
    <row r="26109" spans="24:25">
      <c r="X26109" s="19"/>
      <c r="Y26109" s="20"/>
    </row>
    <row r="26110" spans="24:25">
      <c r="X26110" s="19"/>
      <c r="Y26110" s="20"/>
    </row>
    <row r="26111" spans="24:25">
      <c r="X26111" s="19"/>
      <c r="Y26111" s="20"/>
    </row>
    <row r="26112" spans="24:25">
      <c r="X26112" s="19"/>
      <c r="Y26112" s="20"/>
    </row>
    <row r="26113" spans="24:25">
      <c r="X26113" s="19"/>
      <c r="Y26113" s="20"/>
    </row>
    <row r="26114" spans="24:25">
      <c r="X26114" s="19"/>
      <c r="Y26114" s="20"/>
    </row>
    <row r="26115" spans="24:25">
      <c r="X26115" s="19"/>
      <c r="Y26115" s="20"/>
    </row>
    <row r="26116" spans="24:25">
      <c r="X26116" s="19"/>
      <c r="Y26116" s="20"/>
    </row>
    <row r="26117" spans="24:25">
      <c r="X26117" s="19"/>
      <c r="Y26117" s="20"/>
    </row>
    <row r="26118" spans="24:25">
      <c r="X26118" s="19"/>
      <c r="Y26118" s="20"/>
    </row>
    <row r="26119" spans="24:25">
      <c r="X26119" s="19"/>
      <c r="Y26119" s="20"/>
    </row>
    <row r="26120" spans="24:25">
      <c r="X26120" s="19"/>
      <c r="Y26120" s="20"/>
    </row>
    <row r="26121" spans="24:25">
      <c r="X26121" s="19"/>
      <c r="Y26121" s="20"/>
    </row>
    <row r="26122" spans="24:25">
      <c r="X26122" s="19"/>
      <c r="Y26122" s="20"/>
    </row>
    <row r="26123" spans="24:25">
      <c r="X26123" s="19"/>
      <c r="Y26123" s="20"/>
    </row>
    <row r="26124" spans="24:25">
      <c r="X26124" s="19"/>
      <c r="Y26124" s="20"/>
    </row>
    <row r="26125" spans="24:25">
      <c r="X26125" s="19"/>
      <c r="Y26125" s="20"/>
    </row>
    <row r="26126" spans="24:25">
      <c r="X26126" s="19"/>
      <c r="Y26126" s="20"/>
    </row>
    <row r="26127" spans="24:25">
      <c r="X26127" s="19"/>
      <c r="Y26127" s="20"/>
    </row>
    <row r="26128" spans="24:25">
      <c r="X26128" s="19"/>
      <c r="Y26128" s="20"/>
    </row>
    <row r="26129" spans="24:25">
      <c r="X26129" s="19"/>
      <c r="Y26129" s="20"/>
    </row>
    <row r="26130" spans="24:25">
      <c r="X26130" s="19"/>
      <c r="Y26130" s="20"/>
    </row>
    <row r="26131" spans="24:25">
      <c r="X26131" s="19"/>
      <c r="Y26131" s="20"/>
    </row>
    <row r="26132" spans="24:25">
      <c r="X26132" s="19"/>
      <c r="Y26132" s="20"/>
    </row>
    <row r="26133" spans="24:25">
      <c r="X26133" s="19"/>
      <c r="Y26133" s="20"/>
    </row>
    <row r="26134" spans="24:25">
      <c r="X26134" s="19"/>
      <c r="Y26134" s="20"/>
    </row>
    <row r="26135" spans="24:25">
      <c r="X26135" s="19"/>
      <c r="Y26135" s="20"/>
    </row>
    <row r="26136" spans="24:25">
      <c r="X26136" s="19"/>
      <c r="Y26136" s="20"/>
    </row>
    <row r="26137" spans="24:25">
      <c r="X26137" s="19"/>
      <c r="Y26137" s="20"/>
    </row>
    <row r="26138" spans="24:25">
      <c r="X26138" s="19"/>
      <c r="Y26138" s="20"/>
    </row>
    <row r="26139" spans="24:25">
      <c r="X26139" s="19"/>
      <c r="Y26139" s="20"/>
    </row>
    <row r="26140" spans="24:25">
      <c r="X26140" s="19"/>
      <c r="Y26140" s="20"/>
    </row>
    <row r="26141" spans="24:25">
      <c r="X26141" s="19"/>
      <c r="Y26141" s="20"/>
    </row>
    <row r="26142" spans="24:25">
      <c r="X26142" s="19"/>
      <c r="Y26142" s="20"/>
    </row>
    <row r="26143" spans="24:25">
      <c r="X26143" s="19"/>
      <c r="Y26143" s="20"/>
    </row>
    <row r="26144" spans="24:25">
      <c r="X26144" s="19"/>
      <c r="Y26144" s="20"/>
    </row>
    <row r="26145" spans="24:25">
      <c r="X26145" s="19"/>
      <c r="Y26145" s="20"/>
    </row>
    <row r="26146" spans="24:25">
      <c r="X26146" s="19"/>
      <c r="Y26146" s="20"/>
    </row>
    <row r="26147" spans="24:25">
      <c r="X26147" s="19"/>
      <c r="Y26147" s="20"/>
    </row>
    <row r="26148" spans="24:25">
      <c r="X26148" s="19"/>
      <c r="Y26148" s="20"/>
    </row>
    <row r="26149" spans="24:25">
      <c r="X26149" s="19"/>
      <c r="Y26149" s="20"/>
    </row>
    <row r="26150" spans="24:25">
      <c r="X26150" s="19"/>
      <c r="Y26150" s="20"/>
    </row>
    <row r="26151" spans="24:25">
      <c r="X26151" s="19"/>
      <c r="Y26151" s="20"/>
    </row>
    <row r="26152" spans="24:25">
      <c r="X26152" s="19"/>
      <c r="Y26152" s="20"/>
    </row>
    <row r="26153" spans="24:25">
      <c r="X26153" s="19"/>
      <c r="Y26153" s="20"/>
    </row>
    <row r="26154" spans="24:25">
      <c r="X26154" s="19"/>
      <c r="Y26154" s="20"/>
    </row>
    <row r="26155" spans="24:25">
      <c r="X26155" s="19"/>
      <c r="Y26155" s="20"/>
    </row>
    <row r="26156" spans="24:25">
      <c r="X26156" s="19"/>
      <c r="Y26156" s="20"/>
    </row>
    <row r="26157" spans="24:25">
      <c r="X26157" s="19"/>
      <c r="Y26157" s="20"/>
    </row>
    <row r="26158" spans="24:25">
      <c r="X26158" s="19"/>
      <c r="Y26158" s="20"/>
    </row>
    <row r="26159" spans="24:25">
      <c r="X26159" s="19"/>
      <c r="Y26159" s="20"/>
    </row>
    <row r="26160" spans="24:25">
      <c r="X26160" s="19"/>
      <c r="Y26160" s="20"/>
    </row>
    <row r="26161" spans="24:25">
      <c r="X26161" s="19"/>
      <c r="Y26161" s="20"/>
    </row>
    <row r="26162" spans="24:25">
      <c r="X26162" s="19"/>
      <c r="Y26162" s="20"/>
    </row>
    <row r="26163" spans="24:25">
      <c r="X26163" s="19"/>
      <c r="Y26163" s="20"/>
    </row>
    <row r="26164" spans="24:25">
      <c r="X26164" s="19"/>
      <c r="Y26164" s="20"/>
    </row>
    <row r="26165" spans="24:25">
      <c r="X26165" s="19"/>
      <c r="Y26165" s="20"/>
    </row>
    <row r="26166" spans="24:25">
      <c r="X26166" s="19"/>
      <c r="Y26166" s="20"/>
    </row>
    <row r="26167" spans="24:25">
      <c r="X26167" s="19"/>
      <c r="Y26167" s="20"/>
    </row>
    <row r="26168" spans="24:25">
      <c r="X26168" s="19"/>
      <c r="Y26168" s="20"/>
    </row>
    <row r="26169" spans="24:25">
      <c r="X26169" s="19"/>
      <c r="Y26169" s="20"/>
    </row>
    <row r="26170" spans="24:25">
      <c r="X26170" s="19"/>
      <c r="Y26170" s="20"/>
    </row>
    <row r="26171" spans="24:25">
      <c r="X26171" s="19"/>
      <c r="Y26171" s="20"/>
    </row>
    <row r="26172" spans="24:25">
      <c r="X26172" s="19"/>
      <c r="Y26172" s="20"/>
    </row>
    <row r="26173" spans="24:25">
      <c r="X26173" s="19"/>
      <c r="Y26173" s="20"/>
    </row>
    <row r="26174" spans="24:25">
      <c r="X26174" s="19"/>
      <c r="Y26174" s="20"/>
    </row>
    <row r="26175" spans="24:25">
      <c r="X26175" s="19"/>
      <c r="Y26175" s="20"/>
    </row>
    <row r="26176" spans="24:25">
      <c r="X26176" s="19"/>
      <c r="Y26176" s="20"/>
    </row>
    <row r="26177" spans="24:25">
      <c r="X26177" s="19"/>
      <c r="Y26177" s="20"/>
    </row>
    <row r="26178" spans="24:25">
      <c r="X26178" s="19"/>
      <c r="Y26178" s="20"/>
    </row>
    <row r="26179" spans="24:25">
      <c r="X26179" s="19"/>
      <c r="Y26179" s="20"/>
    </row>
    <row r="26180" spans="24:25">
      <c r="X26180" s="19"/>
      <c r="Y26180" s="20"/>
    </row>
    <row r="26181" spans="24:25">
      <c r="X26181" s="19"/>
      <c r="Y26181" s="20"/>
    </row>
    <row r="26182" spans="24:25">
      <c r="X26182" s="19"/>
      <c r="Y26182" s="20"/>
    </row>
    <row r="26183" spans="24:25">
      <c r="X26183" s="19"/>
      <c r="Y26183" s="20"/>
    </row>
    <row r="26184" spans="24:25">
      <c r="X26184" s="19"/>
      <c r="Y26184" s="20"/>
    </row>
    <row r="26185" spans="24:25">
      <c r="X26185" s="19"/>
      <c r="Y26185" s="20"/>
    </row>
    <row r="26186" spans="24:25">
      <c r="X26186" s="19"/>
      <c r="Y26186" s="20"/>
    </row>
    <row r="26187" spans="24:25">
      <c r="X26187" s="19"/>
      <c r="Y26187" s="20"/>
    </row>
    <row r="26188" spans="24:25">
      <c r="X26188" s="19"/>
      <c r="Y26188" s="20"/>
    </row>
    <row r="26189" spans="24:25">
      <c r="X26189" s="19"/>
      <c r="Y26189" s="20"/>
    </row>
    <row r="26190" spans="24:25">
      <c r="X26190" s="19"/>
      <c r="Y26190" s="20"/>
    </row>
    <row r="26191" spans="24:25">
      <c r="X26191" s="19"/>
      <c r="Y26191" s="20"/>
    </row>
    <row r="26192" spans="24:25">
      <c r="X26192" s="19"/>
      <c r="Y26192" s="20"/>
    </row>
    <row r="26193" spans="24:25">
      <c r="X26193" s="19"/>
      <c r="Y26193" s="20"/>
    </row>
    <row r="26194" spans="24:25">
      <c r="X26194" s="19"/>
      <c r="Y26194" s="20"/>
    </row>
    <row r="26195" spans="24:25">
      <c r="X26195" s="19"/>
      <c r="Y26195" s="20"/>
    </row>
    <row r="26196" spans="24:25">
      <c r="X26196" s="19"/>
      <c r="Y26196" s="20"/>
    </row>
    <row r="26197" spans="24:25">
      <c r="X26197" s="19"/>
      <c r="Y26197" s="20"/>
    </row>
    <row r="26198" spans="24:25">
      <c r="X26198" s="19"/>
      <c r="Y26198" s="20"/>
    </row>
    <row r="26199" spans="24:25">
      <c r="X26199" s="19"/>
      <c r="Y26199" s="20"/>
    </row>
    <row r="26200" spans="24:25">
      <c r="X26200" s="19"/>
      <c r="Y26200" s="20"/>
    </row>
    <row r="26201" spans="24:25">
      <c r="X26201" s="19"/>
      <c r="Y26201" s="20"/>
    </row>
    <row r="26202" spans="24:25">
      <c r="X26202" s="19"/>
      <c r="Y26202" s="20"/>
    </row>
    <row r="26203" spans="24:25">
      <c r="X26203" s="19"/>
      <c r="Y26203" s="20"/>
    </row>
    <row r="26204" spans="24:25">
      <c r="X26204" s="19"/>
      <c r="Y26204" s="20"/>
    </row>
    <row r="26205" spans="24:25">
      <c r="X26205" s="19"/>
      <c r="Y26205" s="20"/>
    </row>
    <row r="26206" spans="24:25">
      <c r="X26206" s="19"/>
      <c r="Y26206" s="20"/>
    </row>
    <row r="26207" spans="24:25">
      <c r="X26207" s="19"/>
      <c r="Y26207" s="20"/>
    </row>
    <row r="26208" spans="24:25">
      <c r="X26208" s="19"/>
      <c r="Y26208" s="20"/>
    </row>
    <row r="26209" spans="24:25">
      <c r="X26209" s="19"/>
      <c r="Y26209" s="20"/>
    </row>
    <row r="26210" spans="24:25">
      <c r="X26210" s="19"/>
      <c r="Y26210" s="20"/>
    </row>
    <row r="26211" spans="24:25">
      <c r="X26211" s="19"/>
      <c r="Y26211" s="20"/>
    </row>
    <row r="26212" spans="24:25">
      <c r="X26212" s="19"/>
      <c r="Y26212" s="20"/>
    </row>
    <row r="26213" spans="24:25">
      <c r="X26213" s="19"/>
      <c r="Y26213" s="20"/>
    </row>
    <row r="26214" spans="24:25">
      <c r="X26214" s="19"/>
      <c r="Y26214" s="20"/>
    </row>
    <row r="26215" spans="24:25">
      <c r="X26215" s="19"/>
      <c r="Y26215" s="20"/>
    </row>
    <row r="26216" spans="24:25">
      <c r="X26216" s="19"/>
      <c r="Y26216" s="20"/>
    </row>
    <row r="26217" spans="24:25">
      <c r="X26217" s="19"/>
      <c r="Y26217" s="20"/>
    </row>
    <row r="26218" spans="24:25">
      <c r="X26218" s="19"/>
      <c r="Y26218" s="20"/>
    </row>
    <row r="26219" spans="24:25">
      <c r="X26219" s="19"/>
      <c r="Y26219" s="20"/>
    </row>
    <row r="26220" spans="24:25">
      <c r="X26220" s="19"/>
      <c r="Y26220" s="20"/>
    </row>
    <row r="26221" spans="24:25">
      <c r="X26221" s="19"/>
      <c r="Y26221" s="20"/>
    </row>
    <row r="26222" spans="24:25">
      <c r="X26222" s="19"/>
      <c r="Y26222" s="20"/>
    </row>
    <row r="26223" spans="24:25">
      <c r="X26223" s="19"/>
      <c r="Y26223" s="20"/>
    </row>
    <row r="26224" spans="24:25">
      <c r="X26224" s="19"/>
      <c r="Y26224" s="20"/>
    </row>
    <row r="26225" spans="24:25">
      <c r="X26225" s="19"/>
      <c r="Y26225" s="20"/>
    </row>
    <row r="26226" spans="24:25">
      <c r="X26226" s="19"/>
      <c r="Y26226" s="20"/>
    </row>
    <row r="26227" spans="24:25">
      <c r="X26227" s="19"/>
      <c r="Y26227" s="20"/>
    </row>
    <row r="26228" spans="24:25">
      <c r="X26228" s="19"/>
      <c r="Y26228" s="20"/>
    </row>
    <row r="26229" spans="24:25">
      <c r="X26229" s="19"/>
      <c r="Y26229" s="20"/>
    </row>
    <row r="26230" spans="24:25">
      <c r="X26230" s="19"/>
      <c r="Y26230" s="20"/>
    </row>
    <row r="26231" spans="24:25">
      <c r="X26231" s="19"/>
      <c r="Y26231" s="20"/>
    </row>
    <row r="26232" spans="24:25">
      <c r="X26232" s="19"/>
      <c r="Y26232" s="20"/>
    </row>
    <row r="26233" spans="24:25">
      <c r="X26233" s="19"/>
      <c r="Y26233" s="20"/>
    </row>
    <row r="26234" spans="24:25">
      <c r="X26234" s="19"/>
      <c r="Y26234" s="20"/>
    </row>
    <row r="26235" spans="24:25">
      <c r="X26235" s="19"/>
      <c r="Y26235" s="20"/>
    </row>
    <row r="26236" spans="24:25">
      <c r="X26236" s="19"/>
      <c r="Y26236" s="20"/>
    </row>
    <row r="26237" spans="24:25">
      <c r="X26237" s="19"/>
      <c r="Y26237" s="20"/>
    </row>
    <row r="26238" spans="24:25">
      <c r="X26238" s="19"/>
      <c r="Y26238" s="20"/>
    </row>
    <row r="26239" spans="24:25">
      <c r="X26239" s="19"/>
      <c r="Y26239" s="20"/>
    </row>
    <row r="26240" spans="24:25">
      <c r="X26240" s="19"/>
      <c r="Y26240" s="20"/>
    </row>
    <row r="26241" spans="24:25">
      <c r="X26241" s="19"/>
      <c r="Y26241" s="20"/>
    </row>
    <row r="26242" spans="24:25">
      <c r="X26242" s="19"/>
      <c r="Y26242" s="20"/>
    </row>
    <row r="26243" spans="24:25">
      <c r="X26243" s="19"/>
      <c r="Y26243" s="20"/>
    </row>
    <row r="26244" spans="24:25">
      <c r="X26244" s="19"/>
      <c r="Y26244" s="20"/>
    </row>
    <row r="26245" spans="24:25">
      <c r="X26245" s="19"/>
      <c r="Y26245" s="20"/>
    </row>
    <row r="26246" spans="24:25">
      <c r="X26246" s="19"/>
      <c r="Y26246" s="20"/>
    </row>
    <row r="26247" spans="24:25">
      <c r="X26247" s="19"/>
      <c r="Y26247" s="20"/>
    </row>
    <row r="26248" spans="24:25">
      <c r="X26248" s="19"/>
      <c r="Y26248" s="20"/>
    </row>
    <row r="26249" spans="24:25">
      <c r="X26249" s="19"/>
      <c r="Y26249" s="20"/>
    </row>
    <row r="26250" spans="24:25">
      <c r="X26250" s="19"/>
      <c r="Y26250" s="20"/>
    </row>
    <row r="26251" spans="24:25">
      <c r="X26251" s="19"/>
      <c r="Y26251" s="20"/>
    </row>
    <row r="26252" spans="24:25">
      <c r="X26252" s="19"/>
      <c r="Y26252" s="20"/>
    </row>
    <row r="26253" spans="24:25">
      <c r="X26253" s="19"/>
      <c r="Y26253" s="20"/>
    </row>
    <row r="26254" spans="24:25">
      <c r="X26254" s="19"/>
      <c r="Y26254" s="20"/>
    </row>
    <row r="26255" spans="24:25">
      <c r="X26255" s="19"/>
      <c r="Y26255" s="20"/>
    </row>
    <row r="26256" spans="24:25">
      <c r="X26256" s="19"/>
      <c r="Y26256" s="20"/>
    </row>
    <row r="26257" spans="24:25">
      <c r="X26257" s="19"/>
      <c r="Y26257" s="20"/>
    </row>
    <row r="26258" spans="24:25">
      <c r="X26258" s="19"/>
      <c r="Y26258" s="20"/>
    </row>
    <row r="26259" spans="24:25">
      <c r="X26259" s="19"/>
      <c r="Y26259" s="20"/>
    </row>
    <row r="26260" spans="24:25">
      <c r="X26260" s="19"/>
      <c r="Y26260" s="20"/>
    </row>
    <row r="26261" spans="24:25">
      <c r="X26261" s="19"/>
      <c r="Y26261" s="20"/>
    </row>
    <row r="26262" spans="24:25">
      <c r="X26262" s="19"/>
      <c r="Y26262" s="20"/>
    </row>
    <row r="26263" spans="24:25">
      <c r="X26263" s="19"/>
      <c r="Y26263" s="20"/>
    </row>
    <row r="26264" spans="24:25">
      <c r="X26264" s="19"/>
      <c r="Y26264" s="20"/>
    </row>
    <row r="26265" spans="24:25">
      <c r="X26265" s="19"/>
      <c r="Y26265" s="20"/>
    </row>
    <row r="26266" spans="24:25">
      <c r="X26266" s="19"/>
      <c r="Y26266" s="20"/>
    </row>
    <row r="26267" spans="24:25">
      <c r="X26267" s="19"/>
      <c r="Y26267" s="20"/>
    </row>
    <row r="26268" spans="24:25">
      <c r="X26268" s="19"/>
      <c r="Y26268" s="20"/>
    </row>
    <row r="26269" spans="24:25">
      <c r="X26269" s="19"/>
      <c r="Y26269" s="20"/>
    </row>
    <row r="26270" spans="24:25">
      <c r="X26270" s="19"/>
      <c r="Y26270" s="20"/>
    </row>
    <row r="26271" spans="24:25">
      <c r="X26271" s="19"/>
      <c r="Y26271" s="20"/>
    </row>
    <row r="26272" spans="24:25">
      <c r="X26272" s="19"/>
      <c r="Y26272" s="20"/>
    </row>
    <row r="26273" spans="24:25">
      <c r="X26273" s="19"/>
      <c r="Y26273" s="20"/>
    </row>
    <row r="26274" spans="24:25">
      <c r="X26274" s="19"/>
      <c r="Y26274" s="20"/>
    </row>
    <row r="26275" spans="24:25">
      <c r="X26275" s="19"/>
      <c r="Y26275" s="20"/>
    </row>
    <row r="26276" spans="24:25">
      <c r="X26276" s="19"/>
      <c r="Y26276" s="20"/>
    </row>
    <row r="26277" spans="24:25">
      <c r="X26277" s="19"/>
      <c r="Y26277" s="20"/>
    </row>
    <row r="26278" spans="24:25">
      <c r="X26278" s="19"/>
      <c r="Y26278" s="20"/>
    </row>
    <row r="26279" spans="24:25">
      <c r="X26279" s="19"/>
      <c r="Y26279" s="20"/>
    </row>
    <row r="26280" spans="24:25">
      <c r="X26280" s="19"/>
      <c r="Y26280" s="20"/>
    </row>
    <row r="26281" spans="24:25">
      <c r="X26281" s="19"/>
      <c r="Y26281" s="20"/>
    </row>
    <row r="26282" spans="24:25">
      <c r="X26282" s="19"/>
      <c r="Y26282" s="20"/>
    </row>
    <row r="26283" spans="24:25">
      <c r="X26283" s="19"/>
      <c r="Y26283" s="20"/>
    </row>
    <row r="26284" spans="24:25">
      <c r="X26284" s="19"/>
      <c r="Y26284" s="20"/>
    </row>
    <row r="26285" spans="24:25">
      <c r="X26285" s="19"/>
      <c r="Y26285" s="20"/>
    </row>
    <row r="26286" spans="24:25">
      <c r="X26286" s="19"/>
      <c r="Y26286" s="20"/>
    </row>
    <row r="26287" spans="24:25">
      <c r="X26287" s="19"/>
      <c r="Y26287" s="20"/>
    </row>
    <row r="26288" spans="24:25">
      <c r="X26288" s="19"/>
      <c r="Y26288" s="20"/>
    </row>
    <row r="26289" spans="24:25">
      <c r="X26289" s="19"/>
      <c r="Y26289" s="20"/>
    </row>
    <row r="26290" spans="24:25">
      <c r="X26290" s="19"/>
      <c r="Y26290" s="20"/>
    </row>
    <row r="26291" spans="24:25">
      <c r="X26291" s="19"/>
      <c r="Y26291" s="20"/>
    </row>
    <row r="26292" spans="24:25">
      <c r="X26292" s="19"/>
      <c r="Y26292" s="20"/>
    </row>
    <row r="26293" spans="24:25">
      <c r="X26293" s="19"/>
      <c r="Y26293" s="20"/>
    </row>
    <row r="26294" spans="24:25">
      <c r="X26294" s="19"/>
      <c r="Y26294" s="20"/>
    </row>
    <row r="26295" spans="24:25">
      <c r="X26295" s="19"/>
      <c r="Y26295" s="20"/>
    </row>
    <row r="26296" spans="24:25">
      <c r="X26296" s="19"/>
      <c r="Y26296" s="20"/>
    </row>
    <row r="26297" spans="24:25">
      <c r="X26297" s="19"/>
      <c r="Y26297" s="20"/>
    </row>
    <row r="26298" spans="24:25">
      <c r="X26298" s="19"/>
      <c r="Y26298" s="20"/>
    </row>
    <row r="26299" spans="24:25">
      <c r="X26299" s="19"/>
      <c r="Y26299" s="20"/>
    </row>
    <row r="26300" spans="24:25">
      <c r="X26300" s="19"/>
      <c r="Y26300" s="20"/>
    </row>
    <row r="26301" spans="24:25">
      <c r="X26301" s="19"/>
      <c r="Y26301" s="20"/>
    </row>
    <row r="26302" spans="24:25">
      <c r="X26302" s="19"/>
      <c r="Y26302" s="20"/>
    </row>
    <row r="26303" spans="24:25">
      <c r="X26303" s="19"/>
      <c r="Y26303" s="20"/>
    </row>
    <row r="26304" spans="24:25">
      <c r="X26304" s="19"/>
      <c r="Y26304" s="20"/>
    </row>
    <row r="26305" spans="24:25">
      <c r="X26305" s="19"/>
      <c r="Y26305" s="20"/>
    </row>
    <row r="26306" spans="24:25">
      <c r="X26306" s="19"/>
      <c r="Y26306" s="20"/>
    </row>
    <row r="26307" spans="24:25">
      <c r="X26307" s="19"/>
      <c r="Y26307" s="20"/>
    </row>
    <row r="26308" spans="24:25">
      <c r="X26308" s="19"/>
      <c r="Y26308" s="20"/>
    </row>
    <row r="26309" spans="24:25">
      <c r="X26309" s="19"/>
      <c r="Y26309" s="20"/>
    </row>
    <row r="26310" spans="24:25">
      <c r="X26310" s="19"/>
      <c r="Y26310" s="20"/>
    </row>
    <row r="26311" spans="24:25">
      <c r="X26311" s="19"/>
      <c r="Y26311" s="20"/>
    </row>
    <row r="26312" spans="24:25">
      <c r="X26312" s="19"/>
      <c r="Y26312" s="20"/>
    </row>
    <row r="26313" spans="24:25">
      <c r="X26313" s="19"/>
      <c r="Y26313" s="20"/>
    </row>
    <row r="26314" spans="24:25">
      <c r="X26314" s="19"/>
      <c r="Y26314" s="20"/>
    </row>
    <row r="26315" spans="24:25">
      <c r="X26315" s="19"/>
      <c r="Y26315" s="20"/>
    </row>
    <row r="26316" spans="24:25">
      <c r="X26316" s="19"/>
      <c r="Y26316" s="20"/>
    </row>
    <row r="26317" spans="24:25">
      <c r="X26317" s="19"/>
      <c r="Y26317" s="20"/>
    </row>
    <row r="26318" spans="24:25">
      <c r="X26318" s="19"/>
      <c r="Y26318" s="20"/>
    </row>
    <row r="26319" spans="24:25">
      <c r="X26319" s="19"/>
      <c r="Y26319" s="20"/>
    </row>
    <row r="26320" spans="24:25">
      <c r="X26320" s="19"/>
      <c r="Y26320" s="20"/>
    </row>
    <row r="26321" spans="24:25">
      <c r="X26321" s="19"/>
      <c r="Y26321" s="20"/>
    </row>
    <row r="26322" spans="24:25">
      <c r="X26322" s="19"/>
      <c r="Y26322" s="20"/>
    </row>
    <row r="26323" spans="24:25">
      <c r="X26323" s="19"/>
      <c r="Y26323" s="20"/>
    </row>
    <row r="26324" spans="24:25">
      <c r="X26324" s="19"/>
      <c r="Y26324" s="20"/>
    </row>
    <row r="26325" spans="24:25">
      <c r="X26325" s="19"/>
      <c r="Y26325" s="20"/>
    </row>
    <row r="26326" spans="24:25">
      <c r="X26326" s="19"/>
      <c r="Y26326" s="20"/>
    </row>
    <row r="26327" spans="24:25">
      <c r="X26327" s="19"/>
      <c r="Y26327" s="20"/>
    </row>
    <row r="26328" spans="24:25">
      <c r="X26328" s="19"/>
      <c r="Y26328" s="20"/>
    </row>
    <row r="26329" spans="24:25">
      <c r="X26329" s="19"/>
      <c r="Y26329" s="20"/>
    </row>
    <row r="26330" spans="24:25">
      <c r="X26330" s="19"/>
      <c r="Y26330" s="20"/>
    </row>
    <row r="26331" spans="24:25">
      <c r="X26331" s="19"/>
      <c r="Y26331" s="20"/>
    </row>
    <row r="26332" spans="24:25">
      <c r="X26332" s="19"/>
      <c r="Y26332" s="20"/>
    </row>
    <row r="26333" spans="24:25">
      <c r="X26333" s="19"/>
      <c r="Y26333" s="20"/>
    </row>
    <row r="26334" spans="24:25">
      <c r="X26334" s="19"/>
      <c r="Y26334" s="20"/>
    </row>
    <row r="26335" spans="24:25">
      <c r="X26335" s="19"/>
      <c r="Y26335" s="20"/>
    </row>
    <row r="26336" spans="24:25">
      <c r="X26336" s="19"/>
      <c r="Y26336" s="20"/>
    </row>
    <row r="26337" spans="24:25">
      <c r="X26337" s="19"/>
      <c r="Y26337" s="20"/>
    </row>
    <row r="26338" spans="24:25">
      <c r="X26338" s="19"/>
      <c r="Y26338" s="20"/>
    </row>
    <row r="26339" spans="24:25">
      <c r="X26339" s="19"/>
      <c r="Y26339" s="20"/>
    </row>
    <row r="26340" spans="24:25">
      <c r="X26340" s="19"/>
      <c r="Y26340" s="20"/>
    </row>
    <row r="26341" spans="24:25">
      <c r="X26341" s="19"/>
      <c r="Y26341" s="20"/>
    </row>
    <row r="26342" spans="24:25">
      <c r="X26342" s="19"/>
      <c r="Y26342" s="20"/>
    </row>
    <row r="26343" spans="24:25">
      <c r="X26343" s="19"/>
      <c r="Y26343" s="20"/>
    </row>
    <row r="26344" spans="24:25">
      <c r="X26344" s="19"/>
      <c r="Y26344" s="20"/>
    </row>
    <row r="26345" spans="24:25">
      <c r="X26345" s="19"/>
      <c r="Y26345" s="20"/>
    </row>
    <row r="26346" spans="24:25">
      <c r="X26346" s="19"/>
      <c r="Y26346" s="20"/>
    </row>
    <row r="26347" spans="24:25">
      <c r="X26347" s="19"/>
      <c r="Y26347" s="20"/>
    </row>
    <row r="26348" spans="24:25">
      <c r="X26348" s="19"/>
      <c r="Y26348" s="20"/>
    </row>
    <row r="26349" spans="24:25">
      <c r="X26349" s="19"/>
      <c r="Y26349" s="20"/>
    </row>
    <row r="26350" spans="24:25">
      <c r="X26350" s="19"/>
      <c r="Y26350" s="20"/>
    </row>
    <row r="26351" spans="24:25">
      <c r="X26351" s="19"/>
      <c r="Y26351" s="20"/>
    </row>
    <row r="26352" spans="24:25">
      <c r="X26352" s="19"/>
      <c r="Y26352" s="20"/>
    </row>
    <row r="26353" spans="24:25">
      <c r="X26353" s="19"/>
      <c r="Y26353" s="20"/>
    </row>
    <row r="26354" spans="24:25">
      <c r="X26354" s="19"/>
      <c r="Y26354" s="20"/>
    </row>
    <row r="26355" spans="24:25">
      <c r="X26355" s="19"/>
      <c r="Y26355" s="20"/>
    </row>
    <row r="26356" spans="24:25">
      <c r="X26356" s="19"/>
      <c r="Y26356" s="20"/>
    </row>
    <row r="26357" spans="24:25">
      <c r="X26357" s="19"/>
      <c r="Y26357" s="20"/>
    </row>
    <row r="26358" spans="24:25">
      <c r="X26358" s="19"/>
      <c r="Y26358" s="20"/>
    </row>
    <row r="26359" spans="24:25">
      <c r="X26359" s="19"/>
      <c r="Y26359" s="20"/>
    </row>
    <row r="26360" spans="24:25">
      <c r="X26360" s="19"/>
      <c r="Y26360" s="20"/>
    </row>
    <row r="26361" spans="24:25">
      <c r="X26361" s="19"/>
      <c r="Y26361" s="20"/>
    </row>
    <row r="26362" spans="24:25">
      <c r="X26362" s="19"/>
      <c r="Y26362" s="20"/>
    </row>
    <row r="26363" spans="24:25">
      <c r="X26363" s="19"/>
      <c r="Y26363" s="20"/>
    </row>
    <row r="26364" spans="24:25">
      <c r="X26364" s="19"/>
      <c r="Y26364" s="20"/>
    </row>
    <row r="26365" spans="24:25">
      <c r="X26365" s="19"/>
      <c r="Y26365" s="20"/>
    </row>
    <row r="26366" spans="24:25">
      <c r="X26366" s="19"/>
      <c r="Y26366" s="20"/>
    </row>
    <row r="26367" spans="24:25">
      <c r="X26367" s="19"/>
      <c r="Y26367" s="20"/>
    </row>
    <row r="26368" spans="24:25">
      <c r="X26368" s="19"/>
      <c r="Y26368" s="20"/>
    </row>
    <row r="26369" spans="24:25">
      <c r="X26369" s="19"/>
      <c r="Y26369" s="20"/>
    </row>
    <row r="26370" spans="24:25">
      <c r="X26370" s="19"/>
      <c r="Y26370" s="20"/>
    </row>
    <row r="26371" spans="24:25">
      <c r="X26371" s="19"/>
      <c r="Y26371" s="20"/>
    </row>
    <row r="26372" spans="24:25">
      <c r="X26372" s="19"/>
      <c r="Y26372" s="20"/>
    </row>
    <row r="26373" spans="24:25">
      <c r="X26373" s="19"/>
      <c r="Y26373" s="20"/>
    </row>
    <row r="26374" spans="24:25">
      <c r="X26374" s="19"/>
      <c r="Y26374" s="20"/>
    </row>
    <row r="26375" spans="24:25">
      <c r="X26375" s="19"/>
      <c r="Y26375" s="20"/>
    </row>
    <row r="26376" spans="24:25">
      <c r="X26376" s="19"/>
      <c r="Y26376" s="20"/>
    </row>
    <row r="26377" spans="24:25">
      <c r="X26377" s="19"/>
      <c r="Y26377" s="20"/>
    </row>
    <row r="26378" spans="24:25">
      <c r="X26378" s="19"/>
      <c r="Y26378" s="20"/>
    </row>
    <row r="26379" spans="24:25">
      <c r="X26379" s="19"/>
      <c r="Y26379" s="20"/>
    </row>
    <row r="26380" spans="24:25">
      <c r="X26380" s="19"/>
      <c r="Y26380" s="20"/>
    </row>
    <row r="26381" spans="24:25">
      <c r="X26381" s="19"/>
      <c r="Y26381" s="20"/>
    </row>
    <row r="26382" spans="24:25">
      <c r="X26382" s="19"/>
      <c r="Y26382" s="20"/>
    </row>
    <row r="26383" spans="24:25">
      <c r="X26383" s="19"/>
      <c r="Y26383" s="20"/>
    </row>
    <row r="26384" spans="24:25">
      <c r="X26384" s="19"/>
      <c r="Y26384" s="20"/>
    </row>
    <row r="26385" spans="24:25">
      <c r="X26385" s="19"/>
      <c r="Y26385" s="20"/>
    </row>
    <row r="26386" spans="24:25">
      <c r="X26386" s="19"/>
      <c r="Y26386" s="20"/>
    </row>
    <row r="26387" spans="24:25">
      <c r="X26387" s="19"/>
      <c r="Y26387" s="20"/>
    </row>
    <row r="26388" spans="24:25">
      <c r="X26388" s="19"/>
      <c r="Y26388" s="20"/>
    </row>
    <row r="26389" spans="24:25">
      <c r="X26389" s="19"/>
      <c r="Y26389" s="20"/>
    </row>
    <row r="26390" spans="24:25">
      <c r="X26390" s="19"/>
      <c r="Y26390" s="20"/>
    </row>
    <row r="26391" spans="24:25">
      <c r="X26391" s="19"/>
      <c r="Y26391" s="20"/>
    </row>
    <row r="26392" spans="24:25">
      <c r="X26392" s="19"/>
      <c r="Y26392" s="20"/>
    </row>
    <row r="26393" spans="24:25">
      <c r="X26393" s="19"/>
      <c r="Y26393" s="20"/>
    </row>
    <row r="26394" spans="24:25">
      <c r="X26394" s="19"/>
      <c r="Y26394" s="20"/>
    </row>
    <row r="26395" spans="24:25">
      <c r="X26395" s="19"/>
      <c r="Y26395" s="20"/>
    </row>
    <row r="26396" spans="24:25">
      <c r="X26396" s="19"/>
      <c r="Y26396" s="20"/>
    </row>
    <row r="26397" spans="24:25">
      <c r="X26397" s="19"/>
      <c r="Y26397" s="20"/>
    </row>
    <row r="26398" spans="24:25">
      <c r="X26398" s="19"/>
      <c r="Y26398" s="20"/>
    </row>
    <row r="26399" spans="24:25">
      <c r="X26399" s="19"/>
      <c r="Y26399" s="20"/>
    </row>
    <row r="26400" spans="24:25">
      <c r="X26400" s="19"/>
      <c r="Y26400" s="20"/>
    </row>
    <row r="26401" spans="24:25">
      <c r="X26401" s="19"/>
      <c r="Y26401" s="20"/>
    </row>
    <row r="26402" spans="24:25">
      <c r="X26402" s="19"/>
      <c r="Y26402" s="20"/>
    </row>
    <row r="26403" spans="24:25">
      <c r="X26403" s="19"/>
      <c r="Y26403" s="20"/>
    </row>
    <row r="26404" spans="24:25">
      <c r="X26404" s="19"/>
      <c r="Y26404" s="20"/>
    </row>
    <row r="26405" spans="24:25">
      <c r="X26405" s="19"/>
      <c r="Y26405" s="20"/>
    </row>
    <row r="26406" spans="24:25">
      <c r="X26406" s="19"/>
      <c r="Y26406" s="20"/>
    </row>
    <row r="26407" spans="24:25">
      <c r="X26407" s="19"/>
      <c r="Y26407" s="20"/>
    </row>
    <row r="26408" spans="24:25">
      <c r="X26408" s="19"/>
      <c r="Y26408" s="20"/>
    </row>
    <row r="26409" spans="24:25">
      <c r="X26409" s="19"/>
      <c r="Y26409" s="20"/>
    </row>
    <row r="26410" spans="24:25">
      <c r="X26410" s="19"/>
      <c r="Y26410" s="20"/>
    </row>
    <row r="26411" spans="24:25">
      <c r="X26411" s="19"/>
      <c r="Y26411" s="20"/>
    </row>
    <row r="26412" spans="24:25">
      <c r="X26412" s="19"/>
      <c r="Y26412" s="20"/>
    </row>
    <row r="26413" spans="24:25">
      <c r="X26413" s="19"/>
      <c r="Y26413" s="20"/>
    </row>
    <row r="26414" spans="24:25">
      <c r="X26414" s="19"/>
      <c r="Y26414" s="20"/>
    </row>
    <row r="26415" spans="24:25">
      <c r="X26415" s="19"/>
      <c r="Y26415" s="20"/>
    </row>
    <row r="26416" spans="24:25">
      <c r="X26416" s="19"/>
      <c r="Y26416" s="20"/>
    </row>
    <row r="26417" spans="24:25">
      <c r="X26417" s="19"/>
      <c r="Y26417" s="20"/>
    </row>
    <row r="26418" spans="24:25">
      <c r="X26418" s="19"/>
      <c r="Y26418" s="20"/>
    </row>
    <row r="26419" spans="24:25">
      <c r="X26419" s="19"/>
      <c r="Y26419" s="20"/>
    </row>
    <row r="26420" spans="24:25">
      <c r="X26420" s="19"/>
      <c r="Y26420" s="20"/>
    </row>
    <row r="26421" spans="24:25">
      <c r="X26421" s="19"/>
      <c r="Y26421" s="20"/>
    </row>
    <row r="26422" spans="24:25">
      <c r="X26422" s="19"/>
      <c r="Y26422" s="20"/>
    </row>
    <row r="26423" spans="24:25">
      <c r="X26423" s="19"/>
      <c r="Y26423" s="20"/>
    </row>
    <row r="26424" spans="24:25">
      <c r="X26424" s="19"/>
      <c r="Y26424" s="20"/>
    </row>
    <row r="26425" spans="24:25">
      <c r="X26425" s="19"/>
      <c r="Y26425" s="20"/>
    </row>
    <row r="26426" spans="24:25">
      <c r="X26426" s="19"/>
      <c r="Y26426" s="20"/>
    </row>
    <row r="26427" spans="24:25">
      <c r="X26427" s="19"/>
      <c r="Y26427" s="20"/>
    </row>
    <row r="26428" spans="24:25">
      <c r="X26428" s="19"/>
      <c r="Y26428" s="20"/>
    </row>
    <row r="26429" spans="24:25">
      <c r="X26429" s="19"/>
      <c r="Y26429" s="20"/>
    </row>
    <row r="26430" spans="24:25">
      <c r="X26430" s="19"/>
      <c r="Y26430" s="20"/>
    </row>
    <row r="26431" spans="24:25">
      <c r="X26431" s="19"/>
      <c r="Y26431" s="20"/>
    </row>
    <row r="26432" spans="24:25">
      <c r="X26432" s="19"/>
      <c r="Y26432" s="20"/>
    </row>
    <row r="26433" spans="24:25">
      <c r="X26433" s="19"/>
      <c r="Y26433" s="20"/>
    </row>
    <row r="26434" spans="24:25">
      <c r="X26434" s="19"/>
      <c r="Y26434" s="20"/>
    </row>
    <row r="26435" spans="24:25">
      <c r="X26435" s="19"/>
      <c r="Y26435" s="20"/>
    </row>
    <row r="26436" spans="24:25">
      <c r="X26436" s="19"/>
      <c r="Y26436" s="20"/>
    </row>
    <row r="26437" spans="24:25">
      <c r="X26437" s="19"/>
      <c r="Y26437" s="20"/>
    </row>
    <row r="26438" spans="24:25">
      <c r="X26438" s="19"/>
      <c r="Y26438" s="20"/>
    </row>
    <row r="26439" spans="24:25">
      <c r="X26439" s="19"/>
      <c r="Y26439" s="20"/>
    </row>
    <row r="26440" spans="24:25">
      <c r="X26440" s="19"/>
      <c r="Y26440" s="20"/>
    </row>
    <row r="26441" spans="24:25">
      <c r="X26441" s="19"/>
      <c r="Y26441" s="20"/>
    </row>
    <row r="26442" spans="24:25">
      <c r="X26442" s="19"/>
      <c r="Y26442" s="20"/>
    </row>
    <row r="26443" spans="24:25">
      <c r="X26443" s="19"/>
      <c r="Y26443" s="20"/>
    </row>
    <row r="26444" spans="24:25">
      <c r="X26444" s="19"/>
      <c r="Y26444" s="20"/>
    </row>
    <row r="26445" spans="24:25">
      <c r="X26445" s="19"/>
      <c r="Y26445" s="20"/>
    </row>
    <row r="26446" spans="24:25">
      <c r="X26446" s="19"/>
      <c r="Y26446" s="20"/>
    </row>
    <row r="26447" spans="24:25">
      <c r="X26447" s="19"/>
      <c r="Y26447" s="20"/>
    </row>
    <row r="26448" spans="24:25">
      <c r="X26448" s="19"/>
      <c r="Y26448" s="20"/>
    </row>
    <row r="26449" spans="24:25">
      <c r="X26449" s="19"/>
      <c r="Y26449" s="20"/>
    </row>
    <row r="26450" spans="24:25">
      <c r="X26450" s="19"/>
      <c r="Y26450" s="20"/>
    </row>
    <row r="26451" spans="24:25">
      <c r="X26451" s="19"/>
      <c r="Y26451" s="20"/>
    </row>
    <row r="26452" spans="24:25">
      <c r="X26452" s="19"/>
      <c r="Y26452" s="20"/>
    </row>
    <row r="26453" spans="24:25">
      <c r="X26453" s="19"/>
      <c r="Y26453" s="20"/>
    </row>
    <row r="26454" spans="24:25">
      <c r="X26454" s="19"/>
      <c r="Y26454" s="20"/>
    </row>
    <row r="26455" spans="24:25">
      <c r="X26455" s="19"/>
      <c r="Y26455" s="20"/>
    </row>
    <row r="26456" spans="24:25">
      <c r="X26456" s="19"/>
      <c r="Y26456" s="20"/>
    </row>
    <row r="26457" spans="24:25">
      <c r="X26457" s="19"/>
      <c r="Y26457" s="20"/>
    </row>
    <row r="26458" spans="24:25">
      <c r="X26458" s="19"/>
      <c r="Y26458" s="20"/>
    </row>
    <row r="26459" spans="24:25">
      <c r="X26459" s="19"/>
      <c r="Y26459" s="20"/>
    </row>
    <row r="26460" spans="24:25">
      <c r="X26460" s="19"/>
      <c r="Y26460" s="20"/>
    </row>
    <row r="26461" spans="24:25">
      <c r="X26461" s="19"/>
      <c r="Y26461" s="20"/>
    </row>
    <row r="26462" spans="24:25">
      <c r="X26462" s="19"/>
      <c r="Y26462" s="20"/>
    </row>
    <row r="26463" spans="24:25">
      <c r="X26463" s="19"/>
      <c r="Y26463" s="20"/>
    </row>
    <row r="26464" spans="24:25">
      <c r="X26464" s="19"/>
      <c r="Y26464" s="20"/>
    </row>
    <row r="26465" spans="24:25">
      <c r="X26465" s="19"/>
      <c r="Y26465" s="20"/>
    </row>
    <row r="26466" spans="24:25">
      <c r="X26466" s="19"/>
      <c r="Y26466" s="20"/>
    </row>
    <row r="26467" spans="24:25">
      <c r="X26467" s="19"/>
      <c r="Y26467" s="20"/>
    </row>
    <row r="26468" spans="24:25">
      <c r="X26468" s="19"/>
      <c r="Y26468" s="20"/>
    </row>
    <row r="26469" spans="24:25">
      <c r="X26469" s="19"/>
      <c r="Y26469" s="20"/>
    </row>
    <row r="26470" spans="24:25">
      <c r="X26470" s="19"/>
      <c r="Y26470" s="20"/>
    </row>
    <row r="26471" spans="24:25">
      <c r="X26471" s="19"/>
      <c r="Y26471" s="20"/>
    </row>
    <row r="26472" spans="24:25">
      <c r="X26472" s="19"/>
      <c r="Y26472" s="20"/>
    </row>
    <row r="26473" spans="24:25">
      <c r="X26473" s="19"/>
      <c r="Y26473" s="20"/>
    </row>
    <row r="26474" spans="24:25">
      <c r="X26474" s="19"/>
      <c r="Y26474" s="20"/>
    </row>
    <row r="26475" spans="24:25">
      <c r="X26475" s="19"/>
      <c r="Y26475" s="20"/>
    </row>
    <row r="26476" spans="24:25">
      <c r="X26476" s="19"/>
      <c r="Y26476" s="20"/>
    </row>
    <row r="26477" spans="24:25">
      <c r="X26477" s="19"/>
      <c r="Y26477" s="20"/>
    </row>
    <row r="26478" spans="24:25">
      <c r="X26478" s="19"/>
      <c r="Y26478" s="20"/>
    </row>
    <row r="26479" spans="24:25">
      <c r="X26479" s="19"/>
      <c r="Y26479" s="20"/>
    </row>
    <row r="26480" spans="24:25">
      <c r="X26480" s="19"/>
      <c r="Y26480" s="20"/>
    </row>
    <row r="26481" spans="24:25">
      <c r="X26481" s="19"/>
      <c r="Y26481" s="20"/>
    </row>
    <row r="26482" spans="24:25">
      <c r="X26482" s="19"/>
      <c r="Y26482" s="20"/>
    </row>
    <row r="26483" spans="24:25">
      <c r="X26483" s="19"/>
      <c r="Y26483" s="20"/>
    </row>
    <row r="26484" spans="24:25">
      <c r="X26484" s="19"/>
      <c r="Y26484" s="20"/>
    </row>
    <row r="26485" spans="24:25">
      <c r="X26485" s="19"/>
      <c r="Y26485" s="20"/>
    </row>
    <row r="26486" spans="24:25">
      <c r="X26486" s="19"/>
      <c r="Y26486" s="20"/>
    </row>
    <row r="26487" spans="24:25">
      <c r="X26487" s="19"/>
      <c r="Y26487" s="20"/>
    </row>
    <row r="26488" spans="24:25">
      <c r="X26488" s="19"/>
      <c r="Y26488" s="20"/>
    </row>
    <row r="26489" spans="24:25">
      <c r="X26489" s="19"/>
      <c r="Y26489" s="20"/>
    </row>
    <row r="26490" spans="24:25">
      <c r="X26490" s="19"/>
      <c r="Y26490" s="20"/>
    </row>
    <row r="26491" spans="24:25">
      <c r="X26491" s="19"/>
      <c r="Y26491" s="20"/>
    </row>
    <row r="26492" spans="24:25">
      <c r="X26492" s="19"/>
      <c r="Y26492" s="20"/>
    </row>
    <row r="26493" spans="24:25">
      <c r="X26493" s="19"/>
      <c r="Y26493" s="20"/>
    </row>
    <row r="26494" spans="24:25">
      <c r="X26494" s="19"/>
      <c r="Y26494" s="20"/>
    </row>
    <row r="26495" spans="24:25">
      <c r="X26495" s="19"/>
      <c r="Y26495" s="20"/>
    </row>
    <row r="26496" spans="24:25">
      <c r="X26496" s="19"/>
      <c r="Y26496" s="20"/>
    </row>
    <row r="26497" spans="24:25">
      <c r="X26497" s="19"/>
      <c r="Y26497" s="20"/>
    </row>
    <row r="26498" spans="24:25">
      <c r="X26498" s="19"/>
      <c r="Y26498" s="20"/>
    </row>
    <row r="26499" spans="24:25">
      <c r="X26499" s="19"/>
      <c r="Y26499" s="20"/>
    </row>
    <row r="26500" spans="24:25">
      <c r="X26500" s="19"/>
      <c r="Y26500" s="20"/>
    </row>
    <row r="26501" spans="24:25">
      <c r="X26501" s="19"/>
      <c r="Y26501" s="20"/>
    </row>
    <row r="26502" spans="24:25">
      <c r="X26502" s="19"/>
      <c r="Y26502" s="20"/>
    </row>
    <row r="26503" spans="24:25">
      <c r="X26503" s="19"/>
      <c r="Y26503" s="20"/>
    </row>
    <row r="26504" spans="24:25">
      <c r="X26504" s="19"/>
      <c r="Y26504" s="20"/>
    </row>
    <row r="26505" spans="24:25">
      <c r="X26505" s="19"/>
      <c r="Y26505" s="20"/>
    </row>
    <row r="26506" spans="24:25">
      <c r="X26506" s="19"/>
      <c r="Y26506" s="20"/>
    </row>
    <row r="26507" spans="24:25">
      <c r="X26507" s="19"/>
      <c r="Y26507" s="20"/>
    </row>
    <row r="26508" spans="24:25">
      <c r="X26508" s="19"/>
      <c r="Y26508" s="20"/>
    </row>
    <row r="26509" spans="24:25">
      <c r="X26509" s="19"/>
      <c r="Y26509" s="20"/>
    </row>
    <row r="26510" spans="24:25">
      <c r="X26510" s="19"/>
      <c r="Y26510" s="20"/>
    </row>
    <row r="26511" spans="24:25">
      <c r="X26511" s="19"/>
      <c r="Y26511" s="20"/>
    </row>
    <row r="26512" spans="24:25">
      <c r="X26512" s="19"/>
      <c r="Y26512" s="20"/>
    </row>
    <row r="26513" spans="24:25">
      <c r="X26513" s="19"/>
      <c r="Y26513" s="20"/>
    </row>
    <row r="26514" spans="24:25">
      <c r="X26514" s="19"/>
      <c r="Y26514" s="20"/>
    </row>
    <row r="26515" spans="24:25">
      <c r="X26515" s="19"/>
      <c r="Y26515" s="20"/>
    </row>
    <row r="26516" spans="24:25">
      <c r="X26516" s="19"/>
      <c r="Y26516" s="20"/>
    </row>
    <row r="26517" spans="24:25">
      <c r="X26517" s="19"/>
      <c r="Y26517" s="20"/>
    </row>
    <row r="26518" spans="24:25">
      <c r="X26518" s="19"/>
      <c r="Y26518" s="20"/>
    </row>
    <row r="26519" spans="24:25">
      <c r="X26519" s="19"/>
      <c r="Y26519" s="20"/>
    </row>
    <row r="26520" spans="24:25">
      <c r="X26520" s="19"/>
      <c r="Y26520" s="20"/>
    </row>
    <row r="26521" spans="24:25">
      <c r="X26521" s="19"/>
      <c r="Y26521" s="20"/>
    </row>
    <row r="26522" spans="24:25">
      <c r="X26522" s="19"/>
      <c r="Y26522" s="20"/>
    </row>
    <row r="26523" spans="24:25">
      <c r="X26523" s="19"/>
      <c r="Y26523" s="20"/>
    </row>
    <row r="26524" spans="24:25">
      <c r="X26524" s="19"/>
      <c r="Y26524" s="20"/>
    </row>
    <row r="26525" spans="24:25">
      <c r="X26525" s="19"/>
      <c r="Y26525" s="20"/>
    </row>
    <row r="26526" spans="24:25">
      <c r="X26526" s="19"/>
      <c r="Y26526" s="20"/>
    </row>
    <row r="26527" spans="24:25">
      <c r="X26527" s="19"/>
      <c r="Y26527" s="20"/>
    </row>
    <row r="26528" spans="24:25">
      <c r="X26528" s="19"/>
      <c r="Y26528" s="20"/>
    </row>
    <row r="26529" spans="24:25">
      <c r="X26529" s="19"/>
      <c r="Y26529" s="20"/>
    </row>
    <row r="26530" spans="24:25">
      <c r="X26530" s="19"/>
      <c r="Y26530" s="20"/>
    </row>
    <row r="26531" spans="24:25">
      <c r="X26531" s="19"/>
      <c r="Y26531" s="20"/>
    </row>
    <row r="26532" spans="24:25">
      <c r="X26532" s="19"/>
      <c r="Y26532" s="20"/>
    </row>
    <row r="26533" spans="24:25">
      <c r="X26533" s="19"/>
      <c r="Y26533" s="20"/>
    </row>
    <row r="26534" spans="24:25">
      <c r="X26534" s="19"/>
      <c r="Y26534" s="20"/>
    </row>
    <row r="26535" spans="24:25">
      <c r="X26535" s="19"/>
      <c r="Y26535" s="20"/>
    </row>
    <row r="26536" spans="24:25">
      <c r="X26536" s="19"/>
      <c r="Y26536" s="20"/>
    </row>
    <row r="26537" spans="24:25">
      <c r="X26537" s="19"/>
      <c r="Y26537" s="20"/>
    </row>
    <row r="26538" spans="24:25">
      <c r="X26538" s="19"/>
      <c r="Y26538" s="20"/>
    </row>
    <row r="26539" spans="24:25">
      <c r="X26539" s="19"/>
      <c r="Y26539" s="20"/>
    </row>
    <row r="26540" spans="24:25">
      <c r="X26540" s="19"/>
      <c r="Y26540" s="20"/>
    </row>
    <row r="26541" spans="24:25">
      <c r="X26541" s="19"/>
      <c r="Y26541" s="20"/>
    </row>
    <row r="26542" spans="24:25">
      <c r="X26542" s="19"/>
      <c r="Y26542" s="20"/>
    </row>
    <row r="26543" spans="24:25">
      <c r="X26543" s="19"/>
      <c r="Y26543" s="20"/>
    </row>
    <row r="26544" spans="24:25">
      <c r="X26544" s="19"/>
      <c r="Y26544" s="20"/>
    </row>
    <row r="26545" spans="24:25">
      <c r="X26545" s="19"/>
      <c r="Y26545" s="20"/>
    </row>
    <row r="26546" spans="24:25">
      <c r="X26546" s="19"/>
      <c r="Y26546" s="20"/>
    </row>
    <row r="26547" spans="24:25">
      <c r="X26547" s="19"/>
      <c r="Y26547" s="20"/>
    </row>
    <row r="26548" spans="24:25">
      <c r="X26548" s="19"/>
      <c r="Y26548" s="20"/>
    </row>
    <row r="26549" spans="24:25">
      <c r="X26549" s="19"/>
      <c r="Y26549" s="20"/>
    </row>
    <row r="26550" spans="24:25">
      <c r="X26550" s="19"/>
      <c r="Y26550" s="20"/>
    </row>
    <row r="26551" spans="24:25">
      <c r="X26551" s="19"/>
      <c r="Y26551" s="20"/>
    </row>
    <row r="26552" spans="24:25">
      <c r="X26552" s="19"/>
      <c r="Y26552" s="20"/>
    </row>
    <row r="26553" spans="24:25">
      <c r="X26553" s="19"/>
      <c r="Y26553" s="20"/>
    </row>
    <row r="26554" spans="24:25">
      <c r="X26554" s="19"/>
      <c r="Y26554" s="20"/>
    </row>
    <row r="26555" spans="24:25">
      <c r="X26555" s="19"/>
      <c r="Y26555" s="20"/>
    </row>
    <row r="26556" spans="24:25">
      <c r="X26556" s="19"/>
      <c r="Y26556" s="20"/>
    </row>
    <row r="26557" spans="24:25">
      <c r="X26557" s="19"/>
      <c r="Y26557" s="20"/>
    </row>
    <row r="26558" spans="24:25">
      <c r="X26558" s="19"/>
      <c r="Y26558" s="20"/>
    </row>
    <row r="26559" spans="24:25">
      <c r="X26559" s="19"/>
      <c r="Y26559" s="20"/>
    </row>
    <row r="26560" spans="24:25">
      <c r="X26560" s="19"/>
      <c r="Y26560" s="20"/>
    </row>
    <row r="26561" spans="24:25">
      <c r="X26561" s="19"/>
      <c r="Y26561" s="20"/>
    </row>
    <row r="26562" spans="24:25">
      <c r="X26562" s="19"/>
      <c r="Y26562" s="20"/>
    </row>
    <row r="26563" spans="24:25">
      <c r="X26563" s="19"/>
      <c r="Y26563" s="20"/>
    </row>
    <row r="26564" spans="24:25">
      <c r="X26564" s="19"/>
      <c r="Y26564" s="20"/>
    </row>
    <row r="26565" spans="24:25">
      <c r="X26565" s="19"/>
      <c r="Y26565" s="20"/>
    </row>
    <row r="26566" spans="24:25">
      <c r="X26566" s="19"/>
      <c r="Y26566" s="20"/>
    </row>
    <row r="26567" spans="24:25">
      <c r="X26567" s="19"/>
      <c r="Y26567" s="20"/>
    </row>
    <row r="26568" spans="24:25">
      <c r="X26568" s="19"/>
      <c r="Y26568" s="20"/>
    </row>
    <row r="26569" spans="24:25">
      <c r="X26569" s="19"/>
      <c r="Y26569" s="20"/>
    </row>
    <row r="26570" spans="24:25">
      <c r="X26570" s="19"/>
      <c r="Y26570" s="20"/>
    </row>
    <row r="26571" spans="24:25">
      <c r="X26571" s="19"/>
      <c r="Y26571" s="20"/>
    </row>
    <row r="26572" spans="24:25">
      <c r="X26572" s="19"/>
      <c r="Y26572" s="20"/>
    </row>
    <row r="26573" spans="24:25">
      <c r="X26573" s="19"/>
      <c r="Y26573" s="20"/>
    </row>
    <row r="26574" spans="24:25">
      <c r="X26574" s="19"/>
      <c r="Y26574" s="20"/>
    </row>
    <row r="26575" spans="24:25">
      <c r="X26575" s="19"/>
      <c r="Y26575" s="20"/>
    </row>
    <row r="26576" spans="24:25">
      <c r="X26576" s="19"/>
      <c r="Y26576" s="20"/>
    </row>
    <row r="26577" spans="24:25">
      <c r="X26577" s="19"/>
      <c r="Y26577" s="20"/>
    </row>
    <row r="26578" spans="24:25">
      <c r="X26578" s="19"/>
      <c r="Y26578" s="20"/>
    </row>
    <row r="26579" spans="24:25">
      <c r="X26579" s="19"/>
      <c r="Y26579" s="20"/>
    </row>
    <row r="26580" spans="24:25">
      <c r="X26580" s="19"/>
      <c r="Y26580" s="20"/>
    </row>
    <row r="26581" spans="24:25">
      <c r="X26581" s="19"/>
      <c r="Y26581" s="20"/>
    </row>
    <row r="26582" spans="24:25">
      <c r="X26582" s="19"/>
      <c r="Y26582" s="20"/>
    </row>
    <row r="26583" spans="24:25">
      <c r="X26583" s="19"/>
      <c r="Y26583" s="20"/>
    </row>
    <row r="26584" spans="24:25">
      <c r="X26584" s="19"/>
      <c r="Y26584" s="20"/>
    </row>
    <row r="26585" spans="24:25">
      <c r="X26585" s="19"/>
      <c r="Y26585" s="20"/>
    </row>
    <row r="26586" spans="24:25">
      <c r="X26586" s="19"/>
      <c r="Y26586" s="20"/>
    </row>
    <row r="26587" spans="24:25">
      <c r="X26587" s="19"/>
      <c r="Y26587" s="20"/>
    </row>
    <row r="26588" spans="24:25">
      <c r="X26588" s="19"/>
      <c r="Y26588" s="20"/>
    </row>
    <row r="26589" spans="24:25">
      <c r="X26589" s="19"/>
      <c r="Y26589" s="20"/>
    </row>
    <row r="26590" spans="24:25">
      <c r="X26590" s="19"/>
      <c r="Y26590" s="20"/>
    </row>
    <row r="26591" spans="24:25">
      <c r="X26591" s="19"/>
      <c r="Y26591" s="20"/>
    </row>
    <row r="26592" spans="24:25">
      <c r="X26592" s="19"/>
      <c r="Y26592" s="20"/>
    </row>
    <row r="26593" spans="24:25">
      <c r="X26593" s="19"/>
      <c r="Y26593" s="20"/>
    </row>
    <row r="26594" spans="24:25">
      <c r="X26594" s="19"/>
      <c r="Y26594" s="20"/>
    </row>
    <row r="26595" spans="24:25">
      <c r="X26595" s="19"/>
      <c r="Y26595" s="20"/>
    </row>
    <row r="26596" spans="24:25">
      <c r="X26596" s="19"/>
      <c r="Y26596" s="20"/>
    </row>
    <row r="26597" spans="24:25">
      <c r="X26597" s="19"/>
      <c r="Y26597" s="20"/>
    </row>
    <row r="26598" spans="24:25">
      <c r="X26598" s="19"/>
      <c r="Y26598" s="20"/>
    </row>
    <row r="26599" spans="24:25">
      <c r="X26599" s="19"/>
      <c r="Y26599" s="20"/>
    </row>
    <row r="26600" spans="24:25">
      <c r="X26600" s="19"/>
      <c r="Y26600" s="20"/>
    </row>
    <row r="26601" spans="24:25">
      <c r="X26601" s="19"/>
      <c r="Y26601" s="20"/>
    </row>
    <row r="26602" spans="24:25">
      <c r="X26602" s="19"/>
      <c r="Y26602" s="20"/>
    </row>
    <row r="26603" spans="24:25">
      <c r="X26603" s="19"/>
      <c r="Y26603" s="20"/>
    </row>
    <row r="26604" spans="24:25">
      <c r="X26604" s="19"/>
      <c r="Y26604" s="20"/>
    </row>
    <row r="26605" spans="24:25">
      <c r="X26605" s="19"/>
      <c r="Y26605" s="20"/>
    </row>
    <row r="26606" spans="24:25">
      <c r="X26606" s="19"/>
      <c r="Y26606" s="20"/>
    </row>
    <row r="26607" spans="24:25">
      <c r="X26607" s="19"/>
      <c r="Y26607" s="20"/>
    </row>
    <row r="26608" spans="24:25">
      <c r="X26608" s="19"/>
      <c r="Y26608" s="20"/>
    </row>
    <row r="26609" spans="24:25">
      <c r="X26609" s="19"/>
      <c r="Y26609" s="20"/>
    </row>
    <row r="26610" spans="24:25">
      <c r="X26610" s="19"/>
      <c r="Y26610" s="20"/>
    </row>
    <row r="26611" spans="24:25">
      <c r="X26611" s="19"/>
      <c r="Y26611" s="20"/>
    </row>
    <row r="26612" spans="24:25">
      <c r="X26612" s="19"/>
      <c r="Y26612" s="20"/>
    </row>
    <row r="26613" spans="24:25">
      <c r="X26613" s="19"/>
      <c r="Y26613" s="20"/>
    </row>
    <row r="26614" spans="24:25">
      <c r="X26614" s="19"/>
      <c r="Y26614" s="20"/>
    </row>
    <row r="26615" spans="24:25">
      <c r="X26615" s="19"/>
      <c r="Y26615" s="20"/>
    </row>
    <row r="26616" spans="24:25">
      <c r="X26616" s="19"/>
      <c r="Y26616" s="20"/>
    </row>
    <row r="26617" spans="24:25">
      <c r="X26617" s="19"/>
      <c r="Y26617" s="20"/>
    </row>
    <row r="26618" spans="24:25">
      <c r="X26618" s="19"/>
      <c r="Y26618" s="20"/>
    </row>
    <row r="26619" spans="24:25">
      <c r="X26619" s="19"/>
      <c r="Y26619" s="20"/>
    </row>
    <row r="26620" spans="24:25">
      <c r="X26620" s="19"/>
      <c r="Y26620" s="20"/>
    </row>
    <row r="26621" spans="24:25">
      <c r="X26621" s="19"/>
      <c r="Y26621" s="20"/>
    </row>
    <row r="26622" spans="24:25">
      <c r="X26622" s="19"/>
      <c r="Y26622" s="20"/>
    </row>
    <row r="26623" spans="24:25">
      <c r="X26623" s="19"/>
      <c r="Y26623" s="20"/>
    </row>
    <row r="26624" spans="24:25">
      <c r="X26624" s="19"/>
      <c r="Y26624" s="20"/>
    </row>
    <row r="26625" spans="24:25">
      <c r="X26625" s="19"/>
      <c r="Y26625" s="20"/>
    </row>
    <row r="26626" spans="24:25">
      <c r="X26626" s="19"/>
      <c r="Y26626" s="20"/>
    </row>
    <row r="26627" spans="24:25">
      <c r="X26627" s="19"/>
      <c r="Y26627" s="20"/>
    </row>
    <row r="26628" spans="24:25">
      <c r="X26628" s="19"/>
      <c r="Y26628" s="20"/>
    </row>
    <row r="26629" spans="24:25">
      <c r="X26629" s="19"/>
      <c r="Y26629" s="20"/>
    </row>
    <row r="26630" spans="24:25">
      <c r="X26630" s="19"/>
      <c r="Y26630" s="20"/>
    </row>
    <row r="26631" spans="24:25">
      <c r="X26631" s="19"/>
      <c r="Y26631" s="20"/>
    </row>
    <row r="26632" spans="24:25">
      <c r="X26632" s="19"/>
      <c r="Y26632" s="20"/>
    </row>
    <row r="26633" spans="24:25">
      <c r="X26633" s="19"/>
      <c r="Y26633" s="20"/>
    </row>
    <row r="26634" spans="24:25">
      <c r="X26634" s="19"/>
      <c r="Y26634" s="20"/>
    </row>
    <row r="26635" spans="24:25">
      <c r="X26635" s="19"/>
      <c r="Y26635" s="20"/>
    </row>
    <row r="26636" spans="24:25">
      <c r="X26636" s="19"/>
      <c r="Y26636" s="20"/>
    </row>
    <row r="26637" spans="24:25">
      <c r="X26637" s="19"/>
      <c r="Y26637" s="20"/>
    </row>
    <row r="26638" spans="24:25">
      <c r="X26638" s="19"/>
      <c r="Y26638" s="20"/>
    </row>
    <row r="26639" spans="24:25">
      <c r="X26639" s="19"/>
      <c r="Y26639" s="20"/>
    </row>
    <row r="26640" spans="24:25">
      <c r="X26640" s="19"/>
      <c r="Y26640" s="20"/>
    </row>
    <row r="26641" spans="24:25">
      <c r="X26641" s="19"/>
      <c r="Y26641" s="20"/>
    </row>
    <row r="26642" spans="24:25">
      <c r="X26642" s="19"/>
      <c r="Y26642" s="20"/>
    </row>
    <row r="26643" spans="24:25">
      <c r="X26643" s="19"/>
      <c r="Y26643" s="20"/>
    </row>
    <row r="26644" spans="24:25">
      <c r="X26644" s="19"/>
      <c r="Y26644" s="20"/>
    </row>
    <row r="26645" spans="24:25">
      <c r="X26645" s="19"/>
      <c r="Y26645" s="20"/>
    </row>
    <row r="26646" spans="24:25">
      <c r="X26646" s="19"/>
      <c r="Y26646" s="20"/>
    </row>
    <row r="26647" spans="24:25">
      <c r="X26647" s="19"/>
      <c r="Y26647" s="20"/>
    </row>
    <row r="26648" spans="24:25">
      <c r="X26648" s="19"/>
      <c r="Y26648" s="20"/>
    </row>
    <row r="26649" spans="24:25">
      <c r="X26649" s="19"/>
      <c r="Y26649" s="20"/>
    </row>
    <row r="26650" spans="24:25">
      <c r="X26650" s="19"/>
      <c r="Y26650" s="20"/>
    </row>
    <row r="26651" spans="24:25">
      <c r="X26651" s="19"/>
      <c r="Y26651" s="20"/>
    </row>
    <row r="26652" spans="24:25">
      <c r="X26652" s="19"/>
      <c r="Y26652" s="20"/>
    </row>
    <row r="26653" spans="24:25">
      <c r="X26653" s="19"/>
      <c r="Y26653" s="20"/>
    </row>
    <row r="26654" spans="24:25">
      <c r="X26654" s="19"/>
      <c r="Y26654" s="20"/>
    </row>
    <row r="26655" spans="24:25">
      <c r="X26655" s="19"/>
      <c r="Y26655" s="20"/>
    </row>
    <row r="26656" spans="24:25">
      <c r="X26656" s="19"/>
      <c r="Y26656" s="20"/>
    </row>
    <row r="26657" spans="24:25">
      <c r="X26657" s="19"/>
      <c r="Y26657" s="20"/>
    </row>
    <row r="26658" spans="24:25">
      <c r="X26658" s="19"/>
      <c r="Y26658" s="20"/>
    </row>
    <row r="26659" spans="24:25">
      <c r="X26659" s="19"/>
      <c r="Y26659" s="20"/>
    </row>
    <row r="26660" spans="24:25">
      <c r="X26660" s="19"/>
      <c r="Y26660" s="20"/>
    </row>
    <row r="26661" spans="24:25">
      <c r="X26661" s="19"/>
      <c r="Y26661" s="20"/>
    </row>
    <row r="26662" spans="24:25">
      <c r="X26662" s="19"/>
      <c r="Y26662" s="20"/>
    </row>
    <row r="26663" spans="24:25">
      <c r="X26663" s="19"/>
      <c r="Y26663" s="20"/>
    </row>
    <row r="26664" spans="24:25">
      <c r="X26664" s="19"/>
      <c r="Y26664" s="20"/>
    </row>
    <row r="26665" spans="24:25">
      <c r="X26665" s="19"/>
      <c r="Y26665" s="20"/>
    </row>
    <row r="26666" spans="24:25">
      <c r="X26666" s="19"/>
      <c r="Y26666" s="20"/>
    </row>
    <row r="26667" spans="24:25">
      <c r="X26667" s="19"/>
      <c r="Y26667" s="20"/>
    </row>
    <row r="26668" spans="24:25">
      <c r="X26668" s="19"/>
      <c r="Y26668" s="20"/>
    </row>
    <row r="26669" spans="24:25">
      <c r="X26669" s="19"/>
      <c r="Y26669" s="20"/>
    </row>
    <row r="26670" spans="24:25">
      <c r="X26670" s="19"/>
      <c r="Y26670" s="20"/>
    </row>
    <row r="26671" spans="24:25">
      <c r="X26671" s="19"/>
      <c r="Y26671" s="20"/>
    </row>
    <row r="26672" spans="24:25">
      <c r="X26672" s="19"/>
      <c r="Y26672" s="20"/>
    </row>
    <row r="26673" spans="24:25">
      <c r="X26673" s="19"/>
      <c r="Y26673" s="20"/>
    </row>
    <row r="26674" spans="24:25">
      <c r="X26674" s="19"/>
      <c r="Y26674" s="20"/>
    </row>
    <row r="26675" spans="24:25">
      <c r="X26675" s="19"/>
      <c r="Y26675" s="20"/>
    </row>
    <row r="26676" spans="24:25">
      <c r="X26676" s="19"/>
      <c r="Y26676" s="20"/>
    </row>
    <row r="26677" spans="24:25">
      <c r="X26677" s="19"/>
      <c r="Y26677" s="20"/>
    </row>
    <row r="26678" spans="24:25">
      <c r="X26678" s="19"/>
      <c r="Y26678" s="20"/>
    </row>
    <row r="26679" spans="24:25">
      <c r="X26679" s="19"/>
      <c r="Y26679" s="20"/>
    </row>
    <row r="26680" spans="24:25">
      <c r="X26680" s="19"/>
      <c r="Y26680" s="20"/>
    </row>
    <row r="26681" spans="24:25">
      <c r="X26681" s="19"/>
      <c r="Y26681" s="20"/>
    </row>
    <row r="26682" spans="24:25">
      <c r="X26682" s="19"/>
      <c r="Y26682" s="20"/>
    </row>
    <row r="26683" spans="24:25">
      <c r="X26683" s="19"/>
      <c r="Y26683" s="20"/>
    </row>
    <row r="26684" spans="24:25">
      <c r="X26684" s="19"/>
      <c r="Y26684" s="20"/>
    </row>
    <row r="26685" spans="24:25">
      <c r="X26685" s="19"/>
      <c r="Y26685" s="20"/>
    </row>
    <row r="26686" spans="24:25">
      <c r="X26686" s="19"/>
      <c r="Y26686" s="20"/>
    </row>
    <row r="26687" spans="24:25">
      <c r="X26687" s="19"/>
      <c r="Y26687" s="20"/>
    </row>
    <row r="26688" spans="24:25">
      <c r="X26688" s="19"/>
      <c r="Y26688" s="20"/>
    </row>
    <row r="26689" spans="24:25">
      <c r="X26689" s="19"/>
      <c r="Y26689" s="20"/>
    </row>
    <row r="26690" spans="24:25">
      <c r="X26690" s="19"/>
      <c r="Y26690" s="20"/>
    </row>
    <row r="26691" spans="24:25">
      <c r="X26691" s="19"/>
      <c r="Y26691" s="20"/>
    </row>
    <row r="26692" spans="24:25">
      <c r="X26692" s="19"/>
      <c r="Y26692" s="20"/>
    </row>
    <row r="26693" spans="24:25">
      <c r="X26693" s="19"/>
      <c r="Y26693" s="20"/>
    </row>
    <row r="26694" spans="24:25">
      <c r="X26694" s="19"/>
      <c r="Y26694" s="20"/>
    </row>
    <row r="26695" spans="24:25">
      <c r="X26695" s="19"/>
      <c r="Y26695" s="20"/>
    </row>
    <row r="26696" spans="24:25">
      <c r="X26696" s="19"/>
      <c r="Y26696" s="20"/>
    </row>
    <row r="26697" spans="24:25">
      <c r="X26697" s="19"/>
      <c r="Y26697" s="20"/>
    </row>
    <row r="26698" spans="24:25">
      <c r="X26698" s="19"/>
      <c r="Y26698" s="20"/>
    </row>
    <row r="26699" spans="24:25">
      <c r="X26699" s="19"/>
      <c r="Y26699" s="20"/>
    </row>
    <row r="26700" spans="24:25">
      <c r="X26700" s="19"/>
      <c r="Y26700" s="20"/>
    </row>
    <row r="26701" spans="24:25">
      <c r="X26701" s="19"/>
      <c r="Y26701" s="20"/>
    </row>
    <row r="26702" spans="24:25">
      <c r="X26702" s="19"/>
      <c r="Y26702" s="20"/>
    </row>
    <row r="26703" spans="24:25">
      <c r="X26703" s="19"/>
      <c r="Y26703" s="20"/>
    </row>
    <row r="26704" spans="24:25">
      <c r="X26704" s="19"/>
      <c r="Y26704" s="20"/>
    </row>
    <row r="26705" spans="24:25">
      <c r="X26705" s="19"/>
      <c r="Y26705" s="20"/>
    </row>
    <row r="26706" spans="24:25">
      <c r="X26706" s="19"/>
      <c r="Y26706" s="20"/>
    </row>
    <row r="26707" spans="24:25">
      <c r="X26707" s="19"/>
      <c r="Y26707" s="20"/>
    </row>
    <row r="26708" spans="24:25">
      <c r="X26708" s="19"/>
      <c r="Y26708" s="20"/>
    </row>
    <row r="26709" spans="24:25">
      <c r="X26709" s="19"/>
      <c r="Y26709" s="20"/>
    </row>
    <row r="26710" spans="24:25">
      <c r="X26710" s="19"/>
      <c r="Y26710" s="20"/>
    </row>
    <row r="26711" spans="24:25">
      <c r="X26711" s="19"/>
      <c r="Y26711" s="20"/>
    </row>
    <row r="26712" spans="24:25">
      <c r="X26712" s="19"/>
      <c r="Y26712" s="20"/>
    </row>
    <row r="26713" spans="24:25">
      <c r="X26713" s="19"/>
      <c r="Y26713" s="20"/>
    </row>
    <row r="26714" spans="24:25">
      <c r="X26714" s="19"/>
      <c r="Y26714" s="20"/>
    </row>
    <row r="26715" spans="24:25">
      <c r="X26715" s="19"/>
      <c r="Y26715" s="20"/>
    </row>
    <row r="26716" spans="24:25">
      <c r="X26716" s="19"/>
      <c r="Y26716" s="20"/>
    </row>
    <row r="26717" spans="24:25">
      <c r="X26717" s="19"/>
      <c r="Y26717" s="20"/>
    </row>
    <row r="26718" spans="24:25">
      <c r="X26718" s="19"/>
      <c r="Y26718" s="20"/>
    </row>
    <row r="26719" spans="24:25">
      <c r="X26719" s="19"/>
      <c r="Y26719" s="20"/>
    </row>
    <row r="26720" spans="24:25">
      <c r="X26720" s="19"/>
      <c r="Y26720" s="20"/>
    </row>
    <row r="26721" spans="24:25">
      <c r="X26721" s="19"/>
      <c r="Y26721" s="20"/>
    </row>
    <row r="26722" spans="24:25">
      <c r="X26722" s="19"/>
      <c r="Y26722" s="20"/>
    </row>
    <row r="26723" spans="24:25">
      <c r="X26723" s="19"/>
      <c r="Y26723" s="20"/>
    </row>
    <row r="26724" spans="24:25">
      <c r="X26724" s="19"/>
      <c r="Y26724" s="20"/>
    </row>
    <row r="26725" spans="24:25">
      <c r="X26725" s="19"/>
      <c r="Y26725" s="20"/>
    </row>
    <row r="26726" spans="24:25">
      <c r="X26726" s="19"/>
      <c r="Y26726" s="20"/>
    </row>
    <row r="26727" spans="24:25">
      <c r="X26727" s="19"/>
      <c r="Y26727" s="20"/>
    </row>
    <row r="26728" spans="24:25">
      <c r="X26728" s="19"/>
      <c r="Y26728" s="20"/>
    </row>
    <row r="26729" spans="24:25">
      <c r="X26729" s="19"/>
      <c r="Y26729" s="20"/>
    </row>
    <row r="26730" spans="24:25">
      <c r="X26730" s="19"/>
      <c r="Y26730" s="20"/>
    </row>
    <row r="26731" spans="24:25">
      <c r="X26731" s="19"/>
      <c r="Y26731" s="20"/>
    </row>
    <row r="26732" spans="24:25">
      <c r="X26732" s="19"/>
      <c r="Y26732" s="20"/>
    </row>
    <row r="26733" spans="24:25">
      <c r="X26733" s="19"/>
      <c r="Y26733" s="20"/>
    </row>
    <row r="26734" spans="24:25">
      <c r="X26734" s="19"/>
      <c r="Y26734" s="20"/>
    </row>
    <row r="26735" spans="24:25">
      <c r="X26735" s="19"/>
      <c r="Y26735" s="20"/>
    </row>
    <row r="26736" spans="24:25">
      <c r="X26736" s="19"/>
      <c r="Y26736" s="20"/>
    </row>
    <row r="26737" spans="24:25">
      <c r="X26737" s="19"/>
      <c r="Y26737" s="20"/>
    </row>
    <row r="26738" spans="24:25">
      <c r="X26738" s="19"/>
      <c r="Y26738" s="20"/>
    </row>
    <row r="26739" spans="24:25">
      <c r="X26739" s="19"/>
      <c r="Y26739" s="20"/>
    </row>
    <row r="26740" spans="24:25">
      <c r="X26740" s="19"/>
      <c r="Y26740" s="20"/>
    </row>
    <row r="26741" spans="24:25">
      <c r="X26741" s="19"/>
      <c r="Y26741" s="20"/>
    </row>
    <row r="26742" spans="24:25">
      <c r="X26742" s="19"/>
      <c r="Y26742" s="20"/>
    </row>
    <row r="26743" spans="24:25">
      <c r="X26743" s="19"/>
      <c r="Y26743" s="20"/>
    </row>
    <row r="26744" spans="24:25">
      <c r="X26744" s="19"/>
      <c r="Y26744" s="20"/>
    </row>
    <row r="26745" spans="24:25">
      <c r="X26745" s="19"/>
      <c r="Y26745" s="20"/>
    </row>
    <row r="26746" spans="24:25">
      <c r="X26746" s="19"/>
      <c r="Y26746" s="20"/>
    </row>
    <row r="26747" spans="24:25">
      <c r="X26747" s="19"/>
      <c r="Y26747" s="20"/>
    </row>
    <row r="26748" spans="24:25">
      <c r="X26748" s="19"/>
      <c r="Y26748" s="20"/>
    </row>
    <row r="26749" spans="24:25">
      <c r="X26749" s="19"/>
      <c r="Y26749" s="20"/>
    </row>
    <row r="26750" spans="24:25">
      <c r="X26750" s="19"/>
      <c r="Y26750" s="20"/>
    </row>
    <row r="26751" spans="24:25">
      <c r="X26751" s="19"/>
      <c r="Y26751" s="20"/>
    </row>
    <row r="26752" spans="24:25">
      <c r="X26752" s="19"/>
      <c r="Y26752" s="20"/>
    </row>
    <row r="26753" spans="24:25">
      <c r="X26753" s="19"/>
      <c r="Y26753" s="20"/>
    </row>
    <row r="26754" spans="24:25">
      <c r="X26754" s="19"/>
      <c r="Y26754" s="20"/>
    </row>
    <row r="26755" spans="24:25">
      <c r="X26755" s="19"/>
      <c r="Y26755" s="20"/>
    </row>
    <row r="26756" spans="24:25">
      <c r="X26756" s="19"/>
      <c r="Y26756" s="20"/>
    </row>
    <row r="26757" spans="24:25">
      <c r="X26757" s="19"/>
      <c r="Y26757" s="20"/>
    </row>
    <row r="26758" spans="24:25">
      <c r="X26758" s="19"/>
      <c r="Y26758" s="20"/>
    </row>
    <row r="26759" spans="24:25">
      <c r="X26759" s="19"/>
      <c r="Y26759" s="20"/>
    </row>
    <row r="26760" spans="24:25">
      <c r="X26760" s="19"/>
      <c r="Y26760" s="20"/>
    </row>
    <row r="26761" spans="24:25">
      <c r="X26761" s="19"/>
      <c r="Y26761" s="20"/>
    </row>
    <row r="26762" spans="24:25">
      <c r="X26762" s="19"/>
      <c r="Y26762" s="20"/>
    </row>
    <row r="26763" spans="24:25">
      <c r="X26763" s="19"/>
      <c r="Y26763" s="20"/>
    </row>
    <row r="26764" spans="24:25">
      <c r="X26764" s="19"/>
      <c r="Y26764" s="20"/>
    </row>
    <row r="26765" spans="24:25">
      <c r="X26765" s="19"/>
      <c r="Y26765" s="20"/>
    </row>
    <row r="26766" spans="24:25">
      <c r="X26766" s="19"/>
      <c r="Y26766" s="20"/>
    </row>
    <row r="26767" spans="24:25">
      <c r="X26767" s="19"/>
      <c r="Y26767" s="20"/>
    </row>
    <row r="26768" spans="24:25">
      <c r="X26768" s="19"/>
      <c r="Y26768" s="20"/>
    </row>
    <row r="26769" spans="24:25">
      <c r="X26769" s="19"/>
      <c r="Y26769" s="20"/>
    </row>
    <row r="26770" spans="24:25">
      <c r="X26770" s="19"/>
      <c r="Y26770" s="20"/>
    </row>
    <row r="26771" spans="24:25">
      <c r="X26771" s="19"/>
      <c r="Y26771" s="20"/>
    </row>
    <row r="26772" spans="24:25">
      <c r="X26772" s="19"/>
      <c r="Y26772" s="20"/>
    </row>
    <row r="26773" spans="24:25">
      <c r="X26773" s="19"/>
      <c r="Y26773" s="20"/>
    </row>
    <row r="26774" spans="24:25">
      <c r="X26774" s="19"/>
      <c r="Y26774" s="20"/>
    </row>
    <row r="26775" spans="24:25">
      <c r="X26775" s="19"/>
      <c r="Y26775" s="20"/>
    </row>
    <row r="26776" spans="24:25">
      <c r="X26776" s="19"/>
      <c r="Y26776" s="20"/>
    </row>
    <row r="26777" spans="24:25">
      <c r="X26777" s="19"/>
      <c r="Y26777" s="20"/>
    </row>
    <row r="26778" spans="24:25">
      <c r="X26778" s="19"/>
      <c r="Y26778" s="20"/>
    </row>
    <row r="26779" spans="24:25">
      <c r="X26779" s="19"/>
      <c r="Y26779" s="20"/>
    </row>
    <row r="26780" spans="24:25">
      <c r="X26780" s="19"/>
      <c r="Y26780" s="20"/>
    </row>
    <row r="26781" spans="24:25">
      <c r="X26781" s="19"/>
      <c r="Y26781" s="20"/>
    </row>
    <row r="26782" spans="24:25">
      <c r="X26782" s="19"/>
      <c r="Y26782" s="20"/>
    </row>
    <row r="26783" spans="24:25">
      <c r="X26783" s="19"/>
      <c r="Y26783" s="20"/>
    </row>
    <row r="26784" spans="24:25">
      <c r="X26784" s="19"/>
      <c r="Y26784" s="20"/>
    </row>
    <row r="26785" spans="24:25">
      <c r="X26785" s="19"/>
      <c r="Y26785" s="20"/>
    </row>
    <row r="26786" spans="24:25">
      <c r="X26786" s="19"/>
      <c r="Y26786" s="20"/>
    </row>
    <row r="26787" spans="24:25">
      <c r="X26787" s="19"/>
      <c r="Y26787" s="20"/>
    </row>
    <row r="26788" spans="24:25">
      <c r="X26788" s="19"/>
      <c r="Y26788" s="20"/>
    </row>
    <row r="26789" spans="24:25">
      <c r="X26789" s="19"/>
      <c r="Y26789" s="20"/>
    </row>
    <row r="26790" spans="24:25">
      <c r="X26790" s="19"/>
      <c r="Y26790" s="20"/>
    </row>
    <row r="26791" spans="24:25">
      <c r="X26791" s="19"/>
      <c r="Y26791" s="20"/>
    </row>
    <row r="26792" spans="24:25">
      <c r="X26792" s="19"/>
      <c r="Y26792" s="20"/>
    </row>
    <row r="26793" spans="24:25">
      <c r="X26793" s="19"/>
      <c r="Y26793" s="20"/>
    </row>
    <row r="26794" spans="24:25">
      <c r="X26794" s="19"/>
      <c r="Y26794" s="20"/>
    </row>
    <row r="26795" spans="24:25">
      <c r="X26795" s="19"/>
      <c r="Y26795" s="20"/>
    </row>
    <row r="26796" spans="24:25">
      <c r="X26796" s="19"/>
      <c r="Y26796" s="20"/>
    </row>
    <row r="26797" spans="24:25">
      <c r="X26797" s="19"/>
      <c r="Y26797" s="20"/>
    </row>
    <row r="26798" spans="24:25">
      <c r="X26798" s="19"/>
      <c r="Y26798" s="20"/>
    </row>
    <row r="26799" spans="24:25">
      <c r="X26799" s="19"/>
      <c r="Y26799" s="20"/>
    </row>
    <row r="26800" spans="24:25">
      <c r="X26800" s="19"/>
      <c r="Y26800" s="20"/>
    </row>
    <row r="26801" spans="24:25">
      <c r="X26801" s="19"/>
      <c r="Y26801" s="20"/>
    </row>
    <row r="26802" spans="24:25">
      <c r="X26802" s="19"/>
      <c r="Y26802" s="20"/>
    </row>
    <row r="26803" spans="24:25">
      <c r="X26803" s="19"/>
      <c r="Y26803" s="20"/>
    </row>
    <row r="26804" spans="24:25">
      <c r="X26804" s="19"/>
      <c r="Y26804" s="20"/>
    </row>
    <row r="26805" spans="24:25">
      <c r="X26805" s="19"/>
      <c r="Y26805" s="20"/>
    </row>
    <row r="26806" spans="24:25">
      <c r="X26806" s="19"/>
      <c r="Y26806" s="20"/>
    </row>
    <row r="26807" spans="24:25">
      <c r="X26807" s="19"/>
      <c r="Y26807" s="20"/>
    </row>
    <row r="26808" spans="24:25">
      <c r="X26808" s="19"/>
      <c r="Y26808" s="20"/>
    </row>
    <row r="26809" spans="24:25">
      <c r="X26809" s="19"/>
      <c r="Y26809" s="20"/>
    </row>
    <row r="26810" spans="24:25">
      <c r="X26810" s="19"/>
      <c r="Y26810" s="20"/>
    </row>
    <row r="26811" spans="24:25">
      <c r="X26811" s="19"/>
      <c r="Y26811" s="20"/>
    </row>
    <row r="26812" spans="24:25">
      <c r="X26812" s="19"/>
      <c r="Y26812" s="20"/>
    </row>
    <row r="26813" spans="24:25">
      <c r="X26813" s="19"/>
      <c r="Y26813" s="20"/>
    </row>
    <row r="26814" spans="24:25">
      <c r="X26814" s="19"/>
      <c r="Y26814" s="20"/>
    </row>
    <row r="26815" spans="24:25">
      <c r="X26815" s="19"/>
      <c r="Y26815" s="20"/>
    </row>
    <row r="26816" spans="24:25">
      <c r="X26816" s="19"/>
      <c r="Y26816" s="20"/>
    </row>
    <row r="26817" spans="24:25">
      <c r="X26817" s="19"/>
      <c r="Y26817" s="20"/>
    </row>
    <row r="26818" spans="24:25">
      <c r="X26818" s="19"/>
      <c r="Y26818" s="20"/>
    </row>
    <row r="26819" spans="24:25">
      <c r="X26819" s="19"/>
      <c r="Y26819" s="20"/>
    </row>
    <row r="26820" spans="24:25">
      <c r="X26820" s="19"/>
      <c r="Y26820" s="20"/>
    </row>
    <row r="26821" spans="24:25">
      <c r="X26821" s="19"/>
      <c r="Y26821" s="20"/>
    </row>
    <row r="26822" spans="24:25">
      <c r="X26822" s="19"/>
      <c r="Y26822" s="20"/>
    </row>
    <row r="26823" spans="24:25">
      <c r="X26823" s="19"/>
      <c r="Y26823" s="20"/>
    </row>
    <row r="26824" spans="24:25">
      <c r="X26824" s="19"/>
      <c r="Y26824" s="20"/>
    </row>
    <row r="26825" spans="24:25">
      <c r="X26825" s="19"/>
      <c r="Y26825" s="20"/>
    </row>
    <row r="26826" spans="24:25">
      <c r="X26826" s="19"/>
      <c r="Y26826" s="20"/>
    </row>
    <row r="26827" spans="24:25">
      <c r="X26827" s="19"/>
      <c r="Y26827" s="20"/>
    </row>
    <row r="26828" spans="24:25">
      <c r="X26828" s="19"/>
      <c r="Y26828" s="20"/>
    </row>
    <row r="26829" spans="24:25">
      <c r="X26829" s="19"/>
      <c r="Y26829" s="20"/>
    </row>
    <row r="26830" spans="24:25">
      <c r="X26830" s="19"/>
      <c r="Y26830" s="20"/>
    </row>
    <row r="26831" spans="24:25">
      <c r="X26831" s="19"/>
      <c r="Y26831" s="20"/>
    </row>
    <row r="26832" spans="24:25">
      <c r="X26832" s="19"/>
      <c r="Y26832" s="20"/>
    </row>
    <row r="26833" spans="24:25">
      <c r="X26833" s="19"/>
      <c r="Y26833" s="20"/>
    </row>
    <row r="26834" spans="24:25">
      <c r="X26834" s="19"/>
      <c r="Y26834" s="20"/>
    </row>
    <row r="26835" spans="24:25">
      <c r="X26835" s="19"/>
      <c r="Y26835" s="20"/>
    </row>
    <row r="26836" spans="24:25">
      <c r="X26836" s="19"/>
      <c r="Y26836" s="20"/>
    </row>
    <row r="26837" spans="24:25">
      <c r="X26837" s="19"/>
      <c r="Y26837" s="20"/>
    </row>
    <row r="26838" spans="24:25">
      <c r="X26838" s="19"/>
      <c r="Y26838" s="20"/>
    </row>
    <row r="26839" spans="24:25">
      <c r="X26839" s="19"/>
      <c r="Y26839" s="20"/>
    </row>
    <row r="26840" spans="24:25">
      <c r="X26840" s="19"/>
      <c r="Y26840" s="20"/>
    </row>
    <row r="26841" spans="24:25">
      <c r="X26841" s="19"/>
      <c r="Y26841" s="20"/>
    </row>
    <row r="26842" spans="24:25">
      <c r="X26842" s="19"/>
      <c r="Y26842" s="20"/>
    </row>
    <row r="26843" spans="24:25">
      <c r="X26843" s="19"/>
      <c r="Y26843" s="20"/>
    </row>
    <row r="26844" spans="24:25">
      <c r="X26844" s="19"/>
      <c r="Y26844" s="20"/>
    </row>
    <row r="26845" spans="24:25">
      <c r="X26845" s="19"/>
      <c r="Y26845" s="20"/>
    </row>
    <row r="26846" spans="24:25">
      <c r="X26846" s="19"/>
      <c r="Y26846" s="20"/>
    </row>
    <row r="26847" spans="24:25">
      <c r="X26847" s="19"/>
      <c r="Y26847" s="20"/>
    </row>
    <row r="26848" spans="24:25">
      <c r="X26848" s="19"/>
      <c r="Y26848" s="20"/>
    </row>
    <row r="26849" spans="24:25">
      <c r="X26849" s="19"/>
      <c r="Y26849" s="20"/>
    </row>
    <row r="26850" spans="24:25">
      <c r="X26850" s="19"/>
      <c r="Y26850" s="20"/>
    </row>
    <row r="26851" spans="24:25">
      <c r="X26851" s="19"/>
      <c r="Y26851" s="20"/>
    </row>
    <row r="26852" spans="24:25">
      <c r="X26852" s="19"/>
      <c r="Y26852" s="20"/>
    </row>
    <row r="26853" spans="24:25">
      <c r="X26853" s="19"/>
      <c r="Y26853" s="20"/>
    </row>
    <row r="26854" spans="24:25">
      <c r="X26854" s="19"/>
      <c r="Y26854" s="20"/>
    </row>
    <row r="26855" spans="24:25">
      <c r="X26855" s="19"/>
      <c r="Y26855" s="20"/>
    </row>
    <row r="26856" spans="24:25">
      <c r="X26856" s="19"/>
      <c r="Y26856" s="20"/>
    </row>
    <row r="26857" spans="24:25">
      <c r="X26857" s="19"/>
      <c r="Y26857" s="20"/>
    </row>
    <row r="26858" spans="24:25">
      <c r="X26858" s="19"/>
      <c r="Y26858" s="20"/>
    </row>
    <row r="26859" spans="24:25">
      <c r="X26859" s="19"/>
      <c r="Y26859" s="20"/>
    </row>
    <row r="26860" spans="24:25">
      <c r="X26860" s="19"/>
      <c r="Y26860" s="20"/>
    </row>
    <row r="26861" spans="24:25">
      <c r="X26861" s="19"/>
      <c r="Y26861" s="20"/>
    </row>
    <row r="26862" spans="24:25">
      <c r="X26862" s="19"/>
      <c r="Y26862" s="20"/>
    </row>
    <row r="26863" spans="24:25">
      <c r="X26863" s="19"/>
      <c r="Y26863" s="20"/>
    </row>
    <row r="26864" spans="24:25">
      <c r="X26864" s="19"/>
      <c r="Y26864" s="20"/>
    </row>
    <row r="26865" spans="24:25">
      <c r="X26865" s="19"/>
      <c r="Y26865" s="20"/>
    </row>
    <row r="26866" spans="24:25">
      <c r="X26866" s="19"/>
      <c r="Y26866" s="20"/>
    </row>
    <row r="26867" spans="24:25">
      <c r="X26867" s="19"/>
      <c r="Y26867" s="20"/>
    </row>
    <row r="26868" spans="24:25">
      <c r="X26868" s="19"/>
      <c r="Y26868" s="20"/>
    </row>
    <row r="26869" spans="24:25">
      <c r="X26869" s="19"/>
      <c r="Y26869" s="20"/>
    </row>
    <row r="26870" spans="24:25">
      <c r="X26870" s="19"/>
      <c r="Y26870" s="20"/>
    </row>
    <row r="26871" spans="24:25">
      <c r="X26871" s="19"/>
      <c r="Y26871" s="20"/>
    </row>
    <row r="26872" spans="24:25">
      <c r="X26872" s="19"/>
      <c r="Y26872" s="20"/>
    </row>
    <row r="26873" spans="24:25">
      <c r="X26873" s="19"/>
      <c r="Y26873" s="20"/>
    </row>
    <row r="26874" spans="24:25">
      <c r="X26874" s="19"/>
      <c r="Y26874" s="20"/>
    </row>
    <row r="26875" spans="24:25">
      <c r="X26875" s="19"/>
      <c r="Y26875" s="20"/>
    </row>
    <row r="26876" spans="24:25">
      <c r="X26876" s="19"/>
      <c r="Y26876" s="20"/>
    </row>
    <row r="26877" spans="24:25">
      <c r="X26877" s="19"/>
      <c r="Y26877" s="20"/>
    </row>
    <row r="26878" spans="24:25">
      <c r="X26878" s="19"/>
      <c r="Y26878" s="20"/>
    </row>
    <row r="26879" spans="24:25">
      <c r="X26879" s="19"/>
      <c r="Y26879" s="20"/>
    </row>
    <row r="26880" spans="24:25">
      <c r="X26880" s="19"/>
      <c r="Y26880" s="20"/>
    </row>
    <row r="26881" spans="24:25">
      <c r="X26881" s="19"/>
      <c r="Y26881" s="20"/>
    </row>
    <row r="26882" spans="24:25">
      <c r="X26882" s="19"/>
      <c r="Y26882" s="20"/>
    </row>
    <row r="26883" spans="24:25">
      <c r="X26883" s="19"/>
      <c r="Y26883" s="20"/>
    </row>
    <row r="26884" spans="24:25">
      <c r="X26884" s="19"/>
      <c r="Y26884" s="20"/>
    </row>
    <row r="26885" spans="24:25">
      <c r="X26885" s="19"/>
      <c r="Y26885" s="20"/>
    </row>
    <row r="26886" spans="24:25">
      <c r="X26886" s="19"/>
      <c r="Y26886" s="20"/>
    </row>
    <row r="26887" spans="24:25">
      <c r="X26887" s="19"/>
      <c r="Y26887" s="20"/>
    </row>
    <row r="26888" spans="24:25">
      <c r="X26888" s="19"/>
      <c r="Y26888" s="20"/>
    </row>
    <row r="26889" spans="24:25">
      <c r="X26889" s="19"/>
      <c r="Y26889" s="20"/>
    </row>
    <row r="26890" spans="24:25">
      <c r="X26890" s="19"/>
      <c r="Y26890" s="20"/>
    </row>
    <row r="26891" spans="24:25">
      <c r="X26891" s="19"/>
      <c r="Y26891" s="20"/>
    </row>
    <row r="26892" spans="24:25">
      <c r="X26892" s="19"/>
      <c r="Y26892" s="20"/>
    </row>
    <row r="26893" spans="24:25">
      <c r="X26893" s="19"/>
      <c r="Y26893" s="20"/>
    </row>
    <row r="26894" spans="24:25">
      <c r="X26894" s="19"/>
      <c r="Y26894" s="20"/>
    </row>
    <row r="26895" spans="24:25">
      <c r="X26895" s="19"/>
      <c r="Y26895" s="20"/>
    </row>
    <row r="26896" spans="24:25">
      <c r="X26896" s="19"/>
      <c r="Y26896" s="20"/>
    </row>
    <row r="26897" spans="24:25">
      <c r="X26897" s="19"/>
      <c r="Y26897" s="20"/>
    </row>
    <row r="26898" spans="24:25">
      <c r="X26898" s="19"/>
      <c r="Y26898" s="20"/>
    </row>
    <row r="26899" spans="24:25">
      <c r="X26899" s="19"/>
      <c r="Y26899" s="20"/>
    </row>
    <row r="26900" spans="24:25">
      <c r="X26900" s="19"/>
      <c r="Y26900" s="20"/>
    </row>
    <row r="26901" spans="24:25">
      <c r="X26901" s="19"/>
      <c r="Y26901" s="20"/>
    </row>
    <row r="26902" spans="24:25">
      <c r="X26902" s="19"/>
      <c r="Y26902" s="20"/>
    </row>
    <row r="26903" spans="24:25">
      <c r="X26903" s="19"/>
      <c r="Y26903" s="20"/>
    </row>
    <row r="26904" spans="24:25">
      <c r="X26904" s="19"/>
      <c r="Y26904" s="20"/>
    </row>
    <row r="26905" spans="24:25">
      <c r="X26905" s="19"/>
      <c r="Y26905" s="20"/>
    </row>
    <row r="26906" spans="24:25">
      <c r="X26906" s="19"/>
      <c r="Y26906" s="20"/>
    </row>
    <row r="26907" spans="24:25">
      <c r="X26907" s="19"/>
      <c r="Y26907" s="20"/>
    </row>
    <row r="26908" spans="24:25">
      <c r="X26908" s="19"/>
      <c r="Y26908" s="20"/>
    </row>
    <row r="26909" spans="24:25">
      <c r="X26909" s="19"/>
      <c r="Y26909" s="20"/>
    </row>
    <row r="26910" spans="24:25">
      <c r="X26910" s="19"/>
      <c r="Y26910" s="20"/>
    </row>
    <row r="26911" spans="24:25">
      <c r="X26911" s="19"/>
      <c r="Y26911" s="20"/>
    </row>
    <row r="26912" spans="24:25">
      <c r="X26912" s="19"/>
      <c r="Y26912" s="20"/>
    </row>
    <row r="26913" spans="24:25">
      <c r="X26913" s="19"/>
      <c r="Y26913" s="20"/>
    </row>
    <row r="26914" spans="24:25">
      <c r="X26914" s="19"/>
      <c r="Y26914" s="20"/>
    </row>
    <row r="26915" spans="24:25">
      <c r="X26915" s="19"/>
      <c r="Y26915" s="20"/>
    </row>
    <row r="26916" spans="24:25">
      <c r="X26916" s="19"/>
      <c r="Y26916" s="20"/>
    </row>
    <row r="26917" spans="24:25">
      <c r="X26917" s="19"/>
      <c r="Y26917" s="20"/>
    </row>
    <row r="26918" spans="24:25">
      <c r="X26918" s="19"/>
      <c r="Y26918" s="20"/>
    </row>
    <row r="26919" spans="24:25">
      <c r="X26919" s="19"/>
      <c r="Y26919" s="20"/>
    </row>
    <row r="26920" spans="24:25">
      <c r="X26920" s="19"/>
      <c r="Y26920" s="20"/>
    </row>
    <row r="26921" spans="24:25">
      <c r="X26921" s="19"/>
      <c r="Y26921" s="20"/>
    </row>
    <row r="26922" spans="24:25">
      <c r="X26922" s="19"/>
      <c r="Y26922" s="20"/>
    </row>
    <row r="26923" spans="24:25">
      <c r="X26923" s="19"/>
      <c r="Y26923" s="20"/>
    </row>
    <row r="26924" spans="24:25">
      <c r="X26924" s="19"/>
      <c r="Y26924" s="20"/>
    </row>
    <row r="26925" spans="24:25">
      <c r="X26925" s="19"/>
      <c r="Y26925" s="20"/>
    </row>
    <row r="26926" spans="24:25">
      <c r="X26926" s="19"/>
      <c r="Y26926" s="20"/>
    </row>
    <row r="26927" spans="24:25">
      <c r="X26927" s="19"/>
      <c r="Y26927" s="20"/>
    </row>
    <row r="26928" spans="24:25">
      <c r="X26928" s="19"/>
      <c r="Y26928" s="20"/>
    </row>
    <row r="26929" spans="24:25">
      <c r="X26929" s="19"/>
      <c r="Y26929" s="20"/>
    </row>
    <row r="26930" spans="24:25">
      <c r="X26930" s="19"/>
      <c r="Y26930" s="20"/>
    </row>
    <row r="26931" spans="24:25">
      <c r="X26931" s="19"/>
      <c r="Y26931" s="20"/>
    </row>
    <row r="26932" spans="24:25">
      <c r="X26932" s="19"/>
      <c r="Y26932" s="20"/>
    </row>
    <row r="26933" spans="24:25">
      <c r="X26933" s="19"/>
      <c r="Y26933" s="20"/>
    </row>
    <row r="26934" spans="24:25">
      <c r="X26934" s="19"/>
      <c r="Y26934" s="20"/>
    </row>
    <row r="26935" spans="24:25">
      <c r="X26935" s="19"/>
      <c r="Y26935" s="20"/>
    </row>
    <row r="26936" spans="24:25">
      <c r="X26936" s="19"/>
      <c r="Y26936" s="20"/>
    </row>
    <row r="26937" spans="24:25">
      <c r="X26937" s="19"/>
      <c r="Y26937" s="20"/>
    </row>
    <row r="26938" spans="24:25">
      <c r="X26938" s="19"/>
      <c r="Y26938" s="20"/>
    </row>
    <row r="26939" spans="24:25">
      <c r="X26939" s="19"/>
      <c r="Y26939" s="20"/>
    </row>
    <row r="26940" spans="24:25">
      <c r="X26940" s="19"/>
      <c r="Y26940" s="20"/>
    </row>
    <row r="26941" spans="24:25">
      <c r="X26941" s="19"/>
      <c r="Y26941" s="20"/>
    </row>
    <row r="26942" spans="24:25">
      <c r="X26942" s="19"/>
      <c r="Y26942" s="20"/>
    </row>
    <row r="26943" spans="24:25">
      <c r="X26943" s="19"/>
      <c r="Y26943" s="20"/>
    </row>
    <row r="26944" spans="24:25">
      <c r="X26944" s="19"/>
      <c r="Y26944" s="20"/>
    </row>
    <row r="26945" spans="24:25">
      <c r="X26945" s="19"/>
      <c r="Y26945" s="20"/>
    </row>
    <row r="26946" spans="24:25">
      <c r="X26946" s="19"/>
      <c r="Y26946" s="20"/>
    </row>
    <row r="26947" spans="24:25">
      <c r="X26947" s="19"/>
      <c r="Y26947" s="20"/>
    </row>
    <row r="26948" spans="24:25">
      <c r="X26948" s="19"/>
      <c r="Y26948" s="20"/>
    </row>
    <row r="26949" spans="24:25">
      <c r="X26949" s="19"/>
      <c r="Y26949" s="20"/>
    </row>
    <row r="26950" spans="24:25">
      <c r="X26950" s="19"/>
      <c r="Y26950" s="20"/>
    </row>
    <row r="26951" spans="24:25">
      <c r="X26951" s="19"/>
      <c r="Y26951" s="20"/>
    </row>
    <row r="26952" spans="24:25">
      <c r="X26952" s="19"/>
      <c r="Y26952" s="20"/>
    </row>
    <row r="26953" spans="24:25">
      <c r="X26953" s="19"/>
      <c r="Y26953" s="20"/>
    </row>
    <row r="26954" spans="24:25">
      <c r="X26954" s="19"/>
      <c r="Y26954" s="20"/>
    </row>
    <row r="26955" spans="24:25">
      <c r="X26955" s="19"/>
      <c r="Y26955" s="20"/>
    </row>
    <row r="26956" spans="24:25">
      <c r="X26956" s="19"/>
      <c r="Y26956" s="20"/>
    </row>
    <row r="26957" spans="24:25">
      <c r="X26957" s="19"/>
      <c r="Y26957" s="20"/>
    </row>
    <row r="26958" spans="24:25">
      <c r="X26958" s="19"/>
      <c r="Y26958" s="20"/>
    </row>
    <row r="26959" spans="24:25">
      <c r="X26959" s="19"/>
      <c r="Y26959" s="20"/>
    </row>
    <row r="26960" spans="24:25">
      <c r="X26960" s="19"/>
      <c r="Y26960" s="20"/>
    </row>
    <row r="26961" spans="24:25">
      <c r="X26961" s="19"/>
      <c r="Y26961" s="20"/>
    </row>
    <row r="26962" spans="24:25">
      <c r="X26962" s="19"/>
      <c r="Y26962" s="20"/>
    </row>
    <row r="26963" spans="24:25">
      <c r="X26963" s="19"/>
      <c r="Y26963" s="20"/>
    </row>
    <row r="26964" spans="24:25">
      <c r="X26964" s="19"/>
      <c r="Y26964" s="20"/>
    </row>
    <row r="26965" spans="24:25">
      <c r="X26965" s="19"/>
      <c r="Y26965" s="20"/>
    </row>
    <row r="26966" spans="24:25">
      <c r="X26966" s="19"/>
      <c r="Y26966" s="20"/>
    </row>
    <row r="26967" spans="24:25">
      <c r="X26967" s="19"/>
      <c r="Y26967" s="20"/>
    </row>
    <row r="26968" spans="24:25">
      <c r="X26968" s="19"/>
      <c r="Y26968" s="20"/>
    </row>
    <row r="26969" spans="24:25">
      <c r="X26969" s="19"/>
      <c r="Y26969" s="20"/>
    </row>
    <row r="26970" spans="24:25">
      <c r="X26970" s="19"/>
      <c r="Y26970" s="20"/>
    </row>
    <row r="26971" spans="24:25">
      <c r="X26971" s="19"/>
      <c r="Y26971" s="20"/>
    </row>
    <row r="26972" spans="24:25">
      <c r="X26972" s="19"/>
      <c r="Y26972" s="20"/>
    </row>
    <row r="26973" spans="24:25">
      <c r="X26973" s="19"/>
      <c r="Y26973" s="20"/>
    </row>
    <row r="26974" spans="24:25">
      <c r="X26974" s="19"/>
      <c r="Y26974" s="20"/>
    </row>
    <row r="26975" spans="24:25">
      <c r="X26975" s="19"/>
      <c r="Y26975" s="20"/>
    </row>
    <row r="26976" spans="24:25">
      <c r="X26976" s="19"/>
      <c r="Y26976" s="20"/>
    </row>
    <row r="26977" spans="24:25">
      <c r="X26977" s="19"/>
      <c r="Y26977" s="20"/>
    </row>
    <row r="26978" spans="24:25">
      <c r="X26978" s="19"/>
      <c r="Y26978" s="20"/>
    </row>
    <row r="26979" spans="24:25">
      <c r="X26979" s="19"/>
      <c r="Y26979" s="20"/>
    </row>
    <row r="26980" spans="24:25">
      <c r="X26980" s="19"/>
      <c r="Y26980" s="20"/>
    </row>
    <row r="26981" spans="24:25">
      <c r="X26981" s="19"/>
      <c r="Y26981" s="20"/>
    </row>
    <row r="26982" spans="24:25">
      <c r="X26982" s="19"/>
      <c r="Y26982" s="20"/>
    </row>
    <row r="26983" spans="24:25">
      <c r="X26983" s="19"/>
      <c r="Y26983" s="20"/>
    </row>
    <row r="26984" spans="24:25">
      <c r="X26984" s="19"/>
      <c r="Y26984" s="20"/>
    </row>
    <row r="26985" spans="24:25">
      <c r="X26985" s="19"/>
      <c r="Y26985" s="20"/>
    </row>
    <row r="26986" spans="24:25">
      <c r="X26986" s="19"/>
      <c r="Y26986" s="20"/>
    </row>
    <row r="26987" spans="24:25">
      <c r="X26987" s="19"/>
      <c r="Y26987" s="20"/>
    </row>
    <row r="26988" spans="24:25">
      <c r="X26988" s="19"/>
      <c r="Y26988" s="20"/>
    </row>
    <row r="26989" spans="24:25">
      <c r="X26989" s="19"/>
      <c r="Y26989" s="20"/>
    </row>
    <row r="26990" spans="24:25">
      <c r="X26990" s="19"/>
      <c r="Y26990" s="20"/>
    </row>
    <row r="26991" spans="24:25">
      <c r="X26991" s="19"/>
      <c r="Y26991" s="20"/>
    </row>
    <row r="26992" spans="24:25">
      <c r="X26992" s="19"/>
      <c r="Y26992" s="20"/>
    </row>
    <row r="26993" spans="24:25">
      <c r="X26993" s="19"/>
      <c r="Y26993" s="20"/>
    </row>
    <row r="26994" spans="24:25">
      <c r="X26994" s="19"/>
      <c r="Y26994" s="20"/>
    </row>
    <row r="26995" spans="24:25">
      <c r="X26995" s="19"/>
      <c r="Y26995" s="20"/>
    </row>
    <row r="26996" spans="24:25">
      <c r="X26996" s="19"/>
      <c r="Y26996" s="20"/>
    </row>
    <row r="26997" spans="24:25">
      <c r="X26997" s="19"/>
      <c r="Y26997" s="20"/>
    </row>
    <row r="26998" spans="24:25">
      <c r="X26998" s="19"/>
      <c r="Y26998" s="20"/>
    </row>
    <row r="26999" spans="24:25">
      <c r="X26999" s="19"/>
      <c r="Y26999" s="20"/>
    </row>
    <row r="27000" spans="24:25">
      <c r="X27000" s="19"/>
      <c r="Y27000" s="20"/>
    </row>
    <row r="27001" spans="24:25">
      <c r="X27001" s="19"/>
      <c r="Y27001" s="20"/>
    </row>
    <row r="27002" spans="24:25">
      <c r="X27002" s="19"/>
      <c r="Y27002" s="20"/>
    </row>
    <row r="27003" spans="24:25">
      <c r="X27003" s="19"/>
      <c r="Y27003" s="20"/>
    </row>
    <row r="27004" spans="24:25">
      <c r="X27004" s="19"/>
      <c r="Y27004" s="20"/>
    </row>
    <row r="27005" spans="24:25">
      <c r="X27005" s="19"/>
      <c r="Y27005" s="20"/>
    </row>
    <row r="27006" spans="24:25">
      <c r="X27006" s="19"/>
      <c r="Y27006" s="20"/>
    </row>
    <row r="27007" spans="24:25">
      <c r="X27007" s="19"/>
      <c r="Y27007" s="20"/>
    </row>
    <row r="27008" spans="24:25">
      <c r="X27008" s="19"/>
      <c r="Y27008" s="20"/>
    </row>
    <row r="27009" spans="24:25">
      <c r="X27009" s="19"/>
      <c r="Y27009" s="20"/>
    </row>
    <row r="27010" spans="24:25">
      <c r="X27010" s="19"/>
      <c r="Y27010" s="20"/>
    </row>
    <row r="27011" spans="24:25">
      <c r="X27011" s="19"/>
      <c r="Y27011" s="20"/>
    </row>
    <row r="27012" spans="24:25">
      <c r="X27012" s="19"/>
      <c r="Y27012" s="20"/>
    </row>
    <row r="27013" spans="24:25">
      <c r="X27013" s="19"/>
      <c r="Y27013" s="20"/>
    </row>
    <row r="27014" spans="24:25">
      <c r="X27014" s="19"/>
      <c r="Y27014" s="20"/>
    </row>
    <row r="27015" spans="24:25">
      <c r="X27015" s="19"/>
      <c r="Y27015" s="20"/>
    </row>
    <row r="27016" spans="24:25">
      <c r="X27016" s="19"/>
      <c r="Y27016" s="20"/>
    </row>
    <row r="27017" spans="24:25">
      <c r="X27017" s="19"/>
      <c r="Y27017" s="20"/>
    </row>
    <row r="27018" spans="24:25">
      <c r="X27018" s="19"/>
      <c r="Y27018" s="20"/>
    </row>
    <row r="27019" spans="24:25">
      <c r="X27019" s="19"/>
      <c r="Y27019" s="20"/>
    </row>
    <row r="27020" spans="24:25">
      <c r="X27020" s="19"/>
      <c r="Y27020" s="20"/>
    </row>
    <row r="27021" spans="24:25">
      <c r="X27021" s="19"/>
      <c r="Y27021" s="20"/>
    </row>
    <row r="27022" spans="24:25">
      <c r="X27022" s="19"/>
      <c r="Y27022" s="20"/>
    </row>
    <row r="27023" spans="24:25">
      <c r="X27023" s="19"/>
      <c r="Y27023" s="20"/>
    </row>
    <row r="27024" spans="24:25">
      <c r="X27024" s="19"/>
      <c r="Y27024" s="20"/>
    </row>
    <row r="27025" spans="24:25">
      <c r="X27025" s="19"/>
      <c r="Y27025" s="20"/>
    </row>
    <row r="27026" spans="24:25">
      <c r="X27026" s="19"/>
      <c r="Y27026" s="20"/>
    </row>
    <row r="27027" spans="24:25">
      <c r="X27027" s="19"/>
      <c r="Y27027" s="20"/>
    </row>
    <row r="27028" spans="24:25">
      <c r="X27028" s="19"/>
      <c r="Y27028" s="20"/>
    </row>
    <row r="27029" spans="24:25">
      <c r="X27029" s="19"/>
      <c r="Y27029" s="20"/>
    </row>
    <row r="27030" spans="24:25">
      <c r="X27030" s="19"/>
      <c r="Y27030" s="20"/>
    </row>
    <row r="27031" spans="24:25">
      <c r="X27031" s="19"/>
      <c r="Y27031" s="20"/>
    </row>
    <row r="27032" spans="24:25">
      <c r="X27032" s="19"/>
      <c r="Y27032" s="20"/>
    </row>
    <row r="27033" spans="24:25">
      <c r="X27033" s="19"/>
      <c r="Y27033" s="20"/>
    </row>
    <row r="27034" spans="24:25">
      <c r="X27034" s="19"/>
      <c r="Y27034" s="20"/>
    </row>
    <row r="27035" spans="24:25">
      <c r="X27035" s="19"/>
      <c r="Y27035" s="20"/>
    </row>
    <row r="27036" spans="24:25">
      <c r="X27036" s="19"/>
      <c r="Y27036" s="20"/>
    </row>
    <row r="27037" spans="24:25">
      <c r="X27037" s="19"/>
      <c r="Y27037" s="20"/>
    </row>
    <row r="27038" spans="24:25">
      <c r="X27038" s="19"/>
      <c r="Y27038" s="20"/>
    </row>
    <row r="27039" spans="24:25">
      <c r="X27039" s="19"/>
      <c r="Y27039" s="20"/>
    </row>
    <row r="27040" spans="24:25">
      <c r="X27040" s="19"/>
      <c r="Y27040" s="20"/>
    </row>
    <row r="27041" spans="24:25">
      <c r="X27041" s="19"/>
      <c r="Y27041" s="20"/>
    </row>
    <row r="27042" spans="24:25">
      <c r="X27042" s="19"/>
      <c r="Y27042" s="20"/>
    </row>
    <row r="27043" spans="24:25">
      <c r="X27043" s="19"/>
      <c r="Y27043" s="20"/>
    </row>
    <row r="27044" spans="24:25">
      <c r="X27044" s="19"/>
      <c r="Y27044" s="20"/>
    </row>
    <row r="27045" spans="24:25">
      <c r="X27045" s="19"/>
      <c r="Y27045" s="20"/>
    </row>
    <row r="27046" spans="24:25">
      <c r="X27046" s="19"/>
      <c r="Y27046" s="20"/>
    </row>
    <row r="27047" spans="24:25">
      <c r="X27047" s="19"/>
      <c r="Y27047" s="20"/>
    </row>
    <row r="27048" spans="24:25">
      <c r="X27048" s="19"/>
      <c r="Y27048" s="20"/>
    </row>
    <row r="27049" spans="24:25">
      <c r="X27049" s="19"/>
      <c r="Y27049" s="20"/>
    </row>
    <row r="27050" spans="24:25">
      <c r="X27050" s="19"/>
      <c r="Y27050" s="20"/>
    </row>
    <row r="27051" spans="24:25">
      <c r="X27051" s="19"/>
      <c r="Y27051" s="20"/>
    </row>
    <row r="27052" spans="24:25">
      <c r="X27052" s="19"/>
      <c r="Y27052" s="20"/>
    </row>
    <row r="27053" spans="24:25">
      <c r="X27053" s="19"/>
      <c r="Y27053" s="20"/>
    </row>
    <row r="27054" spans="24:25">
      <c r="X27054" s="19"/>
      <c r="Y27054" s="20"/>
    </row>
    <row r="27055" spans="24:25">
      <c r="X27055" s="19"/>
      <c r="Y27055" s="20"/>
    </row>
    <row r="27056" spans="24:25">
      <c r="X27056" s="19"/>
      <c r="Y27056" s="20"/>
    </row>
    <row r="27057" spans="24:25">
      <c r="X27057" s="19"/>
      <c r="Y27057" s="20"/>
    </row>
    <row r="27058" spans="24:25">
      <c r="X27058" s="19"/>
      <c r="Y27058" s="20"/>
    </row>
    <row r="27059" spans="24:25">
      <c r="X27059" s="19"/>
      <c r="Y27059" s="20"/>
    </row>
    <row r="27060" spans="24:25">
      <c r="X27060" s="19"/>
      <c r="Y27060" s="20"/>
    </row>
    <row r="27061" spans="24:25">
      <c r="X27061" s="19"/>
      <c r="Y27061" s="20"/>
    </row>
    <row r="27062" spans="24:25">
      <c r="X27062" s="19"/>
      <c r="Y27062" s="20"/>
    </row>
    <row r="27063" spans="24:25">
      <c r="X27063" s="19"/>
      <c r="Y27063" s="20"/>
    </row>
    <row r="27064" spans="24:25">
      <c r="X27064" s="19"/>
      <c r="Y27064" s="20"/>
    </row>
    <row r="27065" spans="24:25">
      <c r="X27065" s="19"/>
      <c r="Y27065" s="20"/>
    </row>
    <row r="27066" spans="24:25">
      <c r="X27066" s="19"/>
      <c r="Y27066" s="20"/>
    </row>
    <row r="27067" spans="24:25">
      <c r="X27067" s="19"/>
      <c r="Y27067" s="20"/>
    </row>
    <row r="27068" spans="24:25">
      <c r="X27068" s="19"/>
      <c r="Y27068" s="20"/>
    </row>
    <row r="27069" spans="24:25">
      <c r="X27069" s="19"/>
      <c r="Y27069" s="20"/>
    </row>
    <row r="27070" spans="24:25">
      <c r="X27070" s="19"/>
      <c r="Y27070" s="20"/>
    </row>
    <row r="27071" spans="24:25">
      <c r="X27071" s="19"/>
      <c r="Y27071" s="20"/>
    </row>
    <row r="27072" spans="24:25">
      <c r="X27072" s="19"/>
      <c r="Y27072" s="20"/>
    </row>
    <row r="27073" spans="24:25">
      <c r="X27073" s="19"/>
      <c r="Y27073" s="20"/>
    </row>
    <row r="27074" spans="24:25">
      <c r="X27074" s="19"/>
      <c r="Y27074" s="20"/>
    </row>
    <row r="27075" spans="24:25">
      <c r="X27075" s="19"/>
      <c r="Y27075" s="20"/>
    </row>
    <row r="27076" spans="24:25">
      <c r="X27076" s="19"/>
      <c r="Y27076" s="20"/>
    </row>
    <row r="27077" spans="24:25">
      <c r="X27077" s="19"/>
      <c r="Y27077" s="20"/>
    </row>
    <row r="27078" spans="24:25">
      <c r="X27078" s="19"/>
      <c r="Y27078" s="20"/>
    </row>
    <row r="27079" spans="24:25">
      <c r="X27079" s="19"/>
      <c r="Y27079" s="20"/>
    </row>
    <row r="27080" spans="24:25">
      <c r="X27080" s="19"/>
      <c r="Y27080" s="20"/>
    </row>
    <row r="27081" spans="24:25">
      <c r="X27081" s="19"/>
      <c r="Y27081" s="20"/>
    </row>
    <row r="27082" spans="24:25">
      <c r="X27082" s="19"/>
      <c r="Y27082" s="20"/>
    </row>
    <row r="27083" spans="24:25">
      <c r="X27083" s="19"/>
      <c r="Y27083" s="20"/>
    </row>
    <row r="27084" spans="24:25">
      <c r="X27084" s="19"/>
      <c r="Y27084" s="20"/>
    </row>
    <row r="27085" spans="24:25">
      <c r="X27085" s="19"/>
      <c r="Y27085" s="20"/>
    </row>
    <row r="27086" spans="24:25">
      <c r="X27086" s="19"/>
      <c r="Y27086" s="20"/>
    </row>
    <row r="27087" spans="24:25">
      <c r="X27087" s="19"/>
      <c r="Y27087" s="20"/>
    </row>
    <row r="27088" spans="24:25">
      <c r="X27088" s="19"/>
      <c r="Y27088" s="20"/>
    </row>
    <row r="27089" spans="24:25">
      <c r="X27089" s="19"/>
      <c r="Y27089" s="20"/>
    </row>
    <row r="27090" spans="24:25">
      <c r="X27090" s="19"/>
      <c r="Y27090" s="20"/>
    </row>
    <row r="27091" spans="24:25">
      <c r="X27091" s="19"/>
      <c r="Y27091" s="20"/>
    </row>
    <row r="27092" spans="24:25">
      <c r="X27092" s="19"/>
      <c r="Y27092" s="20"/>
    </row>
    <row r="27093" spans="24:25">
      <c r="X27093" s="19"/>
      <c r="Y27093" s="20"/>
    </row>
    <row r="27094" spans="24:25">
      <c r="X27094" s="19"/>
      <c r="Y27094" s="20"/>
    </row>
    <row r="27095" spans="24:25">
      <c r="X27095" s="19"/>
      <c r="Y27095" s="20"/>
    </row>
    <row r="27096" spans="24:25">
      <c r="X27096" s="19"/>
      <c r="Y27096" s="20"/>
    </row>
    <row r="27097" spans="24:25">
      <c r="X27097" s="19"/>
      <c r="Y27097" s="20"/>
    </row>
    <row r="27098" spans="24:25">
      <c r="X27098" s="19"/>
      <c r="Y27098" s="20"/>
    </row>
    <row r="27099" spans="24:25">
      <c r="X27099" s="19"/>
      <c r="Y27099" s="20"/>
    </row>
    <row r="27100" spans="24:25">
      <c r="X27100" s="19"/>
      <c r="Y27100" s="20"/>
    </row>
    <row r="27101" spans="24:25">
      <c r="X27101" s="19"/>
      <c r="Y27101" s="20"/>
    </row>
    <row r="27102" spans="24:25">
      <c r="X27102" s="19"/>
      <c r="Y27102" s="20"/>
    </row>
    <row r="27103" spans="24:25">
      <c r="X27103" s="19"/>
      <c r="Y27103" s="20"/>
    </row>
    <row r="27104" spans="24:25">
      <c r="X27104" s="19"/>
      <c r="Y27104" s="20"/>
    </row>
    <row r="27105" spans="24:25">
      <c r="X27105" s="19"/>
      <c r="Y27105" s="20"/>
    </row>
    <row r="27106" spans="24:25">
      <c r="X27106" s="19"/>
      <c r="Y27106" s="20"/>
    </row>
    <row r="27107" spans="24:25">
      <c r="X27107" s="19"/>
      <c r="Y27107" s="20"/>
    </row>
    <row r="27108" spans="24:25">
      <c r="X27108" s="19"/>
      <c r="Y27108" s="20"/>
    </row>
    <row r="27109" spans="24:25">
      <c r="X27109" s="19"/>
      <c r="Y27109" s="20"/>
    </row>
    <row r="27110" spans="24:25">
      <c r="X27110" s="19"/>
      <c r="Y27110" s="20"/>
    </row>
    <row r="27111" spans="24:25">
      <c r="X27111" s="19"/>
      <c r="Y27111" s="20"/>
    </row>
    <row r="27112" spans="24:25">
      <c r="X27112" s="19"/>
      <c r="Y27112" s="20"/>
    </row>
    <row r="27113" spans="24:25">
      <c r="X27113" s="19"/>
      <c r="Y27113" s="20"/>
    </row>
    <row r="27114" spans="24:25">
      <c r="X27114" s="19"/>
      <c r="Y27114" s="20"/>
    </row>
    <row r="27115" spans="24:25">
      <c r="X27115" s="19"/>
      <c r="Y27115" s="20"/>
    </row>
    <row r="27116" spans="24:25">
      <c r="X27116" s="19"/>
      <c r="Y27116" s="20"/>
    </row>
    <row r="27117" spans="24:25">
      <c r="X27117" s="19"/>
      <c r="Y27117" s="20"/>
    </row>
    <row r="27118" spans="24:25">
      <c r="X27118" s="19"/>
      <c r="Y27118" s="20"/>
    </row>
    <row r="27119" spans="24:25">
      <c r="X27119" s="19"/>
      <c r="Y27119" s="20"/>
    </row>
    <row r="27120" spans="24:25">
      <c r="X27120" s="19"/>
      <c r="Y27120" s="20"/>
    </row>
    <row r="27121" spans="24:25">
      <c r="X27121" s="19"/>
      <c r="Y27121" s="20"/>
    </row>
    <row r="27122" spans="24:25">
      <c r="X27122" s="19"/>
      <c r="Y27122" s="20"/>
    </row>
    <row r="27123" spans="24:25">
      <c r="X27123" s="19"/>
      <c r="Y27123" s="20"/>
    </row>
    <row r="27124" spans="24:25">
      <c r="X27124" s="19"/>
      <c r="Y27124" s="20"/>
    </row>
    <row r="27125" spans="24:25">
      <c r="X27125" s="19"/>
      <c r="Y27125" s="20"/>
    </row>
    <row r="27126" spans="24:25">
      <c r="X27126" s="19"/>
      <c r="Y27126" s="20"/>
    </row>
    <row r="27127" spans="24:25">
      <c r="X27127" s="19"/>
      <c r="Y27127" s="20"/>
    </row>
    <row r="27128" spans="24:25">
      <c r="X27128" s="19"/>
      <c r="Y27128" s="20"/>
    </row>
    <row r="27129" spans="24:25">
      <c r="X27129" s="19"/>
      <c r="Y27129" s="20"/>
    </row>
    <row r="27130" spans="24:25">
      <c r="X27130" s="19"/>
      <c r="Y27130" s="20"/>
    </row>
    <row r="27131" spans="24:25">
      <c r="X27131" s="19"/>
      <c r="Y27131" s="20"/>
    </row>
    <row r="27132" spans="24:25">
      <c r="X27132" s="19"/>
      <c r="Y27132" s="20"/>
    </row>
    <row r="27133" spans="24:25">
      <c r="X27133" s="19"/>
      <c r="Y27133" s="20"/>
    </row>
    <row r="27134" spans="24:25">
      <c r="X27134" s="19"/>
      <c r="Y27134" s="20"/>
    </row>
    <row r="27135" spans="24:25">
      <c r="X27135" s="19"/>
      <c r="Y27135" s="20"/>
    </row>
    <row r="27136" spans="24:25">
      <c r="X27136" s="19"/>
      <c r="Y27136" s="20"/>
    </row>
    <row r="27137" spans="24:25">
      <c r="X27137" s="19"/>
      <c r="Y27137" s="20"/>
    </row>
    <row r="27138" spans="24:25">
      <c r="X27138" s="19"/>
      <c r="Y27138" s="20"/>
    </row>
    <row r="27139" spans="24:25">
      <c r="X27139" s="19"/>
      <c r="Y27139" s="20"/>
    </row>
    <row r="27140" spans="24:25">
      <c r="X27140" s="19"/>
      <c r="Y27140" s="20"/>
    </row>
    <row r="27141" spans="24:25">
      <c r="X27141" s="19"/>
      <c r="Y27141" s="20"/>
    </row>
    <row r="27142" spans="24:25">
      <c r="X27142" s="19"/>
      <c r="Y27142" s="20"/>
    </row>
    <row r="27143" spans="24:25">
      <c r="X27143" s="19"/>
      <c r="Y27143" s="20"/>
    </row>
    <row r="27144" spans="24:25">
      <c r="X27144" s="19"/>
      <c r="Y27144" s="20"/>
    </row>
    <row r="27145" spans="24:25">
      <c r="X27145" s="19"/>
      <c r="Y27145" s="20"/>
    </row>
    <row r="27146" spans="24:25">
      <c r="X27146" s="19"/>
      <c r="Y27146" s="20"/>
    </row>
    <row r="27147" spans="24:25">
      <c r="X27147" s="19"/>
      <c r="Y27147" s="20"/>
    </row>
    <row r="27148" spans="24:25">
      <c r="X27148" s="19"/>
      <c r="Y27148" s="20"/>
    </row>
    <row r="27149" spans="24:25">
      <c r="X27149" s="19"/>
      <c r="Y27149" s="20"/>
    </row>
    <row r="27150" spans="24:25">
      <c r="X27150" s="19"/>
      <c r="Y27150" s="20"/>
    </row>
    <row r="27151" spans="24:25">
      <c r="X27151" s="19"/>
      <c r="Y27151" s="20"/>
    </row>
    <row r="27152" spans="24:25">
      <c r="X27152" s="19"/>
      <c r="Y27152" s="20"/>
    </row>
    <row r="27153" spans="24:25">
      <c r="X27153" s="19"/>
      <c r="Y27153" s="20"/>
    </row>
    <row r="27154" spans="24:25">
      <c r="X27154" s="19"/>
      <c r="Y27154" s="20"/>
    </row>
    <row r="27155" spans="24:25">
      <c r="X27155" s="19"/>
      <c r="Y27155" s="20"/>
    </row>
    <row r="27156" spans="24:25">
      <c r="X27156" s="19"/>
      <c r="Y27156" s="20"/>
    </row>
    <row r="27157" spans="24:25">
      <c r="X27157" s="19"/>
      <c r="Y27157" s="20"/>
    </row>
    <row r="27158" spans="24:25">
      <c r="X27158" s="19"/>
      <c r="Y27158" s="20"/>
    </row>
    <row r="27159" spans="24:25">
      <c r="X27159" s="19"/>
      <c r="Y27159" s="20"/>
    </row>
    <row r="27160" spans="24:25">
      <c r="X27160" s="19"/>
      <c r="Y27160" s="20"/>
    </row>
    <row r="27161" spans="24:25">
      <c r="X27161" s="19"/>
      <c r="Y27161" s="20"/>
    </row>
    <row r="27162" spans="24:25">
      <c r="X27162" s="19"/>
      <c r="Y27162" s="20"/>
    </row>
    <row r="27163" spans="24:25">
      <c r="X27163" s="19"/>
      <c r="Y27163" s="20"/>
    </row>
    <row r="27164" spans="24:25">
      <c r="X27164" s="19"/>
      <c r="Y27164" s="20"/>
    </row>
    <row r="27165" spans="24:25">
      <c r="X27165" s="19"/>
      <c r="Y27165" s="20"/>
    </row>
    <row r="27166" spans="24:25">
      <c r="X27166" s="19"/>
      <c r="Y27166" s="20"/>
    </row>
    <row r="27167" spans="24:25">
      <c r="X27167" s="19"/>
      <c r="Y27167" s="20"/>
    </row>
    <row r="27168" spans="24:25">
      <c r="X27168" s="19"/>
      <c r="Y27168" s="20"/>
    </row>
    <row r="27169" spans="24:25">
      <c r="X27169" s="19"/>
      <c r="Y27169" s="20"/>
    </row>
    <row r="27170" spans="24:25">
      <c r="X27170" s="19"/>
      <c r="Y27170" s="20"/>
    </row>
    <row r="27171" spans="24:25">
      <c r="X27171" s="19"/>
      <c r="Y27171" s="20"/>
    </row>
    <row r="27172" spans="24:25">
      <c r="X27172" s="19"/>
      <c r="Y27172" s="20"/>
    </row>
    <row r="27173" spans="24:25">
      <c r="X27173" s="19"/>
      <c r="Y27173" s="20"/>
    </row>
    <row r="27174" spans="24:25">
      <c r="X27174" s="19"/>
      <c r="Y27174" s="20"/>
    </row>
    <row r="27175" spans="24:25">
      <c r="X27175" s="19"/>
      <c r="Y27175" s="20"/>
    </row>
    <row r="27176" spans="24:25">
      <c r="X27176" s="19"/>
      <c r="Y27176" s="20"/>
    </row>
    <row r="27177" spans="24:25">
      <c r="X27177" s="19"/>
      <c r="Y27177" s="20"/>
    </row>
    <row r="27178" spans="24:25">
      <c r="X27178" s="19"/>
      <c r="Y27178" s="20"/>
    </row>
    <row r="27179" spans="24:25">
      <c r="X27179" s="19"/>
      <c r="Y27179" s="20"/>
    </row>
    <row r="27180" spans="24:25">
      <c r="X27180" s="19"/>
      <c r="Y27180" s="20"/>
    </row>
    <row r="27181" spans="24:25">
      <c r="X27181" s="19"/>
      <c r="Y27181" s="20"/>
    </row>
    <row r="27182" spans="24:25">
      <c r="X27182" s="19"/>
      <c r="Y27182" s="20"/>
    </row>
    <row r="27183" spans="24:25">
      <c r="X27183" s="19"/>
      <c r="Y27183" s="20"/>
    </row>
    <row r="27184" spans="24:25">
      <c r="X27184" s="19"/>
      <c r="Y27184" s="20"/>
    </row>
    <row r="27185" spans="24:25">
      <c r="X27185" s="19"/>
      <c r="Y27185" s="20"/>
    </row>
    <row r="27186" spans="24:25">
      <c r="X27186" s="19"/>
      <c r="Y27186" s="20"/>
    </row>
    <row r="27187" spans="24:25">
      <c r="X27187" s="19"/>
      <c r="Y27187" s="20"/>
    </row>
    <row r="27188" spans="24:25">
      <c r="X27188" s="19"/>
      <c r="Y27188" s="20"/>
    </row>
    <row r="27189" spans="24:25">
      <c r="X27189" s="19"/>
      <c r="Y27189" s="20"/>
    </row>
    <row r="27190" spans="24:25">
      <c r="X27190" s="19"/>
      <c r="Y27190" s="20"/>
    </row>
    <row r="27191" spans="24:25">
      <c r="X27191" s="19"/>
      <c r="Y27191" s="20"/>
    </row>
    <row r="27192" spans="24:25">
      <c r="X27192" s="19"/>
      <c r="Y27192" s="20"/>
    </row>
    <row r="27193" spans="24:25">
      <c r="X27193" s="19"/>
      <c r="Y27193" s="20"/>
    </row>
    <row r="27194" spans="24:25">
      <c r="X27194" s="19"/>
      <c r="Y27194" s="20"/>
    </row>
    <row r="27195" spans="24:25">
      <c r="X27195" s="19"/>
      <c r="Y27195" s="20"/>
    </row>
    <row r="27196" spans="24:25">
      <c r="X27196" s="19"/>
      <c r="Y27196" s="20"/>
    </row>
    <row r="27197" spans="24:25">
      <c r="X27197" s="19"/>
      <c r="Y27197" s="20"/>
    </row>
    <row r="27198" spans="24:25">
      <c r="X27198" s="19"/>
      <c r="Y27198" s="20"/>
    </row>
    <row r="27199" spans="24:25">
      <c r="X27199" s="19"/>
      <c r="Y27199" s="20"/>
    </row>
    <row r="27200" spans="24:25">
      <c r="X27200" s="19"/>
      <c r="Y27200" s="20"/>
    </row>
    <row r="27201" spans="24:25">
      <c r="X27201" s="19"/>
      <c r="Y27201" s="20"/>
    </row>
    <row r="27202" spans="24:25">
      <c r="X27202" s="19"/>
      <c r="Y27202" s="20"/>
    </row>
    <row r="27203" spans="24:25">
      <c r="X27203" s="19"/>
      <c r="Y27203" s="20"/>
    </row>
    <row r="27204" spans="24:25">
      <c r="X27204" s="19"/>
      <c r="Y27204" s="20"/>
    </row>
    <row r="27205" spans="24:25">
      <c r="X27205" s="19"/>
      <c r="Y27205" s="20"/>
    </row>
    <row r="27206" spans="24:25">
      <c r="X27206" s="19"/>
      <c r="Y27206" s="20"/>
    </row>
    <row r="27207" spans="24:25">
      <c r="X27207" s="19"/>
      <c r="Y27207" s="20"/>
    </row>
    <row r="27208" spans="24:25">
      <c r="X27208" s="19"/>
      <c r="Y27208" s="20"/>
    </row>
    <row r="27209" spans="24:25">
      <c r="X27209" s="19"/>
      <c r="Y27209" s="20"/>
    </row>
    <row r="27210" spans="24:25">
      <c r="X27210" s="19"/>
      <c r="Y27210" s="20"/>
    </row>
    <row r="27211" spans="24:25">
      <c r="X27211" s="19"/>
      <c r="Y27211" s="20"/>
    </row>
    <row r="27212" spans="24:25">
      <c r="X27212" s="19"/>
      <c r="Y27212" s="20"/>
    </row>
    <row r="27213" spans="24:25">
      <c r="X27213" s="19"/>
      <c r="Y27213" s="20"/>
    </row>
    <row r="27214" spans="24:25">
      <c r="X27214" s="19"/>
      <c r="Y27214" s="20"/>
    </row>
    <row r="27215" spans="24:25">
      <c r="X27215" s="19"/>
      <c r="Y27215" s="20"/>
    </row>
    <row r="27216" spans="24:25">
      <c r="X27216" s="19"/>
      <c r="Y27216" s="20"/>
    </row>
    <row r="27217" spans="24:25">
      <c r="X27217" s="19"/>
      <c r="Y27217" s="20"/>
    </row>
    <row r="27218" spans="24:25">
      <c r="X27218" s="19"/>
      <c r="Y27218" s="20"/>
    </row>
    <row r="27219" spans="24:25">
      <c r="X27219" s="19"/>
      <c r="Y27219" s="20"/>
    </row>
    <row r="27220" spans="24:25">
      <c r="X27220" s="19"/>
      <c r="Y27220" s="20"/>
    </row>
    <row r="27221" spans="24:25">
      <c r="X27221" s="19"/>
      <c r="Y27221" s="20"/>
    </row>
    <row r="27222" spans="24:25">
      <c r="X27222" s="19"/>
      <c r="Y27222" s="20"/>
    </row>
    <row r="27223" spans="24:25">
      <c r="X27223" s="19"/>
      <c r="Y27223" s="20"/>
    </row>
    <row r="27224" spans="24:25">
      <c r="X27224" s="19"/>
      <c r="Y27224" s="20"/>
    </row>
    <row r="27225" spans="24:25">
      <c r="X27225" s="19"/>
      <c r="Y27225" s="20"/>
    </row>
    <row r="27226" spans="24:25">
      <c r="X27226" s="19"/>
      <c r="Y27226" s="20"/>
    </row>
    <row r="27227" spans="24:25">
      <c r="X27227" s="19"/>
      <c r="Y27227" s="20"/>
    </row>
    <row r="27228" spans="24:25">
      <c r="X27228" s="19"/>
      <c r="Y27228" s="20"/>
    </row>
    <row r="27229" spans="24:25">
      <c r="X27229" s="19"/>
      <c r="Y27229" s="20"/>
    </row>
    <row r="27230" spans="24:25">
      <c r="X27230" s="19"/>
      <c r="Y27230" s="20"/>
    </row>
    <row r="27231" spans="24:25">
      <c r="X27231" s="19"/>
      <c r="Y27231" s="20"/>
    </row>
    <row r="27232" spans="24:25">
      <c r="X27232" s="19"/>
      <c r="Y27232" s="20"/>
    </row>
    <row r="27233" spans="24:25">
      <c r="X27233" s="19"/>
      <c r="Y27233" s="20"/>
    </row>
    <row r="27234" spans="24:25">
      <c r="X27234" s="19"/>
      <c r="Y27234" s="20"/>
    </row>
    <row r="27235" spans="24:25">
      <c r="X27235" s="19"/>
      <c r="Y27235" s="20"/>
    </row>
    <row r="27236" spans="24:25">
      <c r="X27236" s="19"/>
      <c r="Y27236" s="20"/>
    </row>
    <row r="27237" spans="24:25">
      <c r="X27237" s="19"/>
      <c r="Y27237" s="20"/>
    </row>
    <row r="27238" spans="24:25">
      <c r="X27238" s="19"/>
      <c r="Y27238" s="20"/>
    </row>
    <row r="27239" spans="24:25">
      <c r="X27239" s="19"/>
      <c r="Y27239" s="20"/>
    </row>
    <row r="27240" spans="24:25">
      <c r="X27240" s="19"/>
      <c r="Y27240" s="20"/>
    </row>
    <row r="27241" spans="24:25">
      <c r="X27241" s="19"/>
      <c r="Y27241" s="20"/>
    </row>
    <row r="27242" spans="24:25">
      <c r="X27242" s="19"/>
      <c r="Y27242" s="20"/>
    </row>
    <row r="27243" spans="24:25">
      <c r="X27243" s="19"/>
      <c r="Y27243" s="20"/>
    </row>
    <row r="27244" spans="24:25">
      <c r="X27244" s="19"/>
      <c r="Y27244" s="20"/>
    </row>
    <row r="27245" spans="24:25">
      <c r="X27245" s="19"/>
      <c r="Y27245" s="20"/>
    </row>
    <row r="27246" spans="24:25">
      <c r="X27246" s="19"/>
      <c r="Y27246" s="20"/>
    </row>
    <row r="27247" spans="24:25">
      <c r="X27247" s="19"/>
      <c r="Y27247" s="20"/>
    </row>
    <row r="27248" spans="24:25">
      <c r="X27248" s="19"/>
      <c r="Y27248" s="20"/>
    </row>
    <row r="27249" spans="24:25">
      <c r="X27249" s="19"/>
      <c r="Y27249" s="20"/>
    </row>
    <row r="27250" spans="24:25">
      <c r="X27250" s="19"/>
      <c r="Y27250" s="20"/>
    </row>
    <row r="27251" spans="24:25">
      <c r="X27251" s="19"/>
      <c r="Y27251" s="20"/>
    </row>
    <row r="27252" spans="24:25">
      <c r="X27252" s="19"/>
      <c r="Y27252" s="20"/>
    </row>
    <row r="27253" spans="24:25">
      <c r="X27253" s="19"/>
      <c r="Y27253" s="20"/>
    </row>
    <row r="27254" spans="24:25">
      <c r="X27254" s="19"/>
      <c r="Y27254" s="20"/>
    </row>
    <row r="27255" spans="24:25">
      <c r="X27255" s="19"/>
      <c r="Y27255" s="20"/>
    </row>
    <row r="27256" spans="24:25">
      <c r="X27256" s="19"/>
      <c r="Y27256" s="20"/>
    </row>
    <row r="27257" spans="24:25">
      <c r="X27257" s="19"/>
      <c r="Y27257" s="20"/>
    </row>
    <row r="27258" spans="24:25">
      <c r="X27258" s="19"/>
      <c r="Y27258" s="20"/>
    </row>
    <row r="27259" spans="24:25">
      <c r="X27259" s="19"/>
      <c r="Y27259" s="20"/>
    </row>
    <row r="27260" spans="24:25">
      <c r="X27260" s="19"/>
      <c r="Y27260" s="20"/>
    </row>
    <row r="27261" spans="24:25">
      <c r="X27261" s="19"/>
      <c r="Y27261" s="20"/>
    </row>
    <row r="27262" spans="24:25">
      <c r="X27262" s="19"/>
      <c r="Y27262" s="20"/>
    </row>
    <row r="27263" spans="24:25">
      <c r="X27263" s="19"/>
      <c r="Y27263" s="20"/>
    </row>
    <row r="27264" spans="24:25">
      <c r="X27264" s="19"/>
      <c r="Y27264" s="20"/>
    </row>
    <row r="27265" spans="24:25">
      <c r="X27265" s="19"/>
      <c r="Y27265" s="20"/>
    </row>
    <row r="27266" spans="24:25">
      <c r="X27266" s="19"/>
      <c r="Y27266" s="20"/>
    </row>
    <row r="27267" spans="24:25">
      <c r="X27267" s="19"/>
      <c r="Y27267" s="20"/>
    </row>
    <row r="27268" spans="24:25">
      <c r="X27268" s="19"/>
      <c r="Y27268" s="20"/>
    </row>
    <row r="27269" spans="24:25">
      <c r="X27269" s="19"/>
      <c r="Y27269" s="20"/>
    </row>
    <row r="27270" spans="24:25">
      <c r="X27270" s="19"/>
      <c r="Y27270" s="20"/>
    </row>
    <row r="27271" spans="24:25">
      <c r="X27271" s="19"/>
      <c r="Y27271" s="20"/>
    </row>
    <row r="27272" spans="24:25">
      <c r="X27272" s="19"/>
      <c r="Y27272" s="20"/>
    </row>
    <row r="27273" spans="24:25">
      <c r="X27273" s="19"/>
      <c r="Y27273" s="20"/>
    </row>
    <row r="27274" spans="24:25">
      <c r="X27274" s="19"/>
      <c r="Y27274" s="20"/>
    </row>
    <row r="27275" spans="24:25">
      <c r="X27275" s="19"/>
      <c r="Y27275" s="20"/>
    </row>
    <row r="27276" spans="24:25">
      <c r="X27276" s="19"/>
      <c r="Y27276" s="20"/>
    </row>
    <row r="27277" spans="24:25">
      <c r="X27277" s="19"/>
      <c r="Y27277" s="20"/>
    </row>
    <row r="27278" spans="24:25">
      <c r="X27278" s="19"/>
      <c r="Y27278" s="20"/>
    </row>
    <row r="27279" spans="24:25">
      <c r="X27279" s="19"/>
      <c r="Y27279" s="20"/>
    </row>
    <row r="27280" spans="24:25">
      <c r="X27280" s="19"/>
      <c r="Y27280" s="20"/>
    </row>
    <row r="27281" spans="24:25">
      <c r="X27281" s="19"/>
      <c r="Y27281" s="20"/>
    </row>
    <row r="27282" spans="24:25">
      <c r="X27282" s="19"/>
      <c r="Y27282" s="20"/>
    </row>
    <row r="27283" spans="24:25">
      <c r="X27283" s="19"/>
      <c r="Y27283" s="20"/>
    </row>
    <row r="27284" spans="24:25">
      <c r="X27284" s="19"/>
      <c r="Y27284" s="20"/>
    </row>
    <row r="27285" spans="24:25">
      <c r="X27285" s="19"/>
      <c r="Y27285" s="20"/>
    </row>
    <row r="27286" spans="24:25">
      <c r="X27286" s="19"/>
      <c r="Y27286" s="20"/>
    </row>
    <row r="27287" spans="24:25">
      <c r="X27287" s="19"/>
      <c r="Y27287" s="20"/>
    </row>
    <row r="27288" spans="24:25">
      <c r="X27288" s="19"/>
      <c r="Y27288" s="20"/>
    </row>
    <row r="27289" spans="24:25">
      <c r="X27289" s="19"/>
      <c r="Y27289" s="20"/>
    </row>
    <row r="27290" spans="24:25">
      <c r="X27290" s="19"/>
      <c r="Y27290" s="20"/>
    </row>
    <row r="27291" spans="24:25">
      <c r="X27291" s="19"/>
      <c r="Y27291" s="20"/>
    </row>
    <row r="27292" spans="24:25">
      <c r="X27292" s="19"/>
      <c r="Y27292" s="20"/>
    </row>
    <row r="27293" spans="24:25">
      <c r="X27293" s="19"/>
      <c r="Y27293" s="20"/>
    </row>
    <row r="27294" spans="24:25">
      <c r="X27294" s="19"/>
      <c r="Y27294" s="20"/>
    </row>
    <row r="27295" spans="24:25">
      <c r="X27295" s="19"/>
      <c r="Y27295" s="20"/>
    </row>
    <row r="27296" spans="24:25">
      <c r="X27296" s="19"/>
      <c r="Y27296" s="20"/>
    </row>
    <row r="27297" spans="24:25">
      <c r="X27297" s="19"/>
      <c r="Y27297" s="20"/>
    </row>
    <row r="27298" spans="24:25">
      <c r="X27298" s="19"/>
      <c r="Y27298" s="20"/>
    </row>
    <row r="27299" spans="24:25">
      <c r="X27299" s="19"/>
      <c r="Y27299" s="20"/>
    </row>
    <row r="27300" spans="24:25">
      <c r="X27300" s="19"/>
      <c r="Y27300" s="20"/>
    </row>
    <row r="27301" spans="24:25">
      <c r="X27301" s="19"/>
      <c r="Y27301" s="20"/>
    </row>
    <row r="27302" spans="24:25">
      <c r="X27302" s="19"/>
      <c r="Y27302" s="20"/>
    </row>
    <row r="27303" spans="24:25">
      <c r="X27303" s="19"/>
      <c r="Y27303" s="20"/>
    </row>
    <row r="27304" spans="24:25">
      <c r="X27304" s="19"/>
      <c r="Y27304" s="20"/>
    </row>
    <row r="27305" spans="24:25">
      <c r="X27305" s="19"/>
      <c r="Y27305" s="20"/>
    </row>
    <row r="27306" spans="24:25">
      <c r="X27306" s="19"/>
      <c r="Y27306" s="20"/>
    </row>
    <row r="27307" spans="24:25">
      <c r="X27307" s="19"/>
      <c r="Y27307" s="20"/>
    </row>
    <row r="27308" spans="24:25">
      <c r="X27308" s="19"/>
      <c r="Y27308" s="20"/>
    </row>
    <row r="27309" spans="24:25">
      <c r="X27309" s="19"/>
      <c r="Y27309" s="20"/>
    </row>
    <row r="27310" spans="24:25">
      <c r="X27310" s="19"/>
      <c r="Y27310" s="20"/>
    </row>
    <row r="27311" spans="24:25">
      <c r="X27311" s="19"/>
      <c r="Y27311" s="20"/>
    </row>
    <row r="27312" spans="24:25">
      <c r="X27312" s="19"/>
      <c r="Y27312" s="20"/>
    </row>
    <row r="27313" spans="24:25">
      <c r="X27313" s="19"/>
      <c r="Y27313" s="20"/>
    </row>
    <row r="27314" spans="24:25">
      <c r="X27314" s="19"/>
      <c r="Y27314" s="20"/>
    </row>
    <row r="27315" spans="24:25">
      <c r="X27315" s="19"/>
      <c r="Y27315" s="20"/>
    </row>
    <row r="27316" spans="24:25">
      <c r="X27316" s="19"/>
      <c r="Y27316" s="20"/>
    </row>
    <row r="27317" spans="24:25">
      <c r="X27317" s="19"/>
      <c r="Y27317" s="20"/>
    </row>
    <row r="27318" spans="24:25">
      <c r="X27318" s="19"/>
      <c r="Y27318" s="20"/>
    </row>
    <row r="27319" spans="24:25">
      <c r="X27319" s="19"/>
      <c r="Y27319" s="20"/>
    </row>
    <row r="27320" spans="24:25">
      <c r="X27320" s="19"/>
      <c r="Y27320" s="20"/>
    </row>
    <row r="27321" spans="24:25">
      <c r="X27321" s="19"/>
      <c r="Y27321" s="20"/>
    </row>
    <row r="27322" spans="24:25">
      <c r="X27322" s="19"/>
      <c r="Y27322" s="20"/>
    </row>
    <row r="27323" spans="24:25">
      <c r="X27323" s="19"/>
      <c r="Y27323" s="20"/>
    </row>
    <row r="27324" spans="24:25">
      <c r="X27324" s="19"/>
      <c r="Y27324" s="20"/>
    </row>
    <row r="27325" spans="24:25">
      <c r="X27325" s="19"/>
      <c r="Y27325" s="20"/>
    </row>
    <row r="27326" spans="24:25">
      <c r="X27326" s="19"/>
      <c r="Y27326" s="20"/>
    </row>
    <row r="27327" spans="24:25">
      <c r="X27327" s="19"/>
      <c r="Y27327" s="20"/>
    </row>
    <row r="27328" spans="24:25">
      <c r="X27328" s="19"/>
      <c r="Y27328" s="20"/>
    </row>
    <row r="27329" spans="24:25">
      <c r="X27329" s="19"/>
      <c r="Y27329" s="20"/>
    </row>
    <row r="27330" spans="24:25">
      <c r="X27330" s="19"/>
      <c r="Y27330" s="20"/>
    </row>
    <row r="27331" spans="24:25">
      <c r="X27331" s="19"/>
      <c r="Y27331" s="20"/>
    </row>
    <row r="27332" spans="24:25">
      <c r="X27332" s="19"/>
      <c r="Y27332" s="20"/>
    </row>
    <row r="27333" spans="24:25">
      <c r="X27333" s="19"/>
      <c r="Y27333" s="20"/>
    </row>
    <row r="27334" spans="24:25">
      <c r="X27334" s="19"/>
      <c r="Y27334" s="20"/>
    </row>
    <row r="27335" spans="24:25">
      <c r="X27335" s="19"/>
      <c r="Y27335" s="20"/>
    </row>
    <row r="27336" spans="24:25">
      <c r="X27336" s="19"/>
      <c r="Y27336" s="20"/>
    </row>
    <row r="27337" spans="24:25">
      <c r="X27337" s="19"/>
      <c r="Y27337" s="20"/>
    </row>
    <row r="27338" spans="24:25">
      <c r="X27338" s="19"/>
      <c r="Y27338" s="20"/>
    </row>
    <row r="27339" spans="24:25">
      <c r="X27339" s="19"/>
      <c r="Y27339" s="20"/>
    </row>
    <row r="27340" spans="24:25">
      <c r="X27340" s="19"/>
      <c r="Y27340" s="20"/>
    </row>
    <row r="27341" spans="24:25">
      <c r="X27341" s="19"/>
      <c r="Y27341" s="20"/>
    </row>
    <row r="27342" spans="24:25">
      <c r="X27342" s="19"/>
      <c r="Y27342" s="20"/>
    </row>
    <row r="27343" spans="24:25">
      <c r="X27343" s="19"/>
      <c r="Y27343" s="20"/>
    </row>
    <row r="27344" spans="24:25">
      <c r="X27344" s="19"/>
      <c r="Y27344" s="20"/>
    </row>
    <row r="27345" spans="24:25">
      <c r="X27345" s="19"/>
      <c r="Y27345" s="20"/>
    </row>
    <row r="27346" spans="24:25">
      <c r="X27346" s="19"/>
      <c r="Y27346" s="20"/>
    </row>
    <row r="27347" spans="24:25">
      <c r="X27347" s="19"/>
      <c r="Y27347" s="20"/>
    </row>
    <row r="27348" spans="24:25">
      <c r="X27348" s="19"/>
      <c r="Y27348" s="20"/>
    </row>
    <row r="27349" spans="24:25">
      <c r="X27349" s="19"/>
      <c r="Y27349" s="20"/>
    </row>
    <row r="27350" spans="24:25">
      <c r="X27350" s="19"/>
      <c r="Y27350" s="20"/>
    </row>
    <row r="27351" spans="24:25">
      <c r="X27351" s="19"/>
      <c r="Y27351" s="20"/>
    </row>
    <row r="27352" spans="24:25">
      <c r="X27352" s="19"/>
      <c r="Y27352" s="20"/>
    </row>
    <row r="27353" spans="24:25">
      <c r="X27353" s="19"/>
      <c r="Y27353" s="20"/>
    </row>
    <row r="27354" spans="24:25">
      <c r="X27354" s="19"/>
      <c r="Y27354" s="20"/>
    </row>
    <row r="27355" spans="24:25">
      <c r="X27355" s="19"/>
      <c r="Y27355" s="20"/>
    </row>
    <row r="27356" spans="24:25">
      <c r="X27356" s="19"/>
      <c r="Y27356" s="20"/>
    </row>
    <row r="27357" spans="24:25">
      <c r="X27357" s="19"/>
      <c r="Y27357" s="20"/>
    </row>
    <row r="27358" spans="24:25">
      <c r="X27358" s="19"/>
      <c r="Y27358" s="20"/>
    </row>
    <row r="27359" spans="24:25">
      <c r="X27359" s="19"/>
      <c r="Y27359" s="20"/>
    </row>
    <row r="27360" spans="24:25">
      <c r="X27360" s="19"/>
      <c r="Y27360" s="20"/>
    </row>
    <row r="27361" spans="24:25">
      <c r="X27361" s="19"/>
      <c r="Y27361" s="20"/>
    </row>
    <row r="27362" spans="24:25">
      <c r="X27362" s="19"/>
      <c r="Y27362" s="20"/>
    </row>
    <row r="27363" spans="24:25">
      <c r="X27363" s="19"/>
      <c r="Y27363" s="20"/>
    </row>
    <row r="27364" spans="24:25">
      <c r="X27364" s="19"/>
      <c r="Y27364" s="20"/>
    </row>
    <row r="27365" spans="24:25">
      <c r="X27365" s="19"/>
      <c r="Y27365" s="20"/>
    </row>
    <row r="27366" spans="24:25">
      <c r="X27366" s="19"/>
      <c r="Y27366" s="20"/>
    </row>
    <row r="27367" spans="24:25">
      <c r="X27367" s="19"/>
      <c r="Y27367" s="20"/>
    </row>
    <row r="27368" spans="24:25">
      <c r="X27368" s="19"/>
      <c r="Y27368" s="20"/>
    </row>
    <row r="27369" spans="24:25">
      <c r="X27369" s="19"/>
      <c r="Y27369" s="20"/>
    </row>
    <row r="27370" spans="24:25">
      <c r="X27370" s="19"/>
      <c r="Y27370" s="20"/>
    </row>
    <row r="27371" spans="24:25">
      <c r="X27371" s="19"/>
      <c r="Y27371" s="20"/>
    </row>
    <row r="27372" spans="24:25">
      <c r="X27372" s="19"/>
      <c r="Y27372" s="20"/>
    </row>
    <row r="27373" spans="24:25">
      <c r="X27373" s="19"/>
      <c r="Y27373" s="20"/>
    </row>
    <row r="27374" spans="24:25">
      <c r="X27374" s="19"/>
      <c r="Y27374" s="20"/>
    </row>
    <row r="27375" spans="24:25">
      <c r="X27375" s="19"/>
      <c r="Y27375" s="20"/>
    </row>
    <row r="27376" spans="24:25">
      <c r="X27376" s="19"/>
      <c r="Y27376" s="20"/>
    </row>
    <row r="27377" spans="24:25">
      <c r="X27377" s="19"/>
      <c r="Y27377" s="20"/>
    </row>
    <row r="27378" spans="24:25">
      <c r="X27378" s="19"/>
      <c r="Y27378" s="20"/>
    </row>
    <row r="27379" spans="24:25">
      <c r="X27379" s="19"/>
      <c r="Y27379" s="20"/>
    </row>
    <row r="27380" spans="24:25">
      <c r="X27380" s="19"/>
      <c r="Y27380" s="20"/>
    </row>
    <row r="27381" spans="24:25">
      <c r="X27381" s="19"/>
      <c r="Y27381" s="20"/>
    </row>
    <row r="27382" spans="24:25">
      <c r="X27382" s="19"/>
      <c r="Y27382" s="20"/>
    </row>
    <row r="27383" spans="24:25">
      <c r="X27383" s="19"/>
      <c r="Y27383" s="20"/>
    </row>
    <row r="27384" spans="24:25">
      <c r="X27384" s="19"/>
      <c r="Y27384" s="20"/>
    </row>
    <row r="27385" spans="24:25">
      <c r="X27385" s="19"/>
      <c r="Y27385" s="20"/>
    </row>
    <row r="27386" spans="24:25">
      <c r="X27386" s="19"/>
      <c r="Y27386" s="20"/>
    </row>
    <row r="27387" spans="24:25">
      <c r="X27387" s="19"/>
      <c r="Y27387" s="20"/>
    </row>
    <row r="27388" spans="24:25">
      <c r="X27388" s="19"/>
      <c r="Y27388" s="20"/>
    </row>
    <row r="27389" spans="24:25">
      <c r="X27389" s="19"/>
      <c r="Y27389" s="20"/>
    </row>
    <row r="27390" spans="24:25">
      <c r="X27390" s="19"/>
      <c r="Y27390" s="20"/>
    </row>
    <row r="27391" spans="24:25">
      <c r="X27391" s="19"/>
      <c r="Y27391" s="20"/>
    </row>
    <row r="27392" spans="24:25">
      <c r="X27392" s="19"/>
      <c r="Y27392" s="20"/>
    </row>
    <row r="27393" spans="24:25">
      <c r="X27393" s="19"/>
      <c r="Y27393" s="20"/>
    </row>
    <row r="27394" spans="24:25">
      <c r="X27394" s="19"/>
      <c r="Y27394" s="20"/>
    </row>
    <row r="27395" spans="24:25">
      <c r="X27395" s="19"/>
      <c r="Y27395" s="20"/>
    </row>
    <row r="27396" spans="24:25">
      <c r="X27396" s="19"/>
      <c r="Y27396" s="20"/>
    </row>
    <row r="27397" spans="24:25">
      <c r="X27397" s="19"/>
      <c r="Y27397" s="20"/>
    </row>
    <row r="27398" spans="24:25">
      <c r="X27398" s="19"/>
      <c r="Y27398" s="20"/>
    </row>
    <row r="27399" spans="24:25">
      <c r="X27399" s="19"/>
      <c r="Y27399" s="20"/>
    </row>
    <row r="27400" spans="24:25">
      <c r="X27400" s="19"/>
      <c r="Y27400" s="20"/>
    </row>
    <row r="27401" spans="24:25">
      <c r="X27401" s="19"/>
      <c r="Y27401" s="20"/>
    </row>
    <row r="27402" spans="24:25">
      <c r="X27402" s="19"/>
      <c r="Y27402" s="20"/>
    </row>
    <row r="27403" spans="24:25">
      <c r="X27403" s="19"/>
      <c r="Y27403" s="20"/>
    </row>
    <row r="27404" spans="24:25">
      <c r="X27404" s="19"/>
      <c r="Y27404" s="20"/>
    </row>
    <row r="27405" spans="24:25">
      <c r="X27405" s="19"/>
      <c r="Y27405" s="20"/>
    </row>
    <row r="27406" spans="24:25">
      <c r="X27406" s="19"/>
      <c r="Y27406" s="20"/>
    </row>
    <row r="27407" spans="24:25">
      <c r="X27407" s="19"/>
      <c r="Y27407" s="20"/>
    </row>
    <row r="27408" spans="24:25">
      <c r="X27408" s="19"/>
      <c r="Y27408" s="20"/>
    </row>
    <row r="27409" spans="24:25">
      <c r="X27409" s="19"/>
      <c r="Y27409" s="20"/>
    </row>
    <row r="27410" spans="24:25">
      <c r="X27410" s="19"/>
      <c r="Y27410" s="20"/>
    </row>
    <row r="27411" spans="24:25">
      <c r="X27411" s="19"/>
      <c r="Y27411" s="20"/>
    </row>
    <row r="27412" spans="24:25">
      <c r="X27412" s="19"/>
      <c r="Y27412" s="20"/>
    </row>
    <row r="27413" spans="24:25">
      <c r="X27413" s="19"/>
      <c r="Y27413" s="20"/>
    </row>
    <row r="27414" spans="24:25">
      <c r="X27414" s="19"/>
      <c r="Y27414" s="20"/>
    </row>
    <row r="27415" spans="24:25">
      <c r="X27415" s="19"/>
      <c r="Y27415" s="20"/>
    </row>
    <row r="27416" spans="24:25">
      <c r="X27416" s="19"/>
      <c r="Y27416" s="20"/>
    </row>
    <row r="27417" spans="24:25">
      <c r="X27417" s="19"/>
      <c r="Y27417" s="20"/>
    </row>
    <row r="27418" spans="24:25">
      <c r="X27418" s="19"/>
      <c r="Y27418" s="20"/>
    </row>
    <row r="27419" spans="24:25">
      <c r="X27419" s="19"/>
      <c r="Y27419" s="20"/>
    </row>
    <row r="27420" spans="24:25">
      <c r="X27420" s="19"/>
      <c r="Y27420" s="20"/>
    </row>
    <row r="27421" spans="24:25">
      <c r="X27421" s="19"/>
      <c r="Y27421" s="20"/>
    </row>
    <row r="27422" spans="24:25">
      <c r="X27422" s="19"/>
      <c r="Y27422" s="20"/>
    </row>
    <row r="27423" spans="24:25">
      <c r="X27423" s="19"/>
      <c r="Y27423" s="20"/>
    </row>
    <row r="27424" spans="24:25">
      <c r="X27424" s="19"/>
      <c r="Y27424" s="20"/>
    </row>
    <row r="27425" spans="24:25">
      <c r="X27425" s="19"/>
      <c r="Y27425" s="20"/>
    </row>
    <row r="27426" spans="24:25">
      <c r="X27426" s="19"/>
      <c r="Y27426" s="20"/>
    </row>
    <row r="27427" spans="24:25">
      <c r="X27427" s="19"/>
      <c r="Y27427" s="20"/>
    </row>
    <row r="27428" spans="24:25">
      <c r="X27428" s="19"/>
      <c r="Y27428" s="20"/>
    </row>
    <row r="27429" spans="24:25">
      <c r="X27429" s="19"/>
      <c r="Y27429" s="20"/>
    </row>
    <row r="27430" spans="24:25">
      <c r="X27430" s="19"/>
      <c r="Y27430" s="20"/>
    </row>
    <row r="27431" spans="24:25">
      <c r="X27431" s="19"/>
      <c r="Y27431" s="20"/>
    </row>
    <row r="27432" spans="24:25">
      <c r="X27432" s="19"/>
      <c r="Y27432" s="20"/>
    </row>
    <row r="27433" spans="24:25">
      <c r="X27433" s="19"/>
      <c r="Y27433" s="20"/>
    </row>
    <row r="27434" spans="24:25">
      <c r="X27434" s="19"/>
      <c r="Y27434" s="20"/>
    </row>
    <row r="27435" spans="24:25">
      <c r="X27435" s="19"/>
      <c r="Y27435" s="20"/>
    </row>
    <row r="27436" spans="24:25">
      <c r="X27436" s="19"/>
      <c r="Y27436" s="20"/>
    </row>
    <row r="27437" spans="24:25">
      <c r="X27437" s="19"/>
      <c r="Y27437" s="20"/>
    </row>
    <row r="27438" spans="24:25">
      <c r="X27438" s="19"/>
      <c r="Y27438" s="20"/>
    </row>
    <row r="27439" spans="24:25">
      <c r="X27439" s="19"/>
      <c r="Y27439" s="20"/>
    </row>
    <row r="27440" spans="24:25">
      <c r="X27440" s="19"/>
      <c r="Y27440" s="20"/>
    </row>
    <row r="27441" spans="24:25">
      <c r="X27441" s="19"/>
      <c r="Y27441" s="20"/>
    </row>
    <row r="27442" spans="24:25">
      <c r="X27442" s="19"/>
      <c r="Y27442" s="20"/>
    </row>
    <row r="27443" spans="24:25">
      <c r="X27443" s="19"/>
      <c r="Y27443" s="20"/>
    </row>
    <row r="27444" spans="24:25">
      <c r="X27444" s="19"/>
      <c r="Y27444" s="20"/>
    </row>
    <row r="27445" spans="24:25">
      <c r="X27445" s="19"/>
      <c r="Y27445" s="20"/>
    </row>
    <row r="27446" spans="24:25">
      <c r="X27446" s="19"/>
      <c r="Y27446" s="20"/>
    </row>
    <row r="27447" spans="24:25">
      <c r="X27447" s="19"/>
      <c r="Y27447" s="20"/>
    </row>
    <row r="27448" spans="24:25">
      <c r="X27448" s="19"/>
      <c r="Y27448" s="20"/>
    </row>
    <row r="27449" spans="24:25">
      <c r="X27449" s="19"/>
      <c r="Y27449" s="20"/>
    </row>
    <row r="27450" spans="24:25">
      <c r="X27450" s="19"/>
      <c r="Y27450" s="20"/>
    </row>
    <row r="27451" spans="24:25">
      <c r="X27451" s="19"/>
      <c r="Y27451" s="20"/>
    </row>
    <row r="27452" spans="24:25">
      <c r="X27452" s="19"/>
      <c r="Y27452" s="20"/>
    </row>
    <row r="27453" spans="24:25">
      <c r="X27453" s="19"/>
      <c r="Y27453" s="20"/>
    </row>
    <row r="27454" spans="24:25">
      <c r="X27454" s="19"/>
      <c r="Y27454" s="20"/>
    </row>
    <row r="27455" spans="24:25">
      <c r="X27455" s="19"/>
      <c r="Y27455" s="20"/>
    </row>
    <row r="27456" spans="24:25">
      <c r="X27456" s="19"/>
      <c r="Y27456" s="20"/>
    </row>
    <row r="27457" spans="24:25">
      <c r="X27457" s="19"/>
      <c r="Y27457" s="20"/>
    </row>
    <row r="27458" spans="24:25">
      <c r="X27458" s="19"/>
      <c r="Y27458" s="20"/>
    </row>
    <row r="27459" spans="24:25">
      <c r="X27459" s="19"/>
      <c r="Y27459" s="20"/>
    </row>
    <row r="27460" spans="24:25">
      <c r="X27460" s="19"/>
      <c r="Y27460" s="20"/>
    </row>
    <row r="27461" spans="24:25">
      <c r="X27461" s="19"/>
      <c r="Y27461" s="20"/>
    </row>
    <row r="27462" spans="24:25">
      <c r="X27462" s="19"/>
      <c r="Y27462" s="20"/>
    </row>
    <row r="27463" spans="24:25">
      <c r="X27463" s="19"/>
      <c r="Y27463" s="20"/>
    </row>
    <row r="27464" spans="24:25">
      <c r="X27464" s="19"/>
      <c r="Y27464" s="20"/>
    </row>
    <row r="27465" spans="24:25">
      <c r="X27465" s="19"/>
      <c r="Y27465" s="20"/>
    </row>
    <row r="27466" spans="24:25">
      <c r="X27466" s="19"/>
      <c r="Y27466" s="20"/>
    </row>
    <row r="27467" spans="24:25">
      <c r="X27467" s="19"/>
      <c r="Y27467" s="20"/>
    </row>
    <row r="27468" spans="24:25">
      <c r="X27468" s="19"/>
      <c r="Y27468" s="20"/>
    </row>
    <row r="27469" spans="24:25">
      <c r="X27469" s="19"/>
      <c r="Y27469" s="20"/>
    </row>
    <row r="27470" spans="24:25">
      <c r="X27470" s="19"/>
      <c r="Y27470" s="20"/>
    </row>
    <row r="27471" spans="24:25">
      <c r="X27471" s="19"/>
      <c r="Y27471" s="20"/>
    </row>
    <row r="27472" spans="24:25">
      <c r="X27472" s="19"/>
      <c r="Y27472" s="20"/>
    </row>
    <row r="27473" spans="24:25">
      <c r="X27473" s="19"/>
      <c r="Y27473" s="20"/>
    </row>
    <row r="27474" spans="24:25">
      <c r="X27474" s="19"/>
      <c r="Y27474" s="20"/>
    </row>
    <row r="27475" spans="24:25">
      <c r="X27475" s="19"/>
      <c r="Y27475" s="20"/>
    </row>
    <row r="27476" spans="24:25">
      <c r="X27476" s="19"/>
      <c r="Y27476" s="20"/>
    </row>
    <row r="27477" spans="24:25">
      <c r="X27477" s="19"/>
      <c r="Y27477" s="20"/>
    </row>
    <row r="27478" spans="24:25">
      <c r="X27478" s="19"/>
      <c r="Y27478" s="20"/>
    </row>
    <row r="27479" spans="24:25">
      <c r="X27479" s="19"/>
      <c r="Y27479" s="20"/>
    </row>
    <row r="27480" spans="24:25">
      <c r="X27480" s="19"/>
      <c r="Y27480" s="20"/>
    </row>
    <row r="27481" spans="24:25">
      <c r="X27481" s="19"/>
      <c r="Y27481" s="20"/>
    </row>
    <row r="27482" spans="24:25">
      <c r="X27482" s="19"/>
      <c r="Y27482" s="20"/>
    </row>
    <row r="27483" spans="24:25">
      <c r="X27483" s="19"/>
      <c r="Y27483" s="20"/>
    </row>
    <row r="27484" spans="24:25">
      <c r="X27484" s="19"/>
      <c r="Y27484" s="20"/>
    </row>
    <row r="27485" spans="24:25">
      <c r="X27485" s="19"/>
      <c r="Y27485" s="20"/>
    </row>
    <row r="27486" spans="24:25">
      <c r="X27486" s="19"/>
      <c r="Y27486" s="20"/>
    </row>
    <row r="27487" spans="24:25">
      <c r="X27487" s="19"/>
      <c r="Y27487" s="20"/>
    </row>
    <row r="27488" spans="24:25">
      <c r="X27488" s="19"/>
      <c r="Y27488" s="20"/>
    </row>
    <row r="27489" spans="24:25">
      <c r="X27489" s="19"/>
      <c r="Y27489" s="20"/>
    </row>
    <row r="27490" spans="24:25">
      <c r="X27490" s="19"/>
      <c r="Y27490" s="20"/>
    </row>
    <row r="27491" spans="24:25">
      <c r="X27491" s="19"/>
      <c r="Y27491" s="20"/>
    </row>
    <row r="27492" spans="24:25">
      <c r="X27492" s="19"/>
      <c r="Y27492" s="20"/>
    </row>
    <row r="27493" spans="24:25">
      <c r="X27493" s="19"/>
      <c r="Y27493" s="20"/>
    </row>
    <row r="27494" spans="24:25">
      <c r="X27494" s="19"/>
      <c r="Y27494" s="20"/>
    </row>
    <row r="27495" spans="24:25">
      <c r="X27495" s="19"/>
      <c r="Y27495" s="20"/>
    </row>
    <row r="27496" spans="24:25">
      <c r="X27496" s="19"/>
      <c r="Y27496" s="20"/>
    </row>
    <row r="27497" spans="24:25">
      <c r="X27497" s="19"/>
      <c r="Y27497" s="20"/>
    </row>
    <row r="27498" spans="24:25">
      <c r="X27498" s="19"/>
      <c r="Y27498" s="20"/>
    </row>
    <row r="27499" spans="24:25">
      <c r="X27499" s="19"/>
      <c r="Y27499" s="20"/>
    </row>
    <row r="27500" spans="24:25">
      <c r="X27500" s="19"/>
      <c r="Y27500" s="20"/>
    </row>
    <row r="27501" spans="24:25">
      <c r="X27501" s="19"/>
      <c r="Y27501" s="20"/>
    </row>
    <row r="27502" spans="24:25">
      <c r="X27502" s="19"/>
      <c r="Y27502" s="20"/>
    </row>
    <row r="27503" spans="24:25">
      <c r="X27503" s="19"/>
      <c r="Y27503" s="20"/>
    </row>
    <row r="27504" spans="24:25">
      <c r="X27504" s="19"/>
      <c r="Y27504" s="20"/>
    </row>
    <row r="27505" spans="24:25">
      <c r="X27505" s="19"/>
      <c r="Y27505" s="20"/>
    </row>
    <row r="27506" spans="24:25">
      <c r="X27506" s="19"/>
      <c r="Y27506" s="20"/>
    </row>
    <row r="27507" spans="24:25">
      <c r="X27507" s="19"/>
      <c r="Y27507" s="20"/>
    </row>
    <row r="27508" spans="24:25">
      <c r="X27508" s="19"/>
      <c r="Y27508" s="20"/>
    </row>
    <row r="27509" spans="24:25">
      <c r="X27509" s="19"/>
      <c r="Y27509" s="20"/>
    </row>
    <row r="27510" spans="24:25">
      <c r="X27510" s="19"/>
      <c r="Y27510" s="20"/>
    </row>
    <row r="27511" spans="24:25">
      <c r="X27511" s="19"/>
      <c r="Y27511" s="20"/>
    </row>
    <row r="27512" spans="24:25">
      <c r="X27512" s="19"/>
      <c r="Y27512" s="20"/>
    </row>
    <row r="27513" spans="24:25">
      <c r="X27513" s="19"/>
      <c r="Y27513" s="20"/>
    </row>
    <row r="27514" spans="24:25">
      <c r="X27514" s="19"/>
      <c r="Y27514" s="20"/>
    </row>
    <row r="27515" spans="24:25">
      <c r="X27515" s="19"/>
      <c r="Y27515" s="20"/>
    </row>
    <row r="27516" spans="24:25">
      <c r="X27516" s="19"/>
      <c r="Y27516" s="20"/>
    </row>
    <row r="27517" spans="24:25">
      <c r="X27517" s="19"/>
      <c r="Y27517" s="20"/>
    </row>
    <row r="27518" spans="24:25">
      <c r="X27518" s="19"/>
      <c r="Y27518" s="20"/>
    </row>
    <row r="27519" spans="24:25">
      <c r="X27519" s="19"/>
      <c r="Y27519" s="20"/>
    </row>
    <row r="27520" spans="24:25">
      <c r="X27520" s="19"/>
      <c r="Y27520" s="20"/>
    </row>
    <row r="27521" spans="24:25">
      <c r="X27521" s="19"/>
      <c r="Y27521" s="20"/>
    </row>
    <row r="27522" spans="24:25">
      <c r="X27522" s="19"/>
      <c r="Y27522" s="20"/>
    </row>
    <row r="27523" spans="24:25">
      <c r="X27523" s="19"/>
      <c r="Y27523" s="20"/>
    </row>
    <row r="27524" spans="24:25">
      <c r="X27524" s="19"/>
      <c r="Y27524" s="20"/>
    </row>
    <row r="27525" spans="24:25">
      <c r="X27525" s="19"/>
      <c r="Y27525" s="20"/>
    </row>
    <row r="27526" spans="24:25">
      <c r="X27526" s="19"/>
      <c r="Y27526" s="20"/>
    </row>
    <row r="27527" spans="24:25">
      <c r="X27527" s="19"/>
      <c r="Y27527" s="20"/>
    </row>
    <row r="27528" spans="24:25">
      <c r="X27528" s="19"/>
      <c r="Y27528" s="20"/>
    </row>
    <row r="27529" spans="24:25">
      <c r="X27529" s="19"/>
      <c r="Y27529" s="20"/>
    </row>
    <row r="27530" spans="24:25">
      <c r="X27530" s="19"/>
      <c r="Y27530" s="20"/>
    </row>
    <row r="27531" spans="24:25">
      <c r="X27531" s="19"/>
      <c r="Y27531" s="20"/>
    </row>
    <row r="27532" spans="24:25">
      <c r="X27532" s="19"/>
      <c r="Y27532" s="20"/>
    </row>
    <row r="27533" spans="24:25">
      <c r="X27533" s="19"/>
      <c r="Y27533" s="20"/>
    </row>
    <row r="27534" spans="24:25">
      <c r="X27534" s="19"/>
      <c r="Y27534" s="20"/>
    </row>
    <row r="27535" spans="24:25">
      <c r="X27535" s="19"/>
      <c r="Y27535" s="20"/>
    </row>
    <row r="27536" spans="24:25">
      <c r="X27536" s="19"/>
      <c r="Y27536" s="20"/>
    </row>
    <row r="27537" spans="24:25">
      <c r="X27537" s="19"/>
      <c r="Y27537" s="20"/>
    </row>
    <row r="27538" spans="24:25">
      <c r="X27538" s="19"/>
      <c r="Y27538" s="20"/>
    </row>
    <row r="27539" spans="24:25">
      <c r="X27539" s="19"/>
      <c r="Y27539" s="20"/>
    </row>
    <row r="27540" spans="24:25">
      <c r="X27540" s="19"/>
      <c r="Y27540" s="20"/>
    </row>
    <row r="27541" spans="24:25">
      <c r="X27541" s="19"/>
      <c r="Y27541" s="20"/>
    </row>
    <row r="27542" spans="24:25">
      <c r="X27542" s="19"/>
      <c r="Y27542" s="20"/>
    </row>
    <row r="27543" spans="24:25">
      <c r="X27543" s="19"/>
      <c r="Y27543" s="20"/>
    </row>
    <row r="27544" spans="24:25">
      <c r="X27544" s="19"/>
      <c r="Y27544" s="20"/>
    </row>
    <row r="27545" spans="24:25">
      <c r="X27545" s="19"/>
      <c r="Y27545" s="20"/>
    </row>
    <row r="27546" spans="24:25">
      <c r="X27546" s="19"/>
      <c r="Y27546" s="20"/>
    </row>
    <row r="27547" spans="24:25">
      <c r="X27547" s="19"/>
      <c r="Y27547" s="20"/>
    </row>
    <row r="27548" spans="24:25">
      <c r="X27548" s="19"/>
      <c r="Y27548" s="20"/>
    </row>
    <row r="27549" spans="24:25">
      <c r="X27549" s="19"/>
      <c r="Y27549" s="20"/>
    </row>
    <row r="27550" spans="24:25">
      <c r="X27550" s="19"/>
      <c r="Y27550" s="20"/>
    </row>
    <row r="27551" spans="24:25">
      <c r="X27551" s="19"/>
      <c r="Y27551" s="20"/>
    </row>
    <row r="27552" spans="24:25">
      <c r="X27552" s="19"/>
      <c r="Y27552" s="20"/>
    </row>
    <row r="27553" spans="24:25">
      <c r="X27553" s="19"/>
      <c r="Y27553" s="20"/>
    </row>
    <row r="27554" spans="24:25">
      <c r="X27554" s="19"/>
      <c r="Y27554" s="20"/>
    </row>
    <row r="27555" spans="24:25">
      <c r="X27555" s="19"/>
      <c r="Y27555" s="20"/>
    </row>
    <row r="27556" spans="24:25">
      <c r="X27556" s="19"/>
      <c r="Y27556" s="20"/>
    </row>
    <row r="27557" spans="24:25">
      <c r="X27557" s="19"/>
      <c r="Y27557" s="20"/>
    </row>
    <row r="27558" spans="24:25">
      <c r="X27558" s="19"/>
      <c r="Y27558" s="20"/>
    </row>
    <row r="27559" spans="24:25">
      <c r="X27559" s="19"/>
      <c r="Y27559" s="20"/>
    </row>
    <row r="27560" spans="24:25">
      <c r="X27560" s="19"/>
      <c r="Y27560" s="20"/>
    </row>
    <row r="27561" spans="24:25">
      <c r="X27561" s="19"/>
      <c r="Y27561" s="20"/>
    </row>
    <row r="27562" spans="24:25">
      <c r="X27562" s="19"/>
      <c r="Y27562" s="20"/>
    </row>
    <row r="27563" spans="24:25">
      <c r="X27563" s="19"/>
      <c r="Y27563" s="20"/>
    </row>
    <row r="27564" spans="24:25">
      <c r="X27564" s="19"/>
      <c r="Y27564" s="20"/>
    </row>
    <row r="27565" spans="24:25">
      <c r="X27565" s="19"/>
      <c r="Y27565" s="20"/>
    </row>
    <row r="27566" spans="24:25">
      <c r="X27566" s="19"/>
      <c r="Y27566" s="20"/>
    </row>
    <row r="27567" spans="24:25">
      <c r="X27567" s="19"/>
      <c r="Y27567" s="20"/>
    </row>
    <row r="27568" spans="24:25">
      <c r="X27568" s="19"/>
      <c r="Y27568" s="20"/>
    </row>
    <row r="27569" spans="24:25">
      <c r="X27569" s="19"/>
      <c r="Y27569" s="20"/>
    </row>
    <row r="27570" spans="24:25">
      <c r="X27570" s="19"/>
      <c r="Y27570" s="20"/>
    </row>
    <row r="27571" spans="24:25">
      <c r="X27571" s="19"/>
      <c r="Y27571" s="20"/>
    </row>
    <row r="27572" spans="24:25">
      <c r="X27572" s="19"/>
      <c r="Y27572" s="20"/>
    </row>
    <row r="27573" spans="24:25">
      <c r="X27573" s="19"/>
      <c r="Y27573" s="20"/>
    </row>
    <row r="27574" spans="24:25">
      <c r="X27574" s="19"/>
      <c r="Y27574" s="20"/>
    </row>
    <row r="27575" spans="24:25">
      <c r="X27575" s="19"/>
      <c r="Y27575" s="20"/>
    </row>
    <row r="27576" spans="24:25">
      <c r="X27576" s="19"/>
      <c r="Y27576" s="20"/>
    </row>
    <row r="27577" spans="24:25">
      <c r="X27577" s="19"/>
      <c r="Y27577" s="20"/>
    </row>
    <row r="27578" spans="24:25">
      <c r="X27578" s="19"/>
      <c r="Y27578" s="20"/>
    </row>
    <row r="27579" spans="24:25">
      <c r="X27579" s="19"/>
      <c r="Y27579" s="20"/>
    </row>
    <row r="27580" spans="24:25">
      <c r="X27580" s="19"/>
      <c r="Y27580" s="20"/>
    </row>
    <row r="27581" spans="24:25">
      <c r="X27581" s="19"/>
      <c r="Y27581" s="20"/>
    </row>
    <row r="27582" spans="24:25">
      <c r="X27582" s="19"/>
      <c r="Y27582" s="20"/>
    </row>
    <row r="27583" spans="24:25">
      <c r="X27583" s="19"/>
      <c r="Y27583" s="20"/>
    </row>
    <row r="27584" spans="24:25">
      <c r="X27584" s="19"/>
      <c r="Y27584" s="20"/>
    </row>
    <row r="27585" spans="24:25">
      <c r="X27585" s="19"/>
      <c r="Y27585" s="20"/>
    </row>
    <row r="27586" spans="24:25">
      <c r="X27586" s="19"/>
      <c r="Y27586" s="20"/>
    </row>
    <row r="27587" spans="24:25">
      <c r="X27587" s="19"/>
      <c r="Y27587" s="20"/>
    </row>
    <row r="27588" spans="24:25">
      <c r="X27588" s="19"/>
      <c r="Y27588" s="20"/>
    </row>
    <row r="27589" spans="24:25">
      <c r="X27589" s="19"/>
      <c r="Y27589" s="20"/>
    </row>
    <row r="27590" spans="24:25">
      <c r="X27590" s="19"/>
      <c r="Y27590" s="20"/>
    </row>
    <row r="27591" spans="24:25">
      <c r="X27591" s="19"/>
      <c r="Y27591" s="20"/>
    </row>
    <row r="27592" spans="24:25">
      <c r="X27592" s="19"/>
      <c r="Y27592" s="20"/>
    </row>
    <row r="27593" spans="24:25">
      <c r="X27593" s="19"/>
      <c r="Y27593" s="20"/>
    </row>
    <row r="27594" spans="24:25">
      <c r="X27594" s="19"/>
      <c r="Y27594" s="20"/>
    </row>
    <row r="27595" spans="24:25">
      <c r="X27595" s="19"/>
      <c r="Y27595" s="20"/>
    </row>
    <row r="27596" spans="24:25">
      <c r="X27596" s="19"/>
      <c r="Y27596" s="20"/>
    </row>
    <row r="27597" spans="24:25">
      <c r="X27597" s="19"/>
      <c r="Y27597" s="20"/>
    </row>
    <row r="27598" spans="24:25">
      <c r="X27598" s="19"/>
      <c r="Y27598" s="20"/>
    </row>
    <row r="27599" spans="24:25">
      <c r="X27599" s="19"/>
      <c r="Y27599" s="20"/>
    </row>
    <row r="27600" spans="24:25">
      <c r="X27600" s="19"/>
      <c r="Y27600" s="20"/>
    </row>
    <row r="27601" spans="24:25">
      <c r="X27601" s="19"/>
      <c r="Y27601" s="20"/>
    </row>
    <row r="27602" spans="24:25">
      <c r="X27602" s="19"/>
      <c r="Y27602" s="20"/>
    </row>
    <row r="27603" spans="24:25">
      <c r="X27603" s="19"/>
      <c r="Y27603" s="20"/>
    </row>
    <row r="27604" spans="24:25">
      <c r="X27604" s="19"/>
      <c r="Y27604" s="20"/>
    </row>
    <row r="27605" spans="24:25">
      <c r="X27605" s="19"/>
      <c r="Y27605" s="20"/>
    </row>
    <row r="27606" spans="24:25">
      <c r="X27606" s="19"/>
      <c r="Y27606" s="20"/>
    </row>
    <row r="27607" spans="24:25">
      <c r="X27607" s="19"/>
      <c r="Y27607" s="20"/>
    </row>
    <row r="27608" spans="24:25">
      <c r="X27608" s="19"/>
      <c r="Y27608" s="20"/>
    </row>
    <row r="27609" spans="24:25">
      <c r="X27609" s="19"/>
      <c r="Y27609" s="20"/>
    </row>
    <row r="27610" spans="24:25">
      <c r="X27610" s="19"/>
      <c r="Y27610" s="20"/>
    </row>
    <row r="27611" spans="24:25">
      <c r="X27611" s="19"/>
      <c r="Y27611" s="20"/>
    </row>
    <row r="27612" spans="24:25">
      <c r="X27612" s="19"/>
      <c r="Y27612" s="20"/>
    </row>
    <row r="27613" spans="24:25">
      <c r="X27613" s="19"/>
      <c r="Y27613" s="20"/>
    </row>
    <row r="27614" spans="24:25">
      <c r="X27614" s="19"/>
      <c r="Y27614" s="20"/>
    </row>
    <row r="27615" spans="24:25">
      <c r="X27615" s="19"/>
      <c r="Y27615" s="20"/>
    </row>
    <row r="27616" spans="24:25">
      <c r="X27616" s="19"/>
      <c r="Y27616" s="20"/>
    </row>
    <row r="27617" spans="24:25">
      <c r="X27617" s="19"/>
      <c r="Y27617" s="20"/>
    </row>
    <row r="27618" spans="24:25">
      <c r="X27618" s="19"/>
      <c r="Y27618" s="20"/>
    </row>
    <row r="27619" spans="24:25">
      <c r="X27619" s="19"/>
      <c r="Y27619" s="20"/>
    </row>
    <row r="27620" spans="24:25">
      <c r="X27620" s="19"/>
      <c r="Y27620" s="20"/>
    </row>
    <row r="27621" spans="24:25">
      <c r="X27621" s="19"/>
      <c r="Y27621" s="20"/>
    </row>
    <row r="27622" spans="24:25">
      <c r="X27622" s="19"/>
      <c r="Y27622" s="20"/>
    </row>
    <row r="27623" spans="24:25">
      <c r="X27623" s="19"/>
      <c r="Y27623" s="20"/>
    </row>
    <row r="27624" spans="24:25">
      <c r="X27624" s="19"/>
      <c r="Y27624" s="20"/>
    </row>
    <row r="27625" spans="24:25">
      <c r="X27625" s="19"/>
      <c r="Y27625" s="20"/>
    </row>
    <row r="27626" spans="24:25">
      <c r="X27626" s="19"/>
      <c r="Y27626" s="20"/>
    </row>
    <row r="27627" spans="24:25">
      <c r="X27627" s="19"/>
      <c r="Y27627" s="20"/>
    </row>
    <row r="27628" spans="24:25">
      <c r="X27628" s="19"/>
      <c r="Y27628" s="20"/>
    </row>
    <row r="27629" spans="24:25">
      <c r="X27629" s="19"/>
      <c r="Y27629" s="20"/>
    </row>
    <row r="27630" spans="24:25">
      <c r="X27630" s="19"/>
      <c r="Y27630" s="20"/>
    </row>
    <row r="27631" spans="24:25">
      <c r="X27631" s="19"/>
      <c r="Y27631" s="20"/>
    </row>
    <row r="27632" spans="24:25">
      <c r="X27632" s="19"/>
      <c r="Y27632" s="20"/>
    </row>
    <row r="27633" spans="24:25">
      <c r="X27633" s="19"/>
      <c r="Y27633" s="20"/>
    </row>
    <row r="27634" spans="24:25">
      <c r="X27634" s="19"/>
      <c r="Y27634" s="20"/>
    </row>
    <row r="27635" spans="24:25">
      <c r="X27635" s="19"/>
      <c r="Y27635" s="20"/>
    </row>
    <row r="27636" spans="24:25">
      <c r="X27636" s="19"/>
      <c r="Y27636" s="20"/>
    </row>
    <row r="27637" spans="24:25">
      <c r="X27637" s="19"/>
      <c r="Y27637" s="20"/>
    </row>
    <row r="27638" spans="24:25">
      <c r="X27638" s="19"/>
      <c r="Y27638" s="20"/>
    </row>
    <row r="27639" spans="24:25">
      <c r="X27639" s="19"/>
      <c r="Y27639" s="20"/>
    </row>
    <row r="27640" spans="24:25">
      <c r="X27640" s="19"/>
      <c r="Y27640" s="20"/>
    </row>
    <row r="27641" spans="24:25">
      <c r="X27641" s="19"/>
      <c r="Y27641" s="20"/>
    </row>
    <row r="27642" spans="24:25">
      <c r="X27642" s="19"/>
      <c r="Y27642" s="20"/>
    </row>
    <row r="27643" spans="24:25">
      <c r="X27643" s="19"/>
      <c r="Y27643" s="20"/>
    </row>
    <row r="27644" spans="24:25">
      <c r="X27644" s="19"/>
      <c r="Y27644" s="20"/>
    </row>
    <row r="27645" spans="24:25">
      <c r="X27645" s="19"/>
      <c r="Y27645" s="20"/>
    </row>
    <row r="27646" spans="24:25">
      <c r="X27646" s="19"/>
      <c r="Y27646" s="20"/>
    </row>
    <row r="27647" spans="24:25">
      <c r="X27647" s="19"/>
      <c r="Y27647" s="20"/>
    </row>
    <row r="27648" spans="24:25">
      <c r="X27648" s="19"/>
      <c r="Y27648" s="20"/>
    </row>
    <row r="27649" spans="24:25">
      <c r="X27649" s="19"/>
      <c r="Y27649" s="20"/>
    </row>
    <row r="27650" spans="24:25">
      <c r="X27650" s="19"/>
      <c r="Y27650" s="20"/>
    </row>
    <row r="27651" spans="24:25">
      <c r="X27651" s="19"/>
      <c r="Y27651" s="20"/>
    </row>
    <row r="27652" spans="24:25">
      <c r="X27652" s="19"/>
      <c r="Y27652" s="20"/>
    </row>
    <row r="27653" spans="24:25">
      <c r="X27653" s="19"/>
      <c r="Y27653" s="20"/>
    </row>
    <row r="27654" spans="24:25">
      <c r="X27654" s="19"/>
      <c r="Y27654" s="20"/>
    </row>
    <row r="27655" spans="24:25">
      <c r="X27655" s="19"/>
      <c r="Y27655" s="20"/>
    </row>
    <row r="27656" spans="24:25">
      <c r="X27656" s="19"/>
      <c r="Y27656" s="20"/>
    </row>
    <row r="27657" spans="24:25">
      <c r="X27657" s="19"/>
      <c r="Y27657" s="20"/>
    </row>
    <row r="27658" spans="24:25">
      <c r="X27658" s="19"/>
      <c r="Y27658" s="20"/>
    </row>
    <row r="27659" spans="24:25">
      <c r="X27659" s="19"/>
      <c r="Y27659" s="20"/>
    </row>
    <row r="27660" spans="24:25">
      <c r="X27660" s="19"/>
      <c r="Y27660" s="20"/>
    </row>
    <row r="27661" spans="24:25">
      <c r="X27661" s="19"/>
      <c r="Y27661" s="20"/>
    </row>
    <row r="27662" spans="24:25">
      <c r="X27662" s="19"/>
      <c r="Y27662" s="20"/>
    </row>
    <row r="27663" spans="24:25">
      <c r="X27663" s="19"/>
      <c r="Y27663" s="20"/>
    </row>
    <row r="27664" spans="24:25">
      <c r="X27664" s="19"/>
      <c r="Y27664" s="20"/>
    </row>
    <row r="27665" spans="24:25">
      <c r="X27665" s="19"/>
      <c r="Y27665" s="20"/>
    </row>
    <row r="27666" spans="24:25">
      <c r="X27666" s="19"/>
      <c r="Y27666" s="20"/>
    </row>
    <row r="27667" spans="24:25">
      <c r="X27667" s="19"/>
      <c r="Y27667" s="20"/>
    </row>
    <row r="27668" spans="24:25">
      <c r="X27668" s="19"/>
      <c r="Y27668" s="20"/>
    </row>
    <row r="27669" spans="24:25">
      <c r="X27669" s="19"/>
      <c r="Y27669" s="20"/>
    </row>
    <row r="27670" spans="24:25">
      <c r="X27670" s="19"/>
      <c r="Y27670" s="20"/>
    </row>
    <row r="27671" spans="24:25">
      <c r="X27671" s="19"/>
      <c r="Y27671" s="20"/>
    </row>
    <row r="27672" spans="24:25">
      <c r="X27672" s="19"/>
      <c r="Y27672" s="20"/>
    </row>
    <row r="27673" spans="24:25">
      <c r="X27673" s="19"/>
      <c r="Y27673" s="20"/>
    </row>
    <row r="27674" spans="24:25">
      <c r="X27674" s="19"/>
      <c r="Y27674" s="20"/>
    </row>
    <row r="27675" spans="24:25">
      <c r="X27675" s="19"/>
      <c r="Y27675" s="20"/>
    </row>
    <row r="27676" spans="24:25">
      <c r="X27676" s="19"/>
      <c r="Y27676" s="20"/>
    </row>
    <row r="27677" spans="24:25">
      <c r="X27677" s="19"/>
      <c r="Y27677" s="20"/>
    </row>
    <row r="27678" spans="24:25">
      <c r="X27678" s="19"/>
      <c r="Y27678" s="20"/>
    </row>
    <row r="27679" spans="24:25">
      <c r="X27679" s="19"/>
      <c r="Y27679" s="20"/>
    </row>
    <row r="27680" spans="24:25">
      <c r="X27680" s="19"/>
      <c r="Y27680" s="20"/>
    </row>
    <row r="27681" spans="24:25">
      <c r="X27681" s="19"/>
      <c r="Y27681" s="20"/>
    </row>
    <row r="27682" spans="24:25">
      <c r="X27682" s="19"/>
      <c r="Y27682" s="20"/>
    </row>
    <row r="27683" spans="24:25">
      <c r="X27683" s="19"/>
      <c r="Y27683" s="20"/>
    </row>
    <row r="27684" spans="24:25">
      <c r="X27684" s="19"/>
      <c r="Y27684" s="20"/>
    </row>
    <row r="27685" spans="24:25">
      <c r="X27685" s="19"/>
      <c r="Y27685" s="20"/>
    </row>
    <row r="27686" spans="24:25">
      <c r="X27686" s="19"/>
      <c r="Y27686" s="20"/>
    </row>
    <row r="27687" spans="24:25">
      <c r="X27687" s="19"/>
      <c r="Y27687" s="20"/>
    </row>
    <row r="27688" spans="24:25">
      <c r="X27688" s="19"/>
      <c r="Y27688" s="20"/>
    </row>
    <row r="27689" spans="24:25">
      <c r="X27689" s="19"/>
      <c r="Y27689" s="20"/>
    </row>
    <row r="27690" spans="24:25">
      <c r="X27690" s="19"/>
      <c r="Y27690" s="20"/>
    </row>
    <row r="27691" spans="24:25">
      <c r="X27691" s="19"/>
      <c r="Y27691" s="20"/>
    </row>
    <row r="27692" spans="24:25">
      <c r="X27692" s="19"/>
      <c r="Y27692" s="20"/>
    </row>
    <row r="27693" spans="24:25">
      <c r="X27693" s="19"/>
      <c r="Y27693" s="20"/>
    </row>
    <row r="27694" spans="24:25">
      <c r="X27694" s="19"/>
      <c r="Y27694" s="20"/>
    </row>
    <row r="27695" spans="24:25">
      <c r="X27695" s="19"/>
      <c r="Y27695" s="20"/>
    </row>
    <row r="27696" spans="24:25">
      <c r="X27696" s="19"/>
      <c r="Y27696" s="20"/>
    </row>
    <row r="27697" spans="24:25">
      <c r="X27697" s="19"/>
      <c r="Y27697" s="20"/>
    </row>
    <row r="27698" spans="24:25">
      <c r="X27698" s="19"/>
      <c r="Y27698" s="20"/>
    </row>
    <row r="27699" spans="24:25">
      <c r="X27699" s="19"/>
      <c r="Y27699" s="20"/>
    </row>
    <row r="27700" spans="24:25">
      <c r="X27700" s="19"/>
      <c r="Y27700" s="20"/>
    </row>
    <row r="27701" spans="24:25">
      <c r="X27701" s="19"/>
      <c r="Y27701" s="20"/>
    </row>
    <row r="27702" spans="24:25">
      <c r="X27702" s="19"/>
      <c r="Y27702" s="20"/>
    </row>
    <row r="27703" spans="24:25">
      <c r="X27703" s="19"/>
      <c r="Y27703" s="20"/>
    </row>
    <row r="27704" spans="24:25">
      <c r="X27704" s="19"/>
      <c r="Y27704" s="20"/>
    </row>
    <row r="27705" spans="24:25">
      <c r="X27705" s="19"/>
      <c r="Y27705" s="20"/>
    </row>
    <row r="27706" spans="24:25">
      <c r="X27706" s="19"/>
      <c r="Y27706" s="20"/>
    </row>
    <row r="27707" spans="24:25">
      <c r="X27707" s="19"/>
      <c r="Y27707" s="20"/>
    </row>
    <row r="27708" spans="24:25">
      <c r="X27708" s="19"/>
      <c r="Y27708" s="20"/>
    </row>
    <row r="27709" spans="24:25">
      <c r="X27709" s="19"/>
      <c r="Y27709" s="20"/>
    </row>
    <row r="27710" spans="24:25">
      <c r="X27710" s="19"/>
      <c r="Y27710" s="20"/>
    </row>
    <row r="27711" spans="24:25">
      <c r="X27711" s="19"/>
      <c r="Y27711" s="20"/>
    </row>
    <row r="27712" spans="24:25">
      <c r="X27712" s="19"/>
      <c r="Y27712" s="20"/>
    </row>
    <row r="27713" spans="24:25">
      <c r="X27713" s="19"/>
      <c r="Y27713" s="20"/>
    </row>
    <row r="27714" spans="24:25">
      <c r="X27714" s="19"/>
      <c r="Y27714" s="20"/>
    </row>
    <row r="27715" spans="24:25">
      <c r="X27715" s="19"/>
      <c r="Y27715" s="20"/>
    </row>
    <row r="27716" spans="24:25">
      <c r="X27716" s="19"/>
      <c r="Y27716" s="20"/>
    </row>
    <row r="27717" spans="24:25">
      <c r="X27717" s="19"/>
      <c r="Y27717" s="20"/>
    </row>
    <row r="27718" spans="24:25">
      <c r="X27718" s="19"/>
      <c r="Y27718" s="20"/>
    </row>
    <row r="27719" spans="24:25">
      <c r="X27719" s="19"/>
      <c r="Y27719" s="20"/>
    </row>
    <row r="27720" spans="24:25">
      <c r="X27720" s="19"/>
      <c r="Y27720" s="20"/>
    </row>
    <row r="27721" spans="24:25">
      <c r="X27721" s="19"/>
      <c r="Y27721" s="20"/>
    </row>
    <row r="27722" spans="24:25">
      <c r="X27722" s="19"/>
      <c r="Y27722" s="20"/>
    </row>
    <row r="27723" spans="24:25">
      <c r="X27723" s="19"/>
      <c r="Y27723" s="20"/>
    </row>
    <row r="27724" spans="24:25">
      <c r="X27724" s="19"/>
      <c r="Y27724" s="20"/>
    </row>
    <row r="27725" spans="24:25">
      <c r="X27725" s="19"/>
      <c r="Y27725" s="20"/>
    </row>
    <row r="27726" spans="24:25">
      <c r="X27726" s="19"/>
      <c r="Y27726" s="20"/>
    </row>
    <row r="27727" spans="24:25">
      <c r="X27727" s="19"/>
      <c r="Y27727" s="20"/>
    </row>
    <row r="27728" spans="24:25">
      <c r="X27728" s="19"/>
      <c r="Y27728" s="20"/>
    </row>
    <row r="27729" spans="24:25">
      <c r="X27729" s="19"/>
      <c r="Y27729" s="20"/>
    </row>
    <row r="27730" spans="24:25">
      <c r="X27730" s="19"/>
      <c r="Y27730" s="20"/>
    </row>
    <row r="27731" spans="24:25">
      <c r="X27731" s="19"/>
      <c r="Y27731" s="20"/>
    </row>
    <row r="27732" spans="24:25">
      <c r="X27732" s="19"/>
      <c r="Y27732" s="20"/>
    </row>
    <row r="27733" spans="24:25">
      <c r="X27733" s="19"/>
      <c r="Y27733" s="20"/>
    </row>
    <row r="27734" spans="24:25">
      <c r="X27734" s="19"/>
      <c r="Y27734" s="20"/>
    </row>
    <row r="27735" spans="24:25">
      <c r="X27735" s="19"/>
      <c r="Y27735" s="20"/>
    </row>
    <row r="27736" spans="24:25">
      <c r="X27736" s="19"/>
      <c r="Y27736" s="20"/>
    </row>
    <row r="27737" spans="24:25">
      <c r="X27737" s="19"/>
      <c r="Y27737" s="20"/>
    </row>
    <row r="27738" spans="24:25">
      <c r="X27738" s="19"/>
      <c r="Y27738" s="20"/>
    </row>
    <row r="27739" spans="24:25">
      <c r="X27739" s="19"/>
      <c r="Y27739" s="20"/>
    </row>
    <row r="27740" spans="24:25">
      <c r="X27740" s="19"/>
      <c r="Y27740" s="20"/>
    </row>
    <row r="27741" spans="24:25">
      <c r="X27741" s="19"/>
      <c r="Y27741" s="20"/>
    </row>
    <row r="27742" spans="24:25">
      <c r="X27742" s="19"/>
      <c r="Y27742" s="20"/>
    </row>
    <row r="27743" spans="24:25">
      <c r="X27743" s="19"/>
      <c r="Y27743" s="20"/>
    </row>
    <row r="27744" spans="24:25">
      <c r="X27744" s="19"/>
      <c r="Y27744" s="20"/>
    </row>
    <row r="27745" spans="24:25">
      <c r="X27745" s="19"/>
      <c r="Y27745" s="20"/>
    </row>
    <row r="27746" spans="24:25">
      <c r="X27746" s="19"/>
      <c r="Y27746" s="20"/>
    </row>
    <row r="27747" spans="24:25">
      <c r="X27747" s="19"/>
      <c r="Y27747" s="20"/>
    </row>
    <row r="27748" spans="24:25">
      <c r="X27748" s="19"/>
      <c r="Y27748" s="20"/>
    </row>
    <row r="27749" spans="24:25">
      <c r="X27749" s="19"/>
      <c r="Y27749" s="20"/>
    </row>
    <row r="27750" spans="24:25">
      <c r="X27750" s="19"/>
      <c r="Y27750" s="20"/>
    </row>
    <row r="27751" spans="24:25">
      <c r="X27751" s="19"/>
      <c r="Y27751" s="20"/>
    </row>
    <row r="27752" spans="24:25">
      <c r="X27752" s="19"/>
      <c r="Y27752" s="20"/>
    </row>
    <row r="27753" spans="24:25">
      <c r="X27753" s="19"/>
      <c r="Y27753" s="20"/>
    </row>
    <row r="27754" spans="24:25">
      <c r="X27754" s="19"/>
      <c r="Y27754" s="20"/>
    </row>
    <row r="27755" spans="24:25">
      <c r="X27755" s="19"/>
      <c r="Y27755" s="20"/>
    </row>
    <row r="27756" spans="24:25">
      <c r="X27756" s="19"/>
      <c r="Y27756" s="20"/>
    </row>
    <row r="27757" spans="24:25">
      <c r="X27757" s="19"/>
      <c r="Y27757" s="20"/>
    </row>
    <row r="27758" spans="24:25">
      <c r="X27758" s="19"/>
      <c r="Y27758" s="20"/>
    </row>
    <row r="27759" spans="24:25">
      <c r="X27759" s="19"/>
      <c r="Y27759" s="20"/>
    </row>
    <row r="27760" spans="24:25">
      <c r="X27760" s="19"/>
      <c r="Y27760" s="20"/>
    </row>
    <row r="27761" spans="24:25">
      <c r="X27761" s="19"/>
      <c r="Y27761" s="20"/>
    </row>
    <row r="27762" spans="24:25">
      <c r="X27762" s="19"/>
      <c r="Y27762" s="20"/>
    </row>
    <row r="27763" spans="24:25">
      <c r="X27763" s="19"/>
      <c r="Y27763" s="20"/>
    </row>
    <row r="27764" spans="24:25">
      <c r="X27764" s="19"/>
      <c r="Y27764" s="20"/>
    </row>
    <row r="27765" spans="24:25">
      <c r="X27765" s="19"/>
      <c r="Y27765" s="20"/>
    </row>
    <row r="27766" spans="24:25">
      <c r="X27766" s="19"/>
      <c r="Y27766" s="20"/>
    </row>
    <row r="27767" spans="24:25">
      <c r="X27767" s="19"/>
      <c r="Y27767" s="20"/>
    </row>
    <row r="27768" spans="24:25">
      <c r="X27768" s="19"/>
      <c r="Y27768" s="20"/>
    </row>
    <row r="27769" spans="24:25">
      <c r="X27769" s="19"/>
      <c r="Y27769" s="20"/>
    </row>
    <row r="27770" spans="24:25">
      <c r="X27770" s="19"/>
      <c r="Y27770" s="20"/>
    </row>
    <row r="27771" spans="24:25">
      <c r="X27771" s="19"/>
      <c r="Y27771" s="20"/>
    </row>
    <row r="27772" spans="24:25">
      <c r="X27772" s="19"/>
      <c r="Y27772" s="20"/>
    </row>
    <row r="27773" spans="24:25">
      <c r="X27773" s="19"/>
      <c r="Y27773" s="20"/>
    </row>
    <row r="27774" spans="24:25">
      <c r="X27774" s="19"/>
      <c r="Y27774" s="20"/>
    </row>
    <row r="27775" spans="24:25">
      <c r="X27775" s="19"/>
      <c r="Y27775" s="20"/>
    </row>
    <row r="27776" spans="24:25">
      <c r="X27776" s="19"/>
      <c r="Y27776" s="20"/>
    </row>
    <row r="27777" spans="24:25">
      <c r="X27777" s="19"/>
      <c r="Y27777" s="20"/>
    </row>
    <row r="27778" spans="24:25">
      <c r="X27778" s="19"/>
      <c r="Y27778" s="20"/>
    </row>
    <row r="27779" spans="24:25">
      <c r="X27779" s="19"/>
      <c r="Y27779" s="20"/>
    </row>
    <row r="27780" spans="24:25">
      <c r="X27780" s="19"/>
      <c r="Y27780" s="20"/>
    </row>
    <row r="27781" spans="24:25">
      <c r="X27781" s="19"/>
      <c r="Y27781" s="20"/>
    </row>
    <row r="27782" spans="24:25">
      <c r="X27782" s="19"/>
      <c r="Y27782" s="20"/>
    </row>
    <row r="27783" spans="24:25">
      <c r="X27783" s="19"/>
      <c r="Y27783" s="20"/>
    </row>
    <row r="27784" spans="24:25">
      <c r="X27784" s="19"/>
      <c r="Y27784" s="20"/>
    </row>
    <row r="27785" spans="24:25">
      <c r="X27785" s="19"/>
      <c r="Y27785" s="20"/>
    </row>
    <row r="27786" spans="24:25">
      <c r="X27786" s="19"/>
      <c r="Y27786" s="20"/>
    </row>
    <row r="27787" spans="24:25">
      <c r="X27787" s="19"/>
      <c r="Y27787" s="20"/>
    </row>
    <row r="27788" spans="24:25">
      <c r="X27788" s="19"/>
      <c r="Y27788" s="20"/>
    </row>
    <row r="27789" spans="24:25">
      <c r="X27789" s="19"/>
      <c r="Y27789" s="20"/>
    </row>
    <row r="27790" spans="24:25">
      <c r="X27790" s="19"/>
      <c r="Y27790" s="20"/>
    </row>
    <row r="27791" spans="24:25">
      <c r="X27791" s="19"/>
      <c r="Y27791" s="20"/>
    </row>
    <row r="27792" spans="24:25">
      <c r="X27792" s="19"/>
      <c r="Y27792" s="20"/>
    </row>
    <row r="27793" spans="24:25">
      <c r="X27793" s="19"/>
      <c r="Y27793" s="20"/>
    </row>
    <row r="27794" spans="24:25">
      <c r="X27794" s="19"/>
      <c r="Y27794" s="20"/>
    </row>
    <row r="27795" spans="24:25">
      <c r="X27795" s="19"/>
      <c r="Y27795" s="20"/>
    </row>
    <row r="27796" spans="24:25">
      <c r="X27796" s="19"/>
      <c r="Y27796" s="20"/>
    </row>
    <row r="27797" spans="24:25">
      <c r="X27797" s="19"/>
      <c r="Y27797" s="20"/>
    </row>
    <row r="27798" spans="24:25">
      <c r="X27798" s="19"/>
      <c r="Y27798" s="20"/>
    </row>
    <row r="27799" spans="24:25">
      <c r="X27799" s="19"/>
      <c r="Y27799" s="20"/>
    </row>
    <row r="27800" spans="24:25">
      <c r="X27800" s="19"/>
      <c r="Y27800" s="20"/>
    </row>
    <row r="27801" spans="24:25">
      <c r="X27801" s="19"/>
      <c r="Y27801" s="20"/>
    </row>
    <row r="27802" spans="24:25">
      <c r="X27802" s="19"/>
      <c r="Y27802" s="20"/>
    </row>
    <row r="27803" spans="24:25">
      <c r="X27803" s="19"/>
      <c r="Y27803" s="20"/>
    </row>
    <row r="27804" spans="24:25">
      <c r="X27804" s="19"/>
      <c r="Y27804" s="20"/>
    </row>
    <row r="27805" spans="24:25">
      <c r="X27805" s="19"/>
      <c r="Y27805" s="20"/>
    </row>
    <row r="27806" spans="24:25">
      <c r="X27806" s="19"/>
      <c r="Y27806" s="20"/>
    </row>
    <row r="27807" spans="24:25">
      <c r="X27807" s="19"/>
      <c r="Y27807" s="20"/>
    </row>
    <row r="27808" spans="24:25">
      <c r="X27808" s="19"/>
      <c r="Y27808" s="20"/>
    </row>
    <row r="27809" spans="24:25">
      <c r="X27809" s="19"/>
      <c r="Y27809" s="20"/>
    </row>
    <row r="27810" spans="24:25">
      <c r="X27810" s="19"/>
      <c r="Y27810" s="20"/>
    </row>
    <row r="27811" spans="24:25">
      <c r="X27811" s="19"/>
      <c r="Y27811" s="20"/>
    </row>
    <row r="27812" spans="24:25">
      <c r="X27812" s="19"/>
      <c r="Y27812" s="20"/>
    </row>
    <row r="27813" spans="24:25">
      <c r="X27813" s="19"/>
      <c r="Y27813" s="20"/>
    </row>
    <row r="27814" spans="24:25">
      <c r="X27814" s="19"/>
      <c r="Y27814" s="20"/>
    </row>
    <row r="27815" spans="24:25">
      <c r="X27815" s="19"/>
      <c r="Y27815" s="20"/>
    </row>
    <row r="27816" spans="24:25">
      <c r="X27816" s="19"/>
      <c r="Y27816" s="20"/>
    </row>
    <row r="27817" spans="24:25">
      <c r="X27817" s="19"/>
      <c r="Y27817" s="20"/>
    </row>
    <row r="27818" spans="24:25">
      <c r="X27818" s="19"/>
      <c r="Y27818" s="20"/>
    </row>
    <row r="27819" spans="24:25">
      <c r="X27819" s="19"/>
      <c r="Y27819" s="20"/>
    </row>
    <row r="27820" spans="24:25">
      <c r="X27820" s="19"/>
      <c r="Y27820" s="20"/>
    </row>
    <row r="27821" spans="24:25">
      <c r="X27821" s="19"/>
      <c r="Y27821" s="20"/>
    </row>
    <row r="27822" spans="24:25">
      <c r="X27822" s="19"/>
      <c r="Y27822" s="20"/>
    </row>
    <row r="27823" spans="24:25">
      <c r="X27823" s="19"/>
      <c r="Y27823" s="20"/>
    </row>
    <row r="27824" spans="24:25">
      <c r="X27824" s="19"/>
      <c r="Y27824" s="20"/>
    </row>
    <row r="27825" spans="24:25">
      <c r="X27825" s="19"/>
      <c r="Y27825" s="20"/>
    </row>
    <row r="27826" spans="24:25">
      <c r="X27826" s="19"/>
      <c r="Y27826" s="20"/>
    </row>
    <row r="27827" spans="24:25">
      <c r="X27827" s="19"/>
      <c r="Y27827" s="20"/>
    </row>
    <row r="27828" spans="24:25">
      <c r="X27828" s="19"/>
      <c r="Y27828" s="20"/>
    </row>
    <row r="27829" spans="24:25">
      <c r="X27829" s="19"/>
      <c r="Y27829" s="20"/>
    </row>
    <row r="27830" spans="24:25">
      <c r="X27830" s="19"/>
      <c r="Y27830" s="20"/>
    </row>
    <row r="27831" spans="24:25">
      <c r="X27831" s="19"/>
      <c r="Y27831" s="20"/>
    </row>
    <row r="27832" spans="24:25">
      <c r="X27832" s="19"/>
      <c r="Y27832" s="20"/>
    </row>
    <row r="27833" spans="24:25">
      <c r="X27833" s="19"/>
      <c r="Y27833" s="20"/>
    </row>
    <row r="27834" spans="24:25">
      <c r="X27834" s="19"/>
      <c r="Y27834" s="20"/>
    </row>
    <row r="27835" spans="24:25">
      <c r="X27835" s="19"/>
      <c r="Y27835" s="20"/>
    </row>
    <row r="27836" spans="24:25">
      <c r="X27836" s="19"/>
      <c r="Y27836" s="20"/>
    </row>
    <row r="27837" spans="24:25">
      <c r="X27837" s="19"/>
      <c r="Y27837" s="20"/>
    </row>
    <row r="27838" spans="24:25">
      <c r="X27838" s="19"/>
      <c r="Y27838" s="20"/>
    </row>
    <row r="27839" spans="24:25">
      <c r="X27839" s="19"/>
      <c r="Y27839" s="20"/>
    </row>
    <row r="27840" spans="24:25">
      <c r="X27840" s="19"/>
      <c r="Y27840" s="20"/>
    </row>
    <row r="27841" spans="24:25">
      <c r="X27841" s="19"/>
      <c r="Y27841" s="20"/>
    </row>
    <row r="27842" spans="24:25">
      <c r="X27842" s="19"/>
      <c r="Y27842" s="20"/>
    </row>
    <row r="27843" spans="24:25">
      <c r="X27843" s="19"/>
      <c r="Y27843" s="20"/>
    </row>
    <row r="27844" spans="24:25">
      <c r="X27844" s="19"/>
      <c r="Y27844" s="20"/>
    </row>
    <row r="27845" spans="24:25">
      <c r="X27845" s="19"/>
      <c r="Y27845" s="20"/>
    </row>
    <row r="27846" spans="24:25">
      <c r="X27846" s="19"/>
      <c r="Y27846" s="20"/>
    </row>
    <row r="27847" spans="24:25">
      <c r="X27847" s="19"/>
      <c r="Y27847" s="20"/>
    </row>
    <row r="27848" spans="24:25">
      <c r="X27848" s="19"/>
      <c r="Y27848" s="20"/>
    </row>
    <row r="27849" spans="24:25">
      <c r="X27849" s="19"/>
      <c r="Y27849" s="20"/>
    </row>
    <row r="27850" spans="24:25">
      <c r="X27850" s="19"/>
      <c r="Y27850" s="20"/>
    </row>
    <row r="27851" spans="24:25">
      <c r="X27851" s="19"/>
      <c r="Y27851" s="20"/>
    </row>
    <row r="27852" spans="24:25">
      <c r="X27852" s="19"/>
      <c r="Y27852" s="20"/>
    </row>
    <row r="27853" spans="24:25">
      <c r="X27853" s="19"/>
      <c r="Y27853" s="20"/>
    </row>
    <row r="27854" spans="24:25">
      <c r="X27854" s="19"/>
      <c r="Y27854" s="20"/>
    </row>
    <row r="27855" spans="24:25">
      <c r="X27855" s="19"/>
      <c r="Y27855" s="20"/>
    </row>
    <row r="27856" spans="24:25">
      <c r="X27856" s="19"/>
      <c r="Y27856" s="20"/>
    </row>
    <row r="27857" spans="24:25">
      <c r="X27857" s="19"/>
      <c r="Y27857" s="20"/>
    </row>
    <row r="27858" spans="24:25">
      <c r="X27858" s="19"/>
      <c r="Y27858" s="20"/>
    </row>
    <row r="27859" spans="24:25">
      <c r="X27859" s="19"/>
      <c r="Y27859" s="20"/>
    </row>
    <row r="27860" spans="24:25">
      <c r="X27860" s="19"/>
      <c r="Y27860" s="20"/>
    </row>
    <row r="27861" spans="24:25">
      <c r="X27861" s="19"/>
      <c r="Y27861" s="20"/>
    </row>
    <row r="27862" spans="24:25">
      <c r="X27862" s="19"/>
      <c r="Y27862" s="20"/>
    </row>
    <row r="27863" spans="24:25">
      <c r="X27863" s="19"/>
      <c r="Y27863" s="20"/>
    </row>
    <row r="27864" spans="24:25">
      <c r="X27864" s="19"/>
      <c r="Y27864" s="20"/>
    </row>
    <row r="27865" spans="24:25">
      <c r="X27865" s="19"/>
      <c r="Y27865" s="20"/>
    </row>
    <row r="27866" spans="24:25">
      <c r="X27866" s="19"/>
      <c r="Y27866" s="20"/>
    </row>
    <row r="27867" spans="24:25">
      <c r="X27867" s="19"/>
      <c r="Y27867" s="20"/>
    </row>
    <row r="27868" spans="24:25">
      <c r="X27868" s="19"/>
      <c r="Y27868" s="20"/>
    </row>
    <row r="27869" spans="24:25">
      <c r="X27869" s="19"/>
      <c r="Y27869" s="20"/>
    </row>
    <row r="27870" spans="24:25">
      <c r="X27870" s="19"/>
      <c r="Y27870" s="20"/>
    </row>
    <row r="27871" spans="24:25">
      <c r="X27871" s="19"/>
      <c r="Y27871" s="20"/>
    </row>
    <row r="27872" spans="24:25">
      <c r="X27872" s="19"/>
      <c r="Y27872" s="20"/>
    </row>
    <row r="27873" spans="24:25">
      <c r="X27873" s="19"/>
      <c r="Y27873" s="20"/>
    </row>
    <row r="27874" spans="24:25">
      <c r="X27874" s="19"/>
      <c r="Y27874" s="20"/>
    </row>
    <row r="27875" spans="24:25">
      <c r="X27875" s="19"/>
      <c r="Y27875" s="20"/>
    </row>
    <row r="27876" spans="24:25">
      <c r="X27876" s="19"/>
      <c r="Y27876" s="20"/>
    </row>
    <row r="27877" spans="24:25">
      <c r="X27877" s="19"/>
      <c r="Y27877" s="20"/>
    </row>
    <row r="27878" spans="24:25">
      <c r="X27878" s="19"/>
      <c r="Y27878" s="20"/>
    </row>
    <row r="27879" spans="24:25">
      <c r="X27879" s="19"/>
      <c r="Y27879" s="20"/>
    </row>
    <row r="27880" spans="24:25">
      <c r="X27880" s="19"/>
      <c r="Y27880" s="20"/>
    </row>
    <row r="27881" spans="24:25">
      <c r="X27881" s="19"/>
      <c r="Y27881" s="20"/>
    </row>
    <row r="27882" spans="24:25">
      <c r="X27882" s="19"/>
      <c r="Y27882" s="20"/>
    </row>
    <row r="27883" spans="24:25">
      <c r="X27883" s="19"/>
      <c r="Y27883" s="20"/>
    </row>
    <row r="27884" spans="24:25">
      <c r="X27884" s="19"/>
      <c r="Y27884" s="20"/>
    </row>
    <row r="27885" spans="24:25">
      <c r="X27885" s="19"/>
      <c r="Y27885" s="20"/>
    </row>
    <row r="27886" spans="24:25">
      <c r="X27886" s="19"/>
      <c r="Y27886" s="20"/>
    </row>
    <row r="27887" spans="24:25">
      <c r="X27887" s="19"/>
      <c r="Y27887" s="20"/>
    </row>
    <row r="27888" spans="24:25">
      <c r="X27888" s="19"/>
      <c r="Y27888" s="20"/>
    </row>
    <row r="27889" spans="24:25">
      <c r="X27889" s="19"/>
      <c r="Y27889" s="20"/>
    </row>
    <row r="27890" spans="24:25">
      <c r="X27890" s="19"/>
      <c r="Y27890" s="20"/>
    </row>
    <row r="27891" spans="24:25">
      <c r="X27891" s="19"/>
      <c r="Y27891" s="20"/>
    </row>
    <row r="27892" spans="24:25">
      <c r="X27892" s="19"/>
      <c r="Y27892" s="20"/>
    </row>
    <row r="27893" spans="24:25">
      <c r="X27893" s="19"/>
      <c r="Y27893" s="20"/>
    </row>
    <row r="27894" spans="24:25">
      <c r="X27894" s="19"/>
      <c r="Y27894" s="20"/>
    </row>
    <row r="27895" spans="24:25">
      <c r="X27895" s="19"/>
      <c r="Y27895" s="20"/>
    </row>
    <row r="27896" spans="24:25">
      <c r="X27896" s="19"/>
      <c r="Y27896" s="20"/>
    </row>
    <row r="27897" spans="24:25">
      <c r="X27897" s="19"/>
      <c r="Y27897" s="20"/>
    </row>
    <row r="27898" spans="24:25">
      <c r="X27898" s="19"/>
      <c r="Y27898" s="20"/>
    </row>
    <row r="27899" spans="24:25">
      <c r="X27899" s="19"/>
      <c r="Y27899" s="20"/>
    </row>
    <row r="27900" spans="24:25">
      <c r="X27900" s="19"/>
      <c r="Y27900" s="20"/>
    </row>
    <row r="27901" spans="24:25">
      <c r="X27901" s="19"/>
      <c r="Y27901" s="20"/>
    </row>
    <row r="27902" spans="24:25">
      <c r="X27902" s="19"/>
      <c r="Y27902" s="20"/>
    </row>
    <row r="27903" spans="24:25">
      <c r="X27903" s="19"/>
      <c r="Y27903" s="20"/>
    </row>
    <row r="27904" spans="24:25">
      <c r="X27904" s="19"/>
      <c r="Y27904" s="20"/>
    </row>
    <row r="27905" spans="24:25">
      <c r="X27905" s="19"/>
      <c r="Y27905" s="20"/>
    </row>
    <row r="27906" spans="24:25">
      <c r="X27906" s="19"/>
      <c r="Y27906" s="20"/>
    </row>
    <row r="27907" spans="24:25">
      <c r="X27907" s="19"/>
      <c r="Y27907" s="20"/>
    </row>
    <row r="27908" spans="24:25">
      <c r="X27908" s="19"/>
      <c r="Y27908" s="20"/>
    </row>
    <row r="27909" spans="24:25">
      <c r="X27909" s="19"/>
      <c r="Y27909" s="20"/>
    </row>
    <row r="27910" spans="24:25">
      <c r="X27910" s="19"/>
      <c r="Y27910" s="20"/>
    </row>
    <row r="27911" spans="24:25">
      <c r="X27911" s="19"/>
      <c r="Y27911" s="20"/>
    </row>
    <row r="27912" spans="24:25">
      <c r="X27912" s="19"/>
      <c r="Y27912" s="20"/>
    </row>
    <row r="27913" spans="24:25">
      <c r="X27913" s="19"/>
      <c r="Y27913" s="20"/>
    </row>
    <row r="27914" spans="24:25">
      <c r="X27914" s="19"/>
      <c r="Y27914" s="20"/>
    </row>
    <row r="27915" spans="24:25">
      <c r="X27915" s="19"/>
      <c r="Y27915" s="20"/>
    </row>
    <row r="27916" spans="24:25">
      <c r="X27916" s="19"/>
      <c r="Y27916" s="20"/>
    </row>
    <row r="27917" spans="24:25">
      <c r="X27917" s="19"/>
      <c r="Y27917" s="20"/>
    </row>
    <row r="27918" spans="24:25">
      <c r="X27918" s="19"/>
      <c r="Y27918" s="20"/>
    </row>
    <row r="27919" spans="24:25">
      <c r="X27919" s="19"/>
      <c r="Y27919" s="20"/>
    </row>
    <row r="27920" spans="24:25">
      <c r="X27920" s="19"/>
      <c r="Y27920" s="20"/>
    </row>
    <row r="27921" spans="24:25">
      <c r="X27921" s="19"/>
      <c r="Y27921" s="20"/>
    </row>
    <row r="27922" spans="24:25">
      <c r="X27922" s="19"/>
      <c r="Y27922" s="20"/>
    </row>
    <row r="27923" spans="24:25">
      <c r="X27923" s="19"/>
      <c r="Y27923" s="20"/>
    </row>
    <row r="27924" spans="24:25">
      <c r="X27924" s="19"/>
      <c r="Y27924" s="20"/>
    </row>
    <row r="27925" spans="24:25">
      <c r="X27925" s="19"/>
      <c r="Y27925" s="20"/>
    </row>
    <row r="27926" spans="24:25">
      <c r="X27926" s="19"/>
      <c r="Y27926" s="20"/>
    </row>
    <row r="27927" spans="24:25">
      <c r="X27927" s="19"/>
      <c r="Y27927" s="20"/>
    </row>
    <row r="27928" spans="24:25">
      <c r="X27928" s="19"/>
      <c r="Y27928" s="20"/>
    </row>
    <row r="27929" spans="24:25">
      <c r="X27929" s="19"/>
      <c r="Y27929" s="20"/>
    </row>
    <row r="27930" spans="24:25">
      <c r="X27930" s="19"/>
      <c r="Y27930" s="20"/>
    </row>
    <row r="27931" spans="24:25">
      <c r="X27931" s="19"/>
      <c r="Y27931" s="20"/>
    </row>
    <row r="27932" spans="24:25">
      <c r="X27932" s="19"/>
      <c r="Y27932" s="20"/>
    </row>
    <row r="27933" spans="24:25">
      <c r="X27933" s="19"/>
      <c r="Y27933" s="20"/>
    </row>
    <row r="27934" spans="24:25">
      <c r="X27934" s="19"/>
      <c r="Y27934" s="20"/>
    </row>
    <row r="27935" spans="24:25">
      <c r="X27935" s="19"/>
      <c r="Y27935" s="20"/>
    </row>
    <row r="27936" spans="24:25">
      <c r="X27936" s="19"/>
      <c r="Y27936" s="20"/>
    </row>
    <row r="27937" spans="24:25">
      <c r="X27937" s="19"/>
      <c r="Y27937" s="20"/>
    </row>
    <row r="27938" spans="24:25">
      <c r="X27938" s="19"/>
      <c r="Y27938" s="20"/>
    </row>
    <row r="27939" spans="24:25">
      <c r="X27939" s="19"/>
      <c r="Y27939" s="20"/>
    </row>
    <row r="27940" spans="24:25">
      <c r="X27940" s="19"/>
      <c r="Y27940" s="20"/>
    </row>
    <row r="27941" spans="24:25">
      <c r="X27941" s="19"/>
      <c r="Y27941" s="20"/>
    </row>
    <row r="27942" spans="24:25">
      <c r="X27942" s="19"/>
      <c r="Y27942" s="20"/>
    </row>
    <row r="27943" spans="24:25">
      <c r="X27943" s="19"/>
      <c r="Y27943" s="20"/>
    </row>
    <row r="27944" spans="24:25">
      <c r="X27944" s="19"/>
      <c r="Y27944" s="20"/>
    </row>
    <row r="27945" spans="24:25">
      <c r="X27945" s="19"/>
      <c r="Y27945" s="20"/>
    </row>
    <row r="27946" spans="24:25">
      <c r="X27946" s="19"/>
      <c r="Y27946" s="20"/>
    </row>
    <row r="27947" spans="24:25">
      <c r="X27947" s="19"/>
      <c r="Y27947" s="20"/>
    </row>
    <row r="27948" spans="24:25">
      <c r="X27948" s="19"/>
      <c r="Y27948" s="20"/>
    </row>
    <row r="27949" spans="24:25">
      <c r="X27949" s="19"/>
      <c r="Y27949" s="20"/>
    </row>
    <row r="27950" spans="24:25">
      <c r="X27950" s="19"/>
      <c r="Y27950" s="20"/>
    </row>
    <row r="27951" spans="24:25">
      <c r="X27951" s="19"/>
      <c r="Y27951" s="20"/>
    </row>
    <row r="27952" spans="24:25">
      <c r="X27952" s="19"/>
      <c r="Y27952" s="20"/>
    </row>
    <row r="27953" spans="24:25">
      <c r="X27953" s="19"/>
      <c r="Y27953" s="20"/>
    </row>
    <row r="27954" spans="24:25">
      <c r="X27954" s="19"/>
      <c r="Y27954" s="20"/>
    </row>
    <row r="27955" spans="24:25">
      <c r="X27955" s="19"/>
      <c r="Y27955" s="20"/>
    </row>
    <row r="27956" spans="24:25">
      <c r="X27956" s="19"/>
      <c r="Y27956" s="20"/>
    </row>
    <row r="27957" spans="24:25">
      <c r="X27957" s="19"/>
      <c r="Y27957" s="20"/>
    </row>
    <row r="27958" spans="24:25">
      <c r="X27958" s="19"/>
      <c r="Y27958" s="20"/>
    </row>
    <row r="27959" spans="24:25">
      <c r="X27959" s="19"/>
      <c r="Y27959" s="20"/>
    </row>
    <row r="27960" spans="24:25">
      <c r="X27960" s="19"/>
      <c r="Y27960" s="20"/>
    </row>
    <row r="27961" spans="24:25">
      <c r="X27961" s="19"/>
      <c r="Y27961" s="20"/>
    </row>
    <row r="27962" spans="24:25">
      <c r="X27962" s="19"/>
      <c r="Y27962" s="20"/>
    </row>
    <row r="27963" spans="24:25">
      <c r="X27963" s="19"/>
      <c r="Y27963" s="20"/>
    </row>
    <row r="27964" spans="24:25">
      <c r="X27964" s="19"/>
      <c r="Y27964" s="20"/>
    </row>
    <row r="27965" spans="24:25">
      <c r="X27965" s="19"/>
      <c r="Y27965" s="20"/>
    </row>
    <row r="27966" spans="24:25">
      <c r="X27966" s="19"/>
      <c r="Y27966" s="20"/>
    </row>
    <row r="27967" spans="24:25">
      <c r="X27967" s="19"/>
      <c r="Y27967" s="20"/>
    </row>
    <row r="27968" spans="24:25">
      <c r="X27968" s="19"/>
      <c r="Y27968" s="20"/>
    </row>
    <row r="27969" spans="24:25">
      <c r="X27969" s="19"/>
      <c r="Y27969" s="20"/>
    </row>
    <row r="27970" spans="24:25">
      <c r="X27970" s="19"/>
      <c r="Y27970" s="20"/>
    </row>
    <row r="27971" spans="24:25">
      <c r="X27971" s="19"/>
      <c r="Y27971" s="20"/>
    </row>
    <row r="27972" spans="24:25">
      <c r="X27972" s="19"/>
      <c r="Y27972" s="20"/>
    </row>
    <row r="27973" spans="24:25">
      <c r="X27973" s="19"/>
      <c r="Y27973" s="20"/>
    </row>
    <row r="27974" spans="24:25">
      <c r="X27974" s="19"/>
      <c r="Y27974" s="20"/>
    </row>
    <row r="27975" spans="24:25">
      <c r="X27975" s="19"/>
      <c r="Y27975" s="20"/>
    </row>
    <row r="27976" spans="24:25">
      <c r="X27976" s="19"/>
      <c r="Y27976" s="20"/>
    </row>
    <row r="27977" spans="24:25">
      <c r="X27977" s="19"/>
      <c r="Y27977" s="20"/>
    </row>
    <row r="27978" spans="24:25">
      <c r="X27978" s="19"/>
      <c r="Y27978" s="20"/>
    </row>
    <row r="27979" spans="24:25">
      <c r="X27979" s="19"/>
      <c r="Y27979" s="20"/>
    </row>
    <row r="27980" spans="24:25">
      <c r="X27980" s="19"/>
      <c r="Y27980" s="20"/>
    </row>
    <row r="27981" spans="24:25">
      <c r="X27981" s="19"/>
      <c r="Y27981" s="20"/>
    </row>
    <row r="27982" spans="24:25">
      <c r="X27982" s="19"/>
      <c r="Y27982" s="20"/>
    </row>
    <row r="27983" spans="24:25">
      <c r="X27983" s="19"/>
      <c r="Y27983" s="20"/>
    </row>
    <row r="27984" spans="24:25">
      <c r="X27984" s="19"/>
      <c r="Y27984" s="20"/>
    </row>
    <row r="27985" spans="24:25">
      <c r="X27985" s="19"/>
      <c r="Y27985" s="20"/>
    </row>
    <row r="27986" spans="24:25">
      <c r="X27986" s="19"/>
      <c r="Y27986" s="20"/>
    </row>
    <row r="27987" spans="24:25">
      <c r="X27987" s="19"/>
      <c r="Y27987" s="20"/>
    </row>
    <row r="27988" spans="24:25">
      <c r="X27988" s="19"/>
      <c r="Y27988" s="20"/>
    </row>
    <row r="27989" spans="24:25">
      <c r="X27989" s="19"/>
      <c r="Y27989" s="20"/>
    </row>
    <row r="27990" spans="24:25">
      <c r="X27990" s="19"/>
      <c r="Y27990" s="20"/>
    </row>
    <row r="27991" spans="24:25">
      <c r="X27991" s="19"/>
      <c r="Y27991" s="20"/>
    </row>
    <row r="27992" spans="24:25">
      <c r="X27992" s="19"/>
      <c r="Y27992" s="20"/>
    </row>
    <row r="27993" spans="24:25">
      <c r="X27993" s="19"/>
      <c r="Y27993" s="20"/>
    </row>
    <row r="27994" spans="24:25">
      <c r="X27994" s="19"/>
      <c r="Y27994" s="20"/>
    </row>
    <row r="27995" spans="24:25">
      <c r="X27995" s="19"/>
      <c r="Y27995" s="20"/>
    </row>
    <row r="27996" spans="24:25">
      <c r="X27996" s="19"/>
      <c r="Y27996" s="20"/>
    </row>
    <row r="27997" spans="24:25">
      <c r="X27997" s="19"/>
      <c r="Y27997" s="20"/>
    </row>
    <row r="27998" spans="24:25">
      <c r="X27998" s="19"/>
      <c r="Y27998" s="20"/>
    </row>
    <row r="27999" spans="24:25">
      <c r="X27999" s="19"/>
      <c r="Y27999" s="20"/>
    </row>
    <row r="28000" spans="24:25">
      <c r="X28000" s="19"/>
      <c r="Y28000" s="20"/>
    </row>
    <row r="28001" spans="24:25">
      <c r="X28001" s="19"/>
      <c r="Y28001" s="20"/>
    </row>
    <row r="28002" spans="24:25">
      <c r="X28002" s="19"/>
      <c r="Y28002" s="20"/>
    </row>
    <row r="28003" spans="24:25">
      <c r="X28003" s="19"/>
      <c r="Y28003" s="20"/>
    </row>
    <row r="28004" spans="24:25">
      <c r="X28004" s="19"/>
      <c r="Y28004" s="20"/>
    </row>
    <row r="28005" spans="24:25">
      <c r="X28005" s="19"/>
      <c r="Y28005" s="20"/>
    </row>
    <row r="28006" spans="24:25">
      <c r="X28006" s="19"/>
      <c r="Y28006" s="20"/>
    </row>
    <row r="28007" spans="24:25">
      <c r="X28007" s="19"/>
      <c r="Y28007" s="20"/>
    </row>
    <row r="28008" spans="24:25">
      <c r="X28008" s="19"/>
      <c r="Y28008" s="20"/>
    </row>
    <row r="28009" spans="24:25">
      <c r="X28009" s="19"/>
      <c r="Y28009" s="20"/>
    </row>
    <row r="28010" spans="24:25">
      <c r="X28010" s="19"/>
      <c r="Y28010" s="20"/>
    </row>
    <row r="28011" spans="24:25">
      <c r="X28011" s="19"/>
      <c r="Y28011" s="20"/>
    </row>
    <row r="28012" spans="24:25">
      <c r="X28012" s="19"/>
      <c r="Y28012" s="20"/>
    </row>
    <row r="28013" spans="24:25">
      <c r="X28013" s="19"/>
      <c r="Y28013" s="20"/>
    </row>
    <row r="28014" spans="24:25">
      <c r="X28014" s="19"/>
      <c r="Y28014" s="20"/>
    </row>
    <row r="28015" spans="24:25">
      <c r="X28015" s="19"/>
      <c r="Y28015" s="20"/>
    </row>
    <row r="28016" spans="24:25">
      <c r="X28016" s="19"/>
      <c r="Y28016" s="20"/>
    </row>
    <row r="28017" spans="24:25">
      <c r="X28017" s="19"/>
      <c r="Y28017" s="20"/>
    </row>
    <row r="28018" spans="24:25">
      <c r="X28018" s="19"/>
      <c r="Y28018" s="20"/>
    </row>
    <row r="28019" spans="24:25">
      <c r="X28019" s="19"/>
      <c r="Y28019" s="20"/>
    </row>
    <row r="28020" spans="24:25">
      <c r="X28020" s="19"/>
      <c r="Y28020" s="20"/>
    </row>
    <row r="28021" spans="24:25">
      <c r="X28021" s="19"/>
      <c r="Y28021" s="20"/>
    </row>
    <row r="28022" spans="24:25">
      <c r="X28022" s="19"/>
      <c r="Y28022" s="20"/>
    </row>
    <row r="28023" spans="24:25">
      <c r="X28023" s="19"/>
      <c r="Y28023" s="20"/>
    </row>
    <row r="28024" spans="24:25">
      <c r="X28024" s="19"/>
      <c r="Y28024" s="20"/>
    </row>
    <row r="28025" spans="24:25">
      <c r="X28025" s="19"/>
      <c r="Y28025" s="20"/>
    </row>
    <row r="28026" spans="24:25">
      <c r="X28026" s="19"/>
      <c r="Y28026" s="20"/>
    </row>
    <row r="28027" spans="24:25">
      <c r="X28027" s="19"/>
      <c r="Y28027" s="20"/>
    </row>
    <row r="28028" spans="24:25">
      <c r="X28028" s="19"/>
      <c r="Y28028" s="20"/>
    </row>
    <row r="28029" spans="24:25">
      <c r="X28029" s="19"/>
      <c r="Y28029" s="20"/>
    </row>
    <row r="28030" spans="24:25">
      <c r="X28030" s="19"/>
      <c r="Y28030" s="20"/>
    </row>
    <row r="28031" spans="24:25">
      <c r="X28031" s="19"/>
      <c r="Y28031" s="20"/>
    </row>
    <row r="28032" spans="24:25">
      <c r="X28032" s="19"/>
      <c r="Y28032" s="20"/>
    </row>
    <row r="28033" spans="24:25">
      <c r="X28033" s="19"/>
      <c r="Y28033" s="20"/>
    </row>
    <row r="28034" spans="24:25">
      <c r="X28034" s="19"/>
      <c r="Y28034" s="20"/>
    </row>
    <row r="28035" spans="24:25">
      <c r="X28035" s="19"/>
      <c r="Y28035" s="20"/>
    </row>
    <row r="28036" spans="24:25">
      <c r="X28036" s="19"/>
      <c r="Y28036" s="20"/>
    </row>
    <row r="28037" spans="24:25">
      <c r="X28037" s="19"/>
      <c r="Y28037" s="20"/>
    </row>
    <row r="28038" spans="24:25">
      <c r="X28038" s="19"/>
      <c r="Y28038" s="20"/>
    </row>
    <row r="28039" spans="24:25">
      <c r="X28039" s="19"/>
      <c r="Y28039" s="20"/>
    </row>
    <row r="28040" spans="24:25">
      <c r="X28040" s="19"/>
      <c r="Y28040" s="20"/>
    </row>
    <row r="28041" spans="24:25">
      <c r="X28041" s="19"/>
      <c r="Y28041" s="20"/>
    </row>
    <row r="28042" spans="24:25">
      <c r="X28042" s="19"/>
      <c r="Y28042" s="20"/>
    </row>
    <row r="28043" spans="24:25">
      <c r="X28043" s="19"/>
      <c r="Y28043" s="20"/>
    </row>
    <row r="28044" spans="24:25">
      <c r="X28044" s="19"/>
      <c r="Y28044" s="20"/>
    </row>
    <row r="28045" spans="24:25">
      <c r="X28045" s="19"/>
      <c r="Y28045" s="20"/>
    </row>
    <row r="28046" spans="24:25">
      <c r="X28046" s="19"/>
      <c r="Y28046" s="20"/>
    </row>
    <row r="28047" spans="24:25">
      <c r="X28047" s="19"/>
      <c r="Y28047" s="20"/>
    </row>
    <row r="28048" spans="24:25">
      <c r="X28048" s="19"/>
      <c r="Y28048" s="20"/>
    </row>
    <row r="28049" spans="24:25">
      <c r="X28049" s="19"/>
      <c r="Y28049" s="20"/>
    </row>
    <row r="28050" spans="24:25">
      <c r="X28050" s="19"/>
      <c r="Y28050" s="20"/>
    </row>
    <row r="28051" spans="24:25">
      <c r="X28051" s="19"/>
      <c r="Y28051" s="20"/>
    </row>
    <row r="28052" spans="24:25">
      <c r="X28052" s="19"/>
      <c r="Y28052" s="20"/>
    </row>
    <row r="28053" spans="24:25">
      <c r="X28053" s="19"/>
      <c r="Y28053" s="20"/>
    </row>
    <row r="28054" spans="24:25">
      <c r="X28054" s="19"/>
      <c r="Y28054" s="20"/>
    </row>
    <row r="28055" spans="24:25">
      <c r="X28055" s="19"/>
      <c r="Y28055" s="20"/>
    </row>
    <row r="28056" spans="24:25">
      <c r="X28056" s="19"/>
      <c r="Y28056" s="20"/>
    </row>
    <row r="28057" spans="24:25">
      <c r="X28057" s="19"/>
      <c r="Y28057" s="20"/>
    </row>
    <row r="28058" spans="24:25">
      <c r="X28058" s="19"/>
      <c r="Y28058" s="20"/>
    </row>
    <row r="28059" spans="24:25">
      <c r="X28059" s="19"/>
      <c r="Y28059" s="20"/>
    </row>
    <row r="28060" spans="24:25">
      <c r="X28060" s="19"/>
      <c r="Y28060" s="20"/>
    </row>
    <row r="28061" spans="24:25">
      <c r="X28061" s="19"/>
      <c r="Y28061" s="20"/>
    </row>
    <row r="28062" spans="24:25">
      <c r="X28062" s="19"/>
      <c r="Y28062" s="20"/>
    </row>
    <row r="28063" spans="24:25">
      <c r="X28063" s="19"/>
      <c r="Y28063" s="20"/>
    </row>
    <row r="28064" spans="24:25">
      <c r="X28064" s="19"/>
      <c r="Y28064" s="20"/>
    </row>
    <row r="28065" spans="24:25">
      <c r="X28065" s="19"/>
      <c r="Y28065" s="20"/>
    </row>
    <row r="28066" spans="24:25">
      <c r="X28066" s="19"/>
      <c r="Y28066" s="20"/>
    </row>
    <row r="28067" spans="24:25">
      <c r="X28067" s="19"/>
      <c r="Y28067" s="20"/>
    </row>
    <row r="28068" spans="24:25">
      <c r="X28068" s="19"/>
      <c r="Y28068" s="20"/>
    </row>
    <row r="28069" spans="24:25">
      <c r="X28069" s="19"/>
      <c r="Y28069" s="20"/>
    </row>
    <row r="28070" spans="24:25">
      <c r="X28070" s="19"/>
      <c r="Y28070" s="20"/>
    </row>
    <row r="28071" spans="24:25">
      <c r="X28071" s="19"/>
      <c r="Y28071" s="20"/>
    </row>
    <row r="28072" spans="24:25">
      <c r="X28072" s="19"/>
      <c r="Y28072" s="20"/>
    </row>
    <row r="28073" spans="24:25">
      <c r="X28073" s="19"/>
      <c r="Y28073" s="20"/>
    </row>
    <row r="28074" spans="24:25">
      <c r="X28074" s="19"/>
      <c r="Y28074" s="20"/>
    </row>
    <row r="28075" spans="24:25">
      <c r="X28075" s="19"/>
      <c r="Y28075" s="20"/>
    </row>
    <row r="28076" spans="24:25">
      <c r="X28076" s="19"/>
      <c r="Y28076" s="20"/>
    </row>
    <row r="28077" spans="24:25">
      <c r="X28077" s="19"/>
      <c r="Y28077" s="20"/>
    </row>
    <row r="28078" spans="24:25">
      <c r="X28078" s="19"/>
      <c r="Y28078" s="20"/>
    </row>
    <row r="28079" spans="24:25">
      <c r="X28079" s="19"/>
      <c r="Y28079" s="20"/>
    </row>
    <row r="28080" spans="24:25">
      <c r="X28080" s="19"/>
      <c r="Y28080" s="20"/>
    </row>
    <row r="28081" spans="24:25">
      <c r="X28081" s="19"/>
      <c r="Y28081" s="20"/>
    </row>
    <row r="28082" spans="24:25">
      <c r="X28082" s="19"/>
      <c r="Y28082" s="20"/>
    </row>
    <row r="28083" spans="24:25">
      <c r="X28083" s="19"/>
      <c r="Y28083" s="20"/>
    </row>
    <row r="28084" spans="24:25">
      <c r="X28084" s="19"/>
      <c r="Y28084" s="20"/>
    </row>
    <row r="28085" spans="24:25">
      <c r="X28085" s="19"/>
      <c r="Y28085" s="20"/>
    </row>
    <row r="28086" spans="24:25">
      <c r="X28086" s="19"/>
      <c r="Y28086" s="20"/>
    </row>
    <row r="28087" spans="24:25">
      <c r="X28087" s="19"/>
      <c r="Y28087" s="20"/>
    </row>
    <row r="28088" spans="24:25">
      <c r="X28088" s="19"/>
      <c r="Y28088" s="20"/>
    </row>
    <row r="28089" spans="24:25">
      <c r="X28089" s="19"/>
      <c r="Y28089" s="20"/>
    </row>
    <row r="28090" spans="24:25">
      <c r="X28090" s="19"/>
      <c r="Y28090" s="20"/>
    </row>
    <row r="28091" spans="24:25">
      <c r="X28091" s="19"/>
      <c r="Y28091" s="20"/>
    </row>
    <row r="28092" spans="24:25">
      <c r="X28092" s="19"/>
      <c r="Y28092" s="20"/>
    </row>
    <row r="28093" spans="24:25">
      <c r="X28093" s="19"/>
      <c r="Y28093" s="20"/>
    </row>
    <row r="28094" spans="24:25">
      <c r="X28094" s="19"/>
      <c r="Y28094" s="20"/>
    </row>
    <row r="28095" spans="24:25">
      <c r="X28095" s="19"/>
      <c r="Y28095" s="20"/>
    </row>
    <row r="28096" spans="24:25">
      <c r="X28096" s="19"/>
      <c r="Y28096" s="20"/>
    </row>
    <row r="28097" spans="24:25">
      <c r="X28097" s="19"/>
      <c r="Y28097" s="20"/>
    </row>
    <row r="28098" spans="24:25">
      <c r="X28098" s="19"/>
      <c r="Y28098" s="20"/>
    </row>
    <row r="28099" spans="24:25">
      <c r="X28099" s="19"/>
      <c r="Y28099" s="20"/>
    </row>
    <row r="28100" spans="24:25">
      <c r="X28100" s="19"/>
      <c r="Y28100" s="20"/>
    </row>
    <row r="28101" spans="24:25">
      <c r="X28101" s="19"/>
      <c r="Y28101" s="20"/>
    </row>
    <row r="28102" spans="24:25">
      <c r="X28102" s="19"/>
      <c r="Y28102" s="20"/>
    </row>
    <row r="28103" spans="24:25">
      <c r="X28103" s="19"/>
      <c r="Y28103" s="20"/>
    </row>
    <row r="28104" spans="24:25">
      <c r="X28104" s="19"/>
      <c r="Y28104" s="20"/>
    </row>
    <row r="28105" spans="24:25">
      <c r="X28105" s="19"/>
      <c r="Y28105" s="20"/>
    </row>
    <row r="28106" spans="24:25">
      <c r="X28106" s="19"/>
      <c r="Y28106" s="20"/>
    </row>
    <row r="28107" spans="24:25">
      <c r="X28107" s="19"/>
      <c r="Y28107" s="20"/>
    </row>
    <row r="28108" spans="24:25">
      <c r="X28108" s="19"/>
      <c r="Y28108" s="20"/>
    </row>
    <row r="28109" spans="24:25">
      <c r="X28109" s="19"/>
      <c r="Y28109" s="20"/>
    </row>
    <row r="28110" spans="24:25">
      <c r="X28110" s="19"/>
      <c r="Y28110" s="20"/>
    </row>
    <row r="28111" spans="24:25">
      <c r="X28111" s="19"/>
      <c r="Y28111" s="20"/>
    </row>
    <row r="28112" spans="24:25">
      <c r="X28112" s="19"/>
      <c r="Y28112" s="20"/>
    </row>
    <row r="28113" spans="24:25">
      <c r="X28113" s="19"/>
      <c r="Y28113" s="20"/>
    </row>
    <row r="28114" spans="24:25">
      <c r="X28114" s="19"/>
      <c r="Y28114" s="20"/>
    </row>
    <row r="28115" spans="24:25">
      <c r="X28115" s="19"/>
      <c r="Y28115" s="20"/>
    </row>
    <row r="28116" spans="24:25">
      <c r="X28116" s="19"/>
      <c r="Y28116" s="20"/>
    </row>
    <row r="28117" spans="24:25">
      <c r="X28117" s="19"/>
      <c r="Y28117" s="20"/>
    </row>
    <row r="28118" spans="24:25">
      <c r="X28118" s="19"/>
      <c r="Y28118" s="20"/>
    </row>
    <row r="28119" spans="24:25">
      <c r="X28119" s="19"/>
      <c r="Y28119" s="20"/>
    </row>
    <row r="28120" spans="24:25">
      <c r="X28120" s="19"/>
      <c r="Y28120" s="20"/>
    </row>
    <row r="28121" spans="24:25">
      <c r="X28121" s="19"/>
      <c r="Y28121" s="20"/>
    </row>
    <row r="28122" spans="24:25">
      <c r="X28122" s="19"/>
      <c r="Y28122" s="20"/>
    </row>
    <row r="28123" spans="24:25">
      <c r="X28123" s="19"/>
      <c r="Y28123" s="20"/>
    </row>
    <row r="28124" spans="24:25">
      <c r="X28124" s="19"/>
      <c r="Y28124" s="20"/>
    </row>
    <row r="28125" spans="24:25">
      <c r="X28125" s="19"/>
      <c r="Y28125" s="20"/>
    </row>
    <row r="28126" spans="24:25">
      <c r="X28126" s="19"/>
      <c r="Y28126" s="20"/>
    </row>
    <row r="28127" spans="24:25">
      <c r="X28127" s="19"/>
      <c r="Y28127" s="20"/>
    </row>
    <row r="28128" spans="24:25">
      <c r="X28128" s="19"/>
      <c r="Y28128" s="20"/>
    </row>
    <row r="28129" spans="24:25">
      <c r="X28129" s="19"/>
      <c r="Y28129" s="20"/>
    </row>
    <row r="28130" spans="24:25">
      <c r="X28130" s="19"/>
      <c r="Y28130" s="20"/>
    </row>
    <row r="28131" spans="24:25">
      <c r="X28131" s="19"/>
      <c r="Y28131" s="20"/>
    </row>
    <row r="28132" spans="24:25">
      <c r="X28132" s="19"/>
      <c r="Y28132" s="20"/>
    </row>
    <row r="28133" spans="24:25">
      <c r="X28133" s="19"/>
      <c r="Y28133" s="20"/>
    </row>
    <row r="28134" spans="24:25">
      <c r="X28134" s="19"/>
      <c r="Y28134" s="20"/>
    </row>
    <row r="28135" spans="24:25">
      <c r="X28135" s="19"/>
      <c r="Y28135" s="20"/>
    </row>
    <row r="28136" spans="24:25">
      <c r="X28136" s="19"/>
      <c r="Y28136" s="20"/>
    </row>
    <row r="28137" spans="24:25">
      <c r="X28137" s="19"/>
      <c r="Y28137" s="20"/>
    </row>
    <row r="28138" spans="24:25">
      <c r="X28138" s="19"/>
      <c r="Y28138" s="20"/>
    </row>
    <row r="28139" spans="24:25">
      <c r="X28139" s="19"/>
      <c r="Y28139" s="20"/>
    </row>
    <row r="28140" spans="24:25">
      <c r="X28140" s="19"/>
      <c r="Y28140" s="20"/>
    </row>
    <row r="28141" spans="24:25">
      <c r="X28141" s="19"/>
      <c r="Y28141" s="20"/>
    </row>
    <row r="28142" spans="24:25">
      <c r="X28142" s="19"/>
      <c r="Y28142" s="20"/>
    </row>
    <row r="28143" spans="24:25">
      <c r="X28143" s="19"/>
      <c r="Y28143" s="20"/>
    </row>
    <row r="28144" spans="24:25">
      <c r="X28144" s="19"/>
      <c r="Y28144" s="20"/>
    </row>
    <row r="28145" spans="24:25">
      <c r="X28145" s="19"/>
      <c r="Y28145" s="20"/>
    </row>
    <row r="28146" spans="24:25">
      <c r="X28146" s="19"/>
      <c r="Y28146" s="20"/>
    </row>
    <row r="28147" spans="24:25">
      <c r="X28147" s="19"/>
      <c r="Y28147" s="20"/>
    </row>
    <row r="28148" spans="24:25">
      <c r="X28148" s="19"/>
      <c r="Y28148" s="20"/>
    </row>
    <row r="28149" spans="24:25">
      <c r="X28149" s="19"/>
      <c r="Y28149" s="20"/>
    </row>
    <row r="28150" spans="24:25">
      <c r="X28150" s="19"/>
      <c r="Y28150" s="20"/>
    </row>
    <row r="28151" spans="24:25">
      <c r="X28151" s="19"/>
      <c r="Y28151" s="20"/>
    </row>
    <row r="28152" spans="24:25">
      <c r="X28152" s="19"/>
      <c r="Y28152" s="20"/>
    </row>
    <row r="28153" spans="24:25">
      <c r="X28153" s="19"/>
      <c r="Y28153" s="20"/>
    </row>
    <row r="28154" spans="24:25">
      <c r="X28154" s="19"/>
      <c r="Y28154" s="20"/>
    </row>
    <row r="28155" spans="24:25">
      <c r="X28155" s="19"/>
      <c r="Y28155" s="20"/>
    </row>
    <row r="28156" spans="24:25">
      <c r="X28156" s="19"/>
      <c r="Y28156" s="20"/>
    </row>
    <row r="28157" spans="24:25">
      <c r="X28157" s="19"/>
      <c r="Y28157" s="20"/>
    </row>
    <row r="28158" spans="24:25">
      <c r="X28158" s="19"/>
      <c r="Y28158" s="20"/>
    </row>
    <row r="28159" spans="24:25">
      <c r="X28159" s="19"/>
      <c r="Y28159" s="20"/>
    </row>
    <row r="28160" spans="24:25">
      <c r="X28160" s="19"/>
      <c r="Y28160" s="20"/>
    </row>
    <row r="28161" spans="24:25">
      <c r="X28161" s="19"/>
      <c r="Y28161" s="20"/>
    </row>
    <row r="28162" spans="24:25">
      <c r="X28162" s="19"/>
      <c r="Y28162" s="20"/>
    </row>
    <row r="28163" spans="24:25">
      <c r="X28163" s="19"/>
      <c r="Y28163" s="20"/>
    </row>
    <row r="28164" spans="24:25">
      <c r="X28164" s="19"/>
      <c r="Y28164" s="20"/>
    </row>
    <row r="28165" spans="24:25">
      <c r="X28165" s="19"/>
      <c r="Y28165" s="20"/>
    </row>
    <row r="28166" spans="24:25">
      <c r="X28166" s="19"/>
      <c r="Y28166" s="20"/>
    </row>
    <row r="28167" spans="24:25">
      <c r="X28167" s="19"/>
      <c r="Y28167" s="20"/>
    </row>
    <row r="28168" spans="24:25">
      <c r="X28168" s="19"/>
      <c r="Y28168" s="20"/>
    </row>
    <row r="28169" spans="24:25">
      <c r="X28169" s="19"/>
      <c r="Y28169" s="20"/>
    </row>
    <row r="28170" spans="24:25">
      <c r="X28170" s="19"/>
      <c r="Y28170" s="20"/>
    </row>
    <row r="28171" spans="24:25">
      <c r="X28171" s="19"/>
      <c r="Y28171" s="20"/>
    </row>
    <row r="28172" spans="24:25">
      <c r="X28172" s="19"/>
      <c r="Y28172" s="20"/>
    </row>
    <row r="28173" spans="24:25">
      <c r="X28173" s="19"/>
      <c r="Y28173" s="20"/>
    </row>
    <row r="28174" spans="24:25">
      <c r="X28174" s="19"/>
      <c r="Y28174" s="20"/>
    </row>
    <row r="28175" spans="24:25">
      <c r="X28175" s="19"/>
      <c r="Y28175" s="20"/>
    </row>
    <row r="28176" spans="24:25">
      <c r="X28176" s="19"/>
      <c r="Y28176" s="20"/>
    </row>
    <row r="28177" spans="24:25">
      <c r="X28177" s="19"/>
      <c r="Y28177" s="20"/>
    </row>
    <row r="28178" spans="24:25">
      <c r="X28178" s="19"/>
      <c r="Y28178" s="20"/>
    </row>
    <row r="28179" spans="24:25">
      <c r="X28179" s="19"/>
      <c r="Y28179" s="20"/>
    </row>
    <row r="28180" spans="24:25">
      <c r="X28180" s="19"/>
      <c r="Y28180" s="20"/>
    </row>
    <row r="28181" spans="24:25">
      <c r="X28181" s="19"/>
      <c r="Y28181" s="20"/>
    </row>
    <row r="28182" spans="24:25">
      <c r="X28182" s="19"/>
      <c r="Y28182" s="20"/>
    </row>
    <row r="28183" spans="24:25">
      <c r="X28183" s="19"/>
      <c r="Y28183" s="20"/>
    </row>
    <row r="28184" spans="24:25">
      <c r="X28184" s="19"/>
      <c r="Y28184" s="20"/>
    </row>
    <row r="28185" spans="24:25">
      <c r="X28185" s="19"/>
      <c r="Y28185" s="20"/>
    </row>
    <row r="28186" spans="24:25">
      <c r="X28186" s="19"/>
      <c r="Y28186" s="20"/>
    </row>
    <row r="28187" spans="24:25">
      <c r="X28187" s="19"/>
      <c r="Y28187" s="20"/>
    </row>
    <row r="28188" spans="24:25">
      <c r="X28188" s="19"/>
      <c r="Y28188" s="20"/>
    </row>
    <row r="28189" spans="24:25">
      <c r="X28189" s="19"/>
      <c r="Y28189" s="20"/>
    </row>
    <row r="28190" spans="24:25">
      <c r="X28190" s="19"/>
      <c r="Y28190" s="20"/>
    </row>
    <row r="28191" spans="24:25">
      <c r="X28191" s="19"/>
      <c r="Y28191" s="20"/>
    </row>
    <row r="28192" spans="24:25">
      <c r="X28192" s="19"/>
      <c r="Y28192" s="20"/>
    </row>
    <row r="28193" spans="24:25">
      <c r="X28193" s="19"/>
      <c r="Y28193" s="20"/>
    </row>
    <row r="28194" spans="24:25">
      <c r="X28194" s="19"/>
      <c r="Y28194" s="20"/>
    </row>
    <row r="28195" spans="24:25">
      <c r="X28195" s="19"/>
      <c r="Y28195" s="20"/>
    </row>
    <row r="28196" spans="24:25">
      <c r="X28196" s="19"/>
      <c r="Y28196" s="20"/>
    </row>
    <row r="28197" spans="24:25">
      <c r="X28197" s="19"/>
      <c r="Y28197" s="20"/>
    </row>
    <row r="28198" spans="24:25">
      <c r="X28198" s="19"/>
      <c r="Y28198" s="20"/>
    </row>
    <row r="28199" spans="24:25">
      <c r="X28199" s="19"/>
      <c r="Y28199" s="20"/>
    </row>
    <row r="28200" spans="24:25">
      <c r="X28200" s="19"/>
      <c r="Y28200" s="20"/>
    </row>
    <row r="28201" spans="24:25">
      <c r="X28201" s="19"/>
      <c r="Y28201" s="20"/>
    </row>
    <row r="28202" spans="24:25">
      <c r="X28202" s="19"/>
      <c r="Y28202" s="20"/>
    </row>
    <row r="28203" spans="24:25">
      <c r="X28203" s="19"/>
      <c r="Y28203" s="20"/>
    </row>
    <row r="28204" spans="24:25">
      <c r="X28204" s="19"/>
      <c r="Y28204" s="20"/>
    </row>
    <row r="28205" spans="24:25">
      <c r="X28205" s="19"/>
      <c r="Y28205" s="20"/>
    </row>
    <row r="28206" spans="24:25">
      <c r="X28206" s="19"/>
      <c r="Y28206" s="20"/>
    </row>
    <row r="28207" spans="24:25">
      <c r="X28207" s="19"/>
      <c r="Y28207" s="20"/>
    </row>
    <row r="28208" spans="24:25">
      <c r="X28208" s="19"/>
      <c r="Y28208" s="20"/>
    </row>
    <row r="28209" spans="24:25">
      <c r="X28209" s="19"/>
      <c r="Y28209" s="20"/>
    </row>
    <row r="28210" spans="24:25">
      <c r="X28210" s="19"/>
      <c r="Y28210" s="20"/>
    </row>
    <row r="28211" spans="24:25">
      <c r="X28211" s="19"/>
      <c r="Y28211" s="20"/>
    </row>
    <row r="28212" spans="24:25">
      <c r="X28212" s="19"/>
      <c r="Y28212" s="20"/>
    </row>
    <row r="28213" spans="24:25">
      <c r="X28213" s="19"/>
      <c r="Y28213" s="20"/>
    </row>
    <row r="28214" spans="24:25">
      <c r="X28214" s="19"/>
      <c r="Y28214" s="20"/>
    </row>
    <row r="28215" spans="24:25">
      <c r="X28215" s="19"/>
      <c r="Y28215" s="20"/>
    </row>
    <row r="28216" spans="24:25">
      <c r="X28216" s="19"/>
      <c r="Y28216" s="20"/>
    </row>
    <row r="28217" spans="24:25">
      <c r="X28217" s="19"/>
      <c r="Y28217" s="20"/>
    </row>
    <row r="28218" spans="24:25">
      <c r="X28218" s="19"/>
      <c r="Y28218" s="20"/>
    </row>
    <row r="28219" spans="24:25">
      <c r="X28219" s="19"/>
      <c r="Y28219" s="20"/>
    </row>
    <row r="28220" spans="24:25">
      <c r="X28220" s="19"/>
      <c r="Y28220" s="20"/>
    </row>
    <row r="28221" spans="24:25">
      <c r="X28221" s="19"/>
      <c r="Y28221" s="20"/>
    </row>
    <row r="28222" spans="24:25">
      <c r="X28222" s="19"/>
      <c r="Y28222" s="20"/>
    </row>
    <row r="28223" spans="24:25">
      <c r="X28223" s="19"/>
      <c r="Y28223" s="20"/>
    </row>
    <row r="28224" spans="24:25">
      <c r="X28224" s="19"/>
      <c r="Y28224" s="20"/>
    </row>
    <row r="28225" spans="24:25">
      <c r="X28225" s="19"/>
      <c r="Y28225" s="20"/>
    </row>
    <row r="28226" spans="24:25">
      <c r="X28226" s="19"/>
      <c r="Y28226" s="20"/>
    </row>
    <row r="28227" spans="24:25">
      <c r="X28227" s="19"/>
      <c r="Y28227" s="20"/>
    </row>
    <row r="28228" spans="24:25">
      <c r="X28228" s="19"/>
      <c r="Y28228" s="20"/>
    </row>
    <row r="28229" spans="24:25">
      <c r="X28229" s="19"/>
      <c r="Y28229" s="20"/>
    </row>
    <row r="28230" spans="24:25">
      <c r="X28230" s="19"/>
      <c r="Y28230" s="20"/>
    </row>
    <row r="28231" spans="24:25">
      <c r="X28231" s="19"/>
      <c r="Y28231" s="20"/>
    </row>
    <row r="28232" spans="24:25">
      <c r="X28232" s="19"/>
      <c r="Y28232" s="20"/>
    </row>
    <row r="28233" spans="24:25">
      <c r="X28233" s="19"/>
      <c r="Y28233" s="20"/>
    </row>
    <row r="28234" spans="24:25">
      <c r="X28234" s="19"/>
      <c r="Y28234" s="20"/>
    </row>
    <row r="28235" spans="24:25">
      <c r="X28235" s="19"/>
      <c r="Y28235" s="20"/>
    </row>
    <row r="28236" spans="24:25">
      <c r="X28236" s="19"/>
      <c r="Y28236" s="20"/>
    </row>
    <row r="28237" spans="24:25">
      <c r="X28237" s="19"/>
      <c r="Y28237" s="20"/>
    </row>
    <row r="28238" spans="24:25">
      <c r="X28238" s="19"/>
      <c r="Y28238" s="20"/>
    </row>
    <row r="28239" spans="24:25">
      <c r="X28239" s="19"/>
      <c r="Y28239" s="20"/>
    </row>
    <row r="28240" spans="24:25">
      <c r="X28240" s="19"/>
      <c r="Y28240" s="20"/>
    </row>
    <row r="28241" spans="24:25">
      <c r="X28241" s="19"/>
      <c r="Y28241" s="20"/>
    </row>
    <row r="28242" spans="24:25">
      <c r="X28242" s="19"/>
      <c r="Y28242" s="20"/>
    </row>
    <row r="28243" spans="24:25">
      <c r="X28243" s="19"/>
      <c r="Y28243" s="20"/>
    </row>
    <row r="28244" spans="24:25">
      <c r="X28244" s="19"/>
      <c r="Y28244" s="20"/>
    </row>
    <row r="28245" spans="24:25">
      <c r="X28245" s="19"/>
      <c r="Y28245" s="20"/>
    </row>
    <row r="28246" spans="24:25">
      <c r="X28246" s="19"/>
      <c r="Y28246" s="20"/>
    </row>
    <row r="28247" spans="24:25">
      <c r="X28247" s="19"/>
      <c r="Y28247" s="20"/>
    </row>
    <row r="28248" spans="24:25">
      <c r="X28248" s="19"/>
      <c r="Y28248" s="20"/>
    </row>
    <row r="28249" spans="24:25">
      <c r="X28249" s="19"/>
      <c r="Y28249" s="20"/>
    </row>
    <row r="28250" spans="24:25">
      <c r="X28250" s="19"/>
      <c r="Y28250" s="20"/>
    </row>
    <row r="28251" spans="24:25">
      <c r="X28251" s="19"/>
      <c r="Y28251" s="20"/>
    </row>
    <row r="28252" spans="24:25">
      <c r="X28252" s="19"/>
      <c r="Y28252" s="20"/>
    </row>
    <row r="28253" spans="24:25">
      <c r="X28253" s="19"/>
      <c r="Y28253" s="20"/>
    </row>
    <row r="28254" spans="24:25">
      <c r="X28254" s="19"/>
      <c r="Y28254" s="20"/>
    </row>
    <row r="28255" spans="24:25">
      <c r="X28255" s="19"/>
      <c r="Y28255" s="20"/>
    </row>
    <row r="28256" spans="24:25">
      <c r="X28256" s="19"/>
      <c r="Y28256" s="20"/>
    </row>
    <row r="28257" spans="24:25">
      <c r="X28257" s="19"/>
      <c r="Y28257" s="20"/>
    </row>
    <row r="28258" spans="24:25">
      <c r="X28258" s="19"/>
      <c r="Y28258" s="20"/>
    </row>
    <row r="28259" spans="24:25">
      <c r="X28259" s="19"/>
      <c r="Y28259" s="20"/>
    </row>
    <row r="28260" spans="24:25">
      <c r="X28260" s="19"/>
      <c r="Y28260" s="20"/>
    </row>
    <row r="28261" spans="24:25">
      <c r="X28261" s="19"/>
      <c r="Y28261" s="20"/>
    </row>
    <row r="28262" spans="24:25">
      <c r="X28262" s="19"/>
      <c r="Y28262" s="20"/>
    </row>
    <row r="28263" spans="24:25">
      <c r="X28263" s="19"/>
      <c r="Y28263" s="20"/>
    </row>
    <row r="28264" spans="24:25">
      <c r="X28264" s="19"/>
      <c r="Y28264" s="20"/>
    </row>
    <row r="28265" spans="24:25">
      <c r="X28265" s="19"/>
      <c r="Y28265" s="20"/>
    </row>
    <row r="28266" spans="24:25">
      <c r="X28266" s="19"/>
      <c r="Y28266" s="20"/>
    </row>
    <row r="28267" spans="24:25">
      <c r="X28267" s="19"/>
      <c r="Y28267" s="20"/>
    </row>
    <row r="28268" spans="24:25">
      <c r="X28268" s="19"/>
      <c r="Y28268" s="20"/>
    </row>
    <row r="28269" spans="24:25">
      <c r="X28269" s="19"/>
      <c r="Y28269" s="20"/>
    </row>
    <row r="28270" spans="24:25">
      <c r="X28270" s="19"/>
      <c r="Y28270" s="20"/>
    </row>
    <row r="28271" spans="24:25">
      <c r="X28271" s="19"/>
      <c r="Y28271" s="20"/>
    </row>
    <row r="28272" spans="24:25">
      <c r="X28272" s="19"/>
      <c r="Y28272" s="20"/>
    </row>
    <row r="28273" spans="24:25">
      <c r="X28273" s="19"/>
      <c r="Y28273" s="20"/>
    </row>
    <row r="28274" spans="24:25">
      <c r="X28274" s="19"/>
      <c r="Y28274" s="20"/>
    </row>
    <row r="28275" spans="24:25">
      <c r="X28275" s="19"/>
      <c r="Y28275" s="20"/>
    </row>
    <row r="28276" spans="24:25">
      <c r="X28276" s="19"/>
      <c r="Y28276" s="20"/>
    </row>
    <row r="28277" spans="24:25">
      <c r="X28277" s="19"/>
      <c r="Y28277" s="20"/>
    </row>
    <row r="28278" spans="24:25">
      <c r="X28278" s="19"/>
      <c r="Y28278" s="20"/>
    </row>
    <row r="28279" spans="24:25">
      <c r="X28279" s="19"/>
      <c r="Y28279" s="20"/>
    </row>
    <row r="28280" spans="24:25">
      <c r="X28280" s="19"/>
      <c r="Y28280" s="20"/>
    </row>
    <row r="28281" spans="24:25">
      <c r="X28281" s="19"/>
      <c r="Y28281" s="20"/>
    </row>
    <row r="28282" spans="24:25">
      <c r="X28282" s="19"/>
      <c r="Y28282" s="20"/>
    </row>
    <row r="28283" spans="24:25">
      <c r="X28283" s="19"/>
      <c r="Y28283" s="20"/>
    </row>
    <row r="28284" spans="24:25">
      <c r="X28284" s="19"/>
      <c r="Y28284" s="20"/>
    </row>
    <row r="28285" spans="24:25">
      <c r="X28285" s="19"/>
      <c r="Y28285" s="20"/>
    </row>
    <row r="28286" spans="24:25">
      <c r="X28286" s="19"/>
      <c r="Y28286" s="20"/>
    </row>
    <row r="28287" spans="24:25">
      <c r="X28287" s="19"/>
      <c r="Y28287" s="20"/>
    </row>
    <row r="28288" spans="24:25">
      <c r="X28288" s="19"/>
      <c r="Y28288" s="20"/>
    </row>
    <row r="28289" spans="24:25">
      <c r="X28289" s="19"/>
      <c r="Y28289" s="20"/>
    </row>
    <row r="28290" spans="24:25">
      <c r="X28290" s="19"/>
      <c r="Y28290" s="20"/>
    </row>
    <row r="28291" spans="24:25">
      <c r="X28291" s="19"/>
      <c r="Y28291" s="20"/>
    </row>
    <row r="28292" spans="24:25">
      <c r="X28292" s="19"/>
      <c r="Y28292" s="20"/>
    </row>
    <row r="28293" spans="24:25">
      <c r="X28293" s="19"/>
      <c r="Y28293" s="20"/>
    </row>
    <row r="28294" spans="24:25">
      <c r="X28294" s="19"/>
      <c r="Y28294" s="20"/>
    </row>
    <row r="28295" spans="24:25">
      <c r="X28295" s="19"/>
      <c r="Y28295" s="20"/>
    </row>
    <row r="28296" spans="24:25">
      <c r="X28296" s="19"/>
      <c r="Y28296" s="20"/>
    </row>
    <row r="28297" spans="24:25">
      <c r="X28297" s="19"/>
      <c r="Y28297" s="20"/>
    </row>
    <row r="28298" spans="24:25">
      <c r="X28298" s="19"/>
      <c r="Y28298" s="20"/>
    </row>
    <row r="28299" spans="24:25">
      <c r="X28299" s="19"/>
      <c r="Y28299" s="20"/>
    </row>
    <row r="28300" spans="24:25">
      <c r="X28300" s="19"/>
      <c r="Y28300" s="20"/>
    </row>
    <row r="28301" spans="24:25">
      <c r="X28301" s="19"/>
      <c r="Y28301" s="20"/>
    </row>
    <row r="28302" spans="24:25">
      <c r="X28302" s="19"/>
      <c r="Y28302" s="20"/>
    </row>
    <row r="28303" spans="24:25">
      <c r="X28303" s="19"/>
      <c r="Y28303" s="20"/>
    </row>
    <row r="28304" spans="24:25">
      <c r="X28304" s="19"/>
      <c r="Y28304" s="20"/>
    </row>
    <row r="28305" spans="24:25">
      <c r="X28305" s="19"/>
      <c r="Y28305" s="20"/>
    </row>
    <row r="28306" spans="24:25">
      <c r="X28306" s="19"/>
      <c r="Y28306" s="20"/>
    </row>
    <row r="28307" spans="24:25">
      <c r="X28307" s="19"/>
      <c r="Y28307" s="20"/>
    </row>
    <row r="28308" spans="24:25">
      <c r="X28308" s="19"/>
      <c r="Y28308" s="20"/>
    </row>
    <row r="28309" spans="24:25">
      <c r="X28309" s="19"/>
      <c r="Y28309" s="20"/>
    </row>
    <row r="28310" spans="24:25">
      <c r="X28310" s="19"/>
      <c r="Y28310" s="20"/>
    </row>
    <row r="28311" spans="24:25">
      <c r="X28311" s="19"/>
      <c r="Y28311" s="20"/>
    </row>
    <row r="28312" spans="24:25">
      <c r="X28312" s="19"/>
      <c r="Y28312" s="20"/>
    </row>
    <row r="28313" spans="24:25">
      <c r="X28313" s="19"/>
      <c r="Y28313" s="20"/>
    </row>
    <row r="28314" spans="24:25">
      <c r="X28314" s="19"/>
      <c r="Y28314" s="20"/>
    </row>
    <row r="28315" spans="24:25">
      <c r="X28315" s="19"/>
      <c r="Y28315" s="20"/>
    </row>
    <row r="28316" spans="24:25">
      <c r="X28316" s="19"/>
      <c r="Y28316" s="20"/>
    </row>
    <row r="28317" spans="24:25">
      <c r="X28317" s="19"/>
      <c r="Y28317" s="20"/>
    </row>
    <row r="28318" spans="24:25">
      <c r="X28318" s="19"/>
      <c r="Y28318" s="20"/>
    </row>
    <row r="28319" spans="24:25">
      <c r="X28319" s="19"/>
      <c r="Y28319" s="20"/>
    </row>
    <row r="28320" spans="24:25">
      <c r="X28320" s="19"/>
      <c r="Y28320" s="20"/>
    </row>
    <row r="28321" spans="24:25">
      <c r="X28321" s="19"/>
      <c r="Y28321" s="20"/>
    </row>
    <row r="28322" spans="24:25">
      <c r="X28322" s="19"/>
      <c r="Y28322" s="20"/>
    </row>
    <row r="28323" spans="24:25">
      <c r="X28323" s="19"/>
      <c r="Y28323" s="20"/>
    </row>
    <row r="28324" spans="24:25">
      <c r="X28324" s="19"/>
      <c r="Y28324" s="20"/>
    </row>
    <row r="28325" spans="24:25">
      <c r="X28325" s="19"/>
      <c r="Y28325" s="20"/>
    </row>
    <row r="28326" spans="24:25">
      <c r="X28326" s="19"/>
      <c r="Y28326" s="20"/>
    </row>
    <row r="28327" spans="24:25">
      <c r="X28327" s="19"/>
      <c r="Y28327" s="20"/>
    </row>
    <row r="28328" spans="24:25">
      <c r="X28328" s="19"/>
      <c r="Y28328" s="20"/>
    </row>
    <row r="28329" spans="24:25">
      <c r="X28329" s="19"/>
      <c r="Y28329" s="20"/>
    </row>
    <row r="28330" spans="24:25">
      <c r="X28330" s="19"/>
      <c r="Y28330" s="20"/>
    </row>
    <row r="28331" spans="24:25">
      <c r="X28331" s="19"/>
      <c r="Y28331" s="20"/>
    </row>
    <row r="28332" spans="24:25">
      <c r="X28332" s="19"/>
      <c r="Y28332" s="20"/>
    </row>
    <row r="28333" spans="24:25">
      <c r="X28333" s="19"/>
      <c r="Y28333" s="20"/>
    </row>
    <row r="28334" spans="24:25">
      <c r="X28334" s="19"/>
      <c r="Y28334" s="20"/>
    </row>
    <row r="28335" spans="24:25">
      <c r="X28335" s="19"/>
      <c r="Y28335" s="20"/>
    </row>
    <row r="28336" spans="24:25">
      <c r="X28336" s="19"/>
      <c r="Y28336" s="20"/>
    </row>
    <row r="28337" spans="24:25">
      <c r="X28337" s="19"/>
      <c r="Y28337" s="20"/>
    </row>
    <row r="28338" spans="24:25">
      <c r="X28338" s="19"/>
      <c r="Y28338" s="20"/>
    </row>
    <row r="28339" spans="24:25">
      <c r="X28339" s="19"/>
      <c r="Y28339" s="20"/>
    </row>
    <row r="28340" spans="24:25">
      <c r="X28340" s="19"/>
      <c r="Y28340" s="20"/>
    </row>
    <row r="28341" spans="24:25">
      <c r="X28341" s="19"/>
      <c r="Y28341" s="20"/>
    </row>
    <row r="28342" spans="24:25">
      <c r="X28342" s="19"/>
      <c r="Y28342" s="20"/>
    </row>
    <row r="28343" spans="24:25">
      <c r="X28343" s="19"/>
      <c r="Y28343" s="20"/>
    </row>
    <row r="28344" spans="24:25">
      <c r="X28344" s="19"/>
      <c r="Y28344" s="20"/>
    </row>
    <row r="28345" spans="24:25">
      <c r="X28345" s="19"/>
      <c r="Y28345" s="20"/>
    </row>
    <row r="28346" spans="24:25">
      <c r="X28346" s="19"/>
      <c r="Y28346" s="20"/>
    </row>
    <row r="28347" spans="24:25">
      <c r="X28347" s="19"/>
      <c r="Y28347" s="20"/>
    </row>
    <row r="28348" spans="24:25">
      <c r="X28348" s="19"/>
      <c r="Y28348" s="20"/>
    </row>
    <row r="28349" spans="24:25">
      <c r="X28349" s="19"/>
      <c r="Y28349" s="20"/>
    </row>
    <row r="28350" spans="24:25">
      <c r="X28350" s="19"/>
      <c r="Y28350" s="20"/>
    </row>
    <row r="28351" spans="24:25">
      <c r="X28351" s="19"/>
      <c r="Y28351" s="20"/>
    </row>
    <row r="28352" spans="24:25">
      <c r="X28352" s="19"/>
      <c r="Y28352" s="20"/>
    </row>
    <row r="28353" spans="24:25">
      <c r="X28353" s="19"/>
      <c r="Y28353" s="20"/>
    </row>
    <row r="28354" spans="24:25">
      <c r="X28354" s="19"/>
      <c r="Y28354" s="20"/>
    </row>
    <row r="28355" spans="24:25">
      <c r="X28355" s="19"/>
      <c r="Y28355" s="20"/>
    </row>
    <row r="28356" spans="24:25">
      <c r="X28356" s="19"/>
      <c r="Y28356" s="20"/>
    </row>
    <row r="28357" spans="24:25">
      <c r="X28357" s="19"/>
      <c r="Y28357" s="20"/>
    </row>
    <row r="28358" spans="24:25">
      <c r="X28358" s="19"/>
      <c r="Y28358" s="20"/>
    </row>
    <row r="28359" spans="24:25">
      <c r="X28359" s="19"/>
      <c r="Y28359" s="20"/>
    </row>
    <row r="28360" spans="24:25">
      <c r="X28360" s="19"/>
      <c r="Y28360" s="20"/>
    </row>
    <row r="28361" spans="24:25">
      <c r="X28361" s="19"/>
      <c r="Y28361" s="20"/>
    </row>
    <row r="28362" spans="24:25">
      <c r="X28362" s="19"/>
      <c r="Y28362" s="20"/>
    </row>
    <row r="28363" spans="24:25">
      <c r="X28363" s="19"/>
      <c r="Y28363" s="20"/>
    </row>
    <row r="28364" spans="24:25">
      <c r="X28364" s="19"/>
      <c r="Y28364" s="20"/>
    </row>
    <row r="28365" spans="24:25">
      <c r="X28365" s="19"/>
      <c r="Y28365" s="20"/>
    </row>
    <row r="28366" spans="24:25">
      <c r="X28366" s="19"/>
      <c r="Y28366" s="20"/>
    </row>
    <row r="28367" spans="24:25">
      <c r="X28367" s="19"/>
      <c r="Y28367" s="20"/>
    </row>
    <row r="28368" spans="24:25">
      <c r="X28368" s="19"/>
      <c r="Y28368" s="20"/>
    </row>
    <row r="28369" spans="24:25">
      <c r="X28369" s="19"/>
      <c r="Y28369" s="20"/>
    </row>
    <row r="28370" spans="24:25">
      <c r="X28370" s="19"/>
      <c r="Y28370" s="20"/>
    </row>
    <row r="28371" spans="24:25">
      <c r="X28371" s="19"/>
      <c r="Y28371" s="20"/>
    </row>
    <row r="28372" spans="24:25">
      <c r="X28372" s="19"/>
      <c r="Y28372" s="20"/>
    </row>
    <row r="28373" spans="24:25">
      <c r="X28373" s="19"/>
      <c r="Y28373" s="20"/>
    </row>
    <row r="28374" spans="24:25">
      <c r="X28374" s="19"/>
      <c r="Y28374" s="20"/>
    </row>
    <row r="28375" spans="24:25">
      <c r="X28375" s="19"/>
      <c r="Y28375" s="20"/>
    </row>
    <row r="28376" spans="24:25">
      <c r="X28376" s="19"/>
      <c r="Y28376" s="20"/>
    </row>
    <row r="28377" spans="24:25">
      <c r="X28377" s="19"/>
      <c r="Y28377" s="20"/>
    </row>
    <row r="28378" spans="24:25">
      <c r="X28378" s="19"/>
      <c r="Y28378" s="20"/>
    </row>
    <row r="28379" spans="24:25">
      <c r="X28379" s="19"/>
      <c r="Y28379" s="20"/>
    </row>
    <row r="28380" spans="24:25">
      <c r="X28380" s="19"/>
      <c r="Y28380" s="20"/>
    </row>
    <row r="28381" spans="24:25">
      <c r="X28381" s="19"/>
      <c r="Y28381" s="20"/>
    </row>
    <row r="28382" spans="24:25">
      <c r="X28382" s="19"/>
      <c r="Y28382" s="20"/>
    </row>
    <row r="28383" spans="24:25">
      <c r="X28383" s="19"/>
      <c r="Y28383" s="20"/>
    </row>
    <row r="28384" spans="24:25">
      <c r="X28384" s="19"/>
      <c r="Y28384" s="20"/>
    </row>
    <row r="28385" spans="24:25">
      <c r="X28385" s="19"/>
      <c r="Y28385" s="20"/>
    </row>
    <row r="28386" spans="24:25">
      <c r="X28386" s="19"/>
      <c r="Y28386" s="20"/>
    </row>
    <row r="28387" spans="24:25">
      <c r="X28387" s="19"/>
      <c r="Y28387" s="20"/>
    </row>
    <row r="28388" spans="24:25">
      <c r="X28388" s="19"/>
      <c r="Y28388" s="20"/>
    </row>
    <row r="28389" spans="24:25">
      <c r="X28389" s="19"/>
      <c r="Y28389" s="20"/>
    </row>
    <row r="28390" spans="24:25">
      <c r="X28390" s="19"/>
      <c r="Y28390" s="20"/>
    </row>
    <row r="28391" spans="24:25">
      <c r="X28391" s="19"/>
      <c r="Y28391" s="20"/>
    </row>
    <row r="28392" spans="24:25">
      <c r="X28392" s="19"/>
      <c r="Y28392" s="20"/>
    </row>
    <row r="28393" spans="24:25">
      <c r="X28393" s="19"/>
      <c r="Y28393" s="20"/>
    </row>
    <row r="28394" spans="24:25">
      <c r="X28394" s="19"/>
      <c r="Y28394" s="20"/>
    </row>
    <row r="28395" spans="24:25">
      <c r="X28395" s="19"/>
      <c r="Y28395" s="20"/>
    </row>
    <row r="28396" spans="24:25">
      <c r="X28396" s="19"/>
      <c r="Y28396" s="20"/>
    </row>
    <row r="28397" spans="24:25">
      <c r="X28397" s="19"/>
      <c r="Y28397" s="20"/>
    </row>
    <row r="28398" spans="24:25">
      <c r="X28398" s="19"/>
      <c r="Y28398" s="20"/>
    </row>
    <row r="28399" spans="24:25">
      <c r="X28399" s="19"/>
      <c r="Y28399" s="20"/>
    </row>
    <row r="28400" spans="24:25">
      <c r="X28400" s="19"/>
      <c r="Y28400" s="20"/>
    </row>
    <row r="28401" spans="24:25">
      <c r="X28401" s="19"/>
      <c r="Y28401" s="20"/>
    </row>
    <row r="28402" spans="24:25">
      <c r="X28402" s="19"/>
      <c r="Y28402" s="20"/>
    </row>
    <row r="28403" spans="24:25">
      <c r="X28403" s="19"/>
      <c r="Y28403" s="20"/>
    </row>
    <row r="28404" spans="24:25">
      <c r="X28404" s="19"/>
      <c r="Y28404" s="20"/>
    </row>
    <row r="28405" spans="24:25">
      <c r="X28405" s="19"/>
      <c r="Y28405" s="20"/>
    </row>
    <row r="28406" spans="24:25">
      <c r="X28406" s="19"/>
      <c r="Y28406" s="20"/>
    </row>
    <row r="28407" spans="24:25">
      <c r="X28407" s="19"/>
      <c r="Y28407" s="20"/>
    </row>
    <row r="28408" spans="24:25">
      <c r="X28408" s="19"/>
      <c r="Y28408" s="20"/>
    </row>
    <row r="28409" spans="24:25">
      <c r="X28409" s="19"/>
      <c r="Y28409" s="20"/>
    </row>
    <row r="28410" spans="24:25">
      <c r="X28410" s="19"/>
      <c r="Y28410" s="20"/>
    </row>
    <row r="28411" spans="24:25">
      <c r="X28411" s="19"/>
      <c r="Y28411" s="20"/>
    </row>
    <row r="28412" spans="24:25">
      <c r="X28412" s="19"/>
      <c r="Y28412" s="20"/>
    </row>
    <row r="28413" spans="24:25">
      <c r="X28413" s="19"/>
      <c r="Y28413" s="20"/>
    </row>
    <row r="28414" spans="24:25">
      <c r="X28414" s="19"/>
      <c r="Y28414" s="20"/>
    </row>
    <row r="28415" spans="24:25">
      <c r="X28415" s="19"/>
      <c r="Y28415" s="20"/>
    </row>
    <row r="28416" spans="24:25">
      <c r="X28416" s="19"/>
      <c r="Y28416" s="20"/>
    </row>
    <row r="28417" spans="24:25">
      <c r="X28417" s="19"/>
      <c r="Y28417" s="20"/>
    </row>
    <row r="28418" spans="24:25">
      <c r="X28418" s="19"/>
      <c r="Y28418" s="20"/>
    </row>
    <row r="28419" spans="24:25">
      <c r="X28419" s="19"/>
      <c r="Y28419" s="20"/>
    </row>
    <row r="28420" spans="24:25">
      <c r="X28420" s="19"/>
      <c r="Y28420" s="20"/>
    </row>
    <row r="28421" spans="24:25">
      <c r="X28421" s="19"/>
      <c r="Y28421" s="20"/>
    </row>
    <row r="28422" spans="24:25">
      <c r="X28422" s="19"/>
      <c r="Y28422" s="20"/>
    </row>
    <row r="28423" spans="24:25">
      <c r="X28423" s="19"/>
      <c r="Y28423" s="20"/>
    </row>
    <row r="28424" spans="24:25">
      <c r="X28424" s="19"/>
      <c r="Y28424" s="20"/>
    </row>
    <row r="28425" spans="24:25">
      <c r="X28425" s="19"/>
      <c r="Y28425" s="20"/>
    </row>
    <row r="28426" spans="24:25">
      <c r="X28426" s="19"/>
      <c r="Y28426" s="20"/>
    </row>
    <row r="28427" spans="24:25">
      <c r="X28427" s="19"/>
      <c r="Y28427" s="20"/>
    </row>
    <row r="28428" spans="24:25">
      <c r="X28428" s="19"/>
      <c r="Y28428" s="20"/>
    </row>
    <row r="28429" spans="24:25">
      <c r="X28429" s="19"/>
      <c r="Y28429" s="20"/>
    </row>
    <row r="28430" spans="24:25">
      <c r="X28430" s="19"/>
      <c r="Y28430" s="20"/>
    </row>
    <row r="28431" spans="24:25">
      <c r="X28431" s="19"/>
      <c r="Y28431" s="20"/>
    </row>
    <row r="28432" spans="24:25">
      <c r="X28432" s="19"/>
      <c r="Y28432" s="20"/>
    </row>
    <row r="28433" spans="24:25">
      <c r="X28433" s="19"/>
      <c r="Y28433" s="20"/>
    </row>
    <row r="28434" spans="24:25">
      <c r="X28434" s="19"/>
      <c r="Y28434" s="20"/>
    </row>
    <row r="28435" spans="24:25">
      <c r="X28435" s="19"/>
      <c r="Y28435" s="20"/>
    </row>
    <row r="28436" spans="24:25">
      <c r="X28436" s="19"/>
      <c r="Y28436" s="20"/>
    </row>
    <row r="28437" spans="24:25">
      <c r="X28437" s="19"/>
      <c r="Y28437" s="20"/>
    </row>
    <row r="28438" spans="24:25">
      <c r="X28438" s="19"/>
      <c r="Y28438" s="20"/>
    </row>
    <row r="28439" spans="24:25">
      <c r="X28439" s="19"/>
      <c r="Y28439" s="20"/>
    </row>
    <row r="28440" spans="24:25">
      <c r="X28440" s="19"/>
      <c r="Y28440" s="20"/>
    </row>
    <row r="28441" spans="24:25">
      <c r="X28441" s="19"/>
      <c r="Y28441" s="20"/>
    </row>
    <row r="28442" spans="24:25">
      <c r="X28442" s="19"/>
      <c r="Y28442" s="20"/>
    </row>
    <row r="28443" spans="24:25">
      <c r="X28443" s="19"/>
      <c r="Y28443" s="20"/>
    </row>
    <row r="28444" spans="24:25">
      <c r="X28444" s="19"/>
      <c r="Y28444" s="20"/>
    </row>
    <row r="28445" spans="24:25">
      <c r="X28445" s="19"/>
      <c r="Y28445" s="20"/>
    </row>
    <row r="28446" spans="24:25">
      <c r="X28446" s="19"/>
      <c r="Y28446" s="20"/>
    </row>
    <row r="28447" spans="24:25">
      <c r="X28447" s="19"/>
      <c r="Y28447" s="20"/>
    </row>
    <row r="28448" spans="24:25">
      <c r="X28448" s="19"/>
      <c r="Y28448" s="20"/>
    </row>
    <row r="28449" spans="24:25">
      <c r="X28449" s="19"/>
      <c r="Y28449" s="20"/>
    </row>
    <row r="28450" spans="24:25">
      <c r="X28450" s="19"/>
      <c r="Y28450" s="20"/>
    </row>
    <row r="28451" spans="24:25">
      <c r="X28451" s="19"/>
      <c r="Y28451" s="20"/>
    </row>
    <row r="28452" spans="24:25">
      <c r="X28452" s="19"/>
      <c r="Y28452" s="20"/>
    </row>
    <row r="28453" spans="24:25">
      <c r="X28453" s="19"/>
      <c r="Y28453" s="20"/>
    </row>
    <row r="28454" spans="24:25">
      <c r="X28454" s="19"/>
      <c r="Y28454" s="20"/>
    </row>
    <row r="28455" spans="24:25">
      <c r="X28455" s="19"/>
      <c r="Y28455" s="20"/>
    </row>
    <row r="28456" spans="24:25">
      <c r="X28456" s="19"/>
      <c r="Y28456" s="20"/>
    </row>
    <row r="28457" spans="24:25">
      <c r="X28457" s="19"/>
      <c r="Y28457" s="20"/>
    </row>
    <row r="28458" spans="24:25">
      <c r="X28458" s="19"/>
      <c r="Y28458" s="20"/>
    </row>
    <row r="28459" spans="24:25">
      <c r="X28459" s="19"/>
      <c r="Y28459" s="20"/>
    </row>
    <row r="28460" spans="24:25">
      <c r="X28460" s="19"/>
      <c r="Y28460" s="20"/>
    </row>
    <row r="28461" spans="24:25">
      <c r="X28461" s="19"/>
      <c r="Y28461" s="20"/>
    </row>
    <row r="28462" spans="24:25">
      <c r="X28462" s="19"/>
      <c r="Y28462" s="20"/>
    </row>
    <row r="28463" spans="24:25">
      <c r="X28463" s="19"/>
      <c r="Y28463" s="20"/>
    </row>
    <row r="28464" spans="24:25">
      <c r="X28464" s="19"/>
      <c r="Y28464" s="20"/>
    </row>
    <row r="28465" spans="24:25">
      <c r="X28465" s="19"/>
      <c r="Y28465" s="20"/>
    </row>
    <row r="28466" spans="24:25">
      <c r="X28466" s="19"/>
      <c r="Y28466" s="20"/>
    </row>
    <row r="28467" spans="24:25">
      <c r="X28467" s="19"/>
      <c r="Y28467" s="20"/>
    </row>
    <row r="28468" spans="24:25">
      <c r="X28468" s="19"/>
      <c r="Y28468" s="20"/>
    </row>
    <row r="28469" spans="24:25">
      <c r="X28469" s="19"/>
      <c r="Y28469" s="20"/>
    </row>
    <row r="28470" spans="24:25">
      <c r="X28470" s="19"/>
      <c r="Y28470" s="20"/>
    </row>
    <row r="28471" spans="24:25">
      <c r="X28471" s="19"/>
      <c r="Y28471" s="20"/>
    </row>
    <row r="28472" spans="24:25">
      <c r="X28472" s="19"/>
      <c r="Y28472" s="20"/>
    </row>
    <row r="28473" spans="24:25">
      <c r="X28473" s="19"/>
      <c r="Y28473" s="20"/>
    </row>
    <row r="28474" spans="24:25">
      <c r="X28474" s="19"/>
      <c r="Y28474" s="20"/>
    </row>
    <row r="28475" spans="24:25">
      <c r="X28475" s="19"/>
      <c r="Y28475" s="20"/>
    </row>
    <row r="28476" spans="24:25">
      <c r="X28476" s="19"/>
      <c r="Y28476" s="20"/>
    </row>
    <row r="28477" spans="24:25">
      <c r="X28477" s="19"/>
      <c r="Y28477" s="20"/>
    </row>
    <row r="28478" spans="24:25">
      <c r="X28478" s="19"/>
      <c r="Y28478" s="20"/>
    </row>
    <row r="28479" spans="24:25">
      <c r="X28479" s="19"/>
      <c r="Y28479" s="20"/>
    </row>
    <row r="28480" spans="24:25">
      <c r="X28480" s="19"/>
      <c r="Y28480" s="20"/>
    </row>
    <row r="28481" spans="24:25">
      <c r="X28481" s="19"/>
      <c r="Y28481" s="20"/>
    </row>
    <row r="28482" spans="24:25">
      <c r="X28482" s="19"/>
      <c r="Y28482" s="20"/>
    </row>
    <row r="28483" spans="24:25">
      <c r="X28483" s="19"/>
      <c r="Y28483" s="20"/>
    </row>
    <row r="28484" spans="24:25">
      <c r="X28484" s="19"/>
      <c r="Y28484" s="20"/>
    </row>
    <row r="28485" spans="24:25">
      <c r="X28485" s="19"/>
      <c r="Y28485" s="20"/>
    </row>
    <row r="28486" spans="24:25">
      <c r="X28486" s="19"/>
      <c r="Y28486" s="20"/>
    </row>
    <row r="28487" spans="24:25">
      <c r="X28487" s="19"/>
      <c r="Y28487" s="20"/>
    </row>
    <row r="28488" spans="24:25">
      <c r="X28488" s="19"/>
      <c r="Y28488" s="20"/>
    </row>
    <row r="28489" spans="24:25">
      <c r="X28489" s="19"/>
      <c r="Y28489" s="20"/>
    </row>
    <row r="28490" spans="24:25">
      <c r="X28490" s="19"/>
      <c r="Y28490" s="20"/>
    </row>
    <row r="28491" spans="24:25">
      <c r="X28491" s="19"/>
      <c r="Y28491" s="20"/>
    </row>
    <row r="28492" spans="24:25">
      <c r="X28492" s="19"/>
      <c r="Y28492" s="20"/>
    </row>
    <row r="28493" spans="24:25">
      <c r="X28493" s="19"/>
      <c r="Y28493" s="20"/>
    </row>
    <row r="28494" spans="24:25">
      <c r="X28494" s="19"/>
      <c r="Y28494" s="20"/>
    </row>
    <row r="28495" spans="24:25">
      <c r="X28495" s="19"/>
      <c r="Y28495" s="20"/>
    </row>
    <row r="28496" spans="24:25">
      <c r="X28496" s="19"/>
      <c r="Y28496" s="20"/>
    </row>
    <row r="28497" spans="24:25">
      <c r="X28497" s="19"/>
      <c r="Y28497" s="20"/>
    </row>
    <row r="28498" spans="24:25">
      <c r="X28498" s="19"/>
      <c r="Y28498" s="20"/>
    </row>
    <row r="28499" spans="24:25">
      <c r="X28499" s="19"/>
      <c r="Y28499" s="20"/>
    </row>
    <row r="28500" spans="24:25">
      <c r="X28500" s="19"/>
      <c r="Y28500" s="20"/>
    </row>
    <row r="28501" spans="24:25">
      <c r="X28501" s="19"/>
      <c r="Y28501" s="20"/>
    </row>
    <row r="28502" spans="24:25">
      <c r="X28502" s="19"/>
      <c r="Y28502" s="20"/>
    </row>
    <row r="28503" spans="24:25">
      <c r="X28503" s="19"/>
      <c r="Y28503" s="20"/>
    </row>
    <row r="28504" spans="24:25">
      <c r="X28504" s="19"/>
      <c r="Y28504" s="20"/>
    </row>
    <row r="28505" spans="24:25">
      <c r="X28505" s="19"/>
      <c r="Y28505" s="20"/>
    </row>
    <row r="28506" spans="24:25">
      <c r="X28506" s="19"/>
      <c r="Y28506" s="20"/>
    </row>
    <row r="28507" spans="24:25">
      <c r="X28507" s="19"/>
      <c r="Y28507" s="20"/>
    </row>
    <row r="28508" spans="24:25">
      <c r="X28508" s="19"/>
      <c r="Y28508" s="20"/>
    </row>
    <row r="28509" spans="24:25">
      <c r="X28509" s="19"/>
      <c r="Y28509" s="20"/>
    </row>
    <row r="28510" spans="24:25">
      <c r="X28510" s="19"/>
      <c r="Y28510" s="20"/>
    </row>
    <row r="28511" spans="24:25">
      <c r="X28511" s="19"/>
      <c r="Y28511" s="20"/>
    </row>
    <row r="28512" spans="24:25">
      <c r="X28512" s="19"/>
      <c r="Y28512" s="20"/>
    </row>
    <row r="28513" spans="24:25">
      <c r="X28513" s="19"/>
      <c r="Y28513" s="20"/>
    </row>
    <row r="28514" spans="24:25">
      <c r="X28514" s="19"/>
      <c r="Y28514" s="20"/>
    </row>
    <row r="28515" spans="24:25">
      <c r="X28515" s="19"/>
      <c r="Y28515" s="20"/>
    </row>
    <row r="28516" spans="24:25">
      <c r="X28516" s="19"/>
      <c r="Y28516" s="20"/>
    </row>
    <row r="28517" spans="24:25">
      <c r="X28517" s="19"/>
      <c r="Y28517" s="20"/>
    </row>
    <row r="28518" spans="24:25">
      <c r="X28518" s="19"/>
      <c r="Y28518" s="20"/>
    </row>
    <row r="28519" spans="24:25">
      <c r="X28519" s="19"/>
      <c r="Y28519" s="20"/>
    </row>
    <row r="28520" spans="24:25">
      <c r="X28520" s="19"/>
      <c r="Y28520" s="20"/>
    </row>
    <row r="28521" spans="24:25">
      <c r="X28521" s="19"/>
      <c r="Y28521" s="20"/>
    </row>
    <row r="28522" spans="24:25">
      <c r="X28522" s="19"/>
      <c r="Y28522" s="20"/>
    </row>
    <row r="28523" spans="24:25">
      <c r="X28523" s="19"/>
      <c r="Y28523" s="20"/>
    </row>
    <row r="28524" spans="24:25">
      <c r="X28524" s="19"/>
      <c r="Y28524" s="20"/>
    </row>
    <row r="28525" spans="24:25">
      <c r="X28525" s="19"/>
      <c r="Y28525" s="20"/>
    </row>
    <row r="28526" spans="24:25">
      <c r="X28526" s="19"/>
      <c r="Y28526" s="20"/>
    </row>
    <row r="28527" spans="24:25">
      <c r="X28527" s="19"/>
      <c r="Y28527" s="20"/>
    </row>
    <row r="28528" spans="24:25">
      <c r="X28528" s="19"/>
      <c r="Y28528" s="20"/>
    </row>
    <row r="28529" spans="24:25">
      <c r="X28529" s="19"/>
      <c r="Y28529" s="20"/>
    </row>
    <row r="28530" spans="24:25">
      <c r="X28530" s="19"/>
      <c r="Y28530" s="20"/>
    </row>
    <row r="28531" spans="24:25">
      <c r="X28531" s="19"/>
      <c r="Y28531" s="20"/>
    </row>
    <row r="28532" spans="24:25">
      <c r="X28532" s="19"/>
      <c r="Y28532" s="20"/>
    </row>
    <row r="28533" spans="24:25">
      <c r="X28533" s="19"/>
      <c r="Y28533" s="20"/>
    </row>
    <row r="28534" spans="24:25">
      <c r="X28534" s="19"/>
      <c r="Y28534" s="20"/>
    </row>
    <row r="28535" spans="24:25">
      <c r="X28535" s="19"/>
      <c r="Y28535" s="20"/>
    </row>
    <row r="28536" spans="24:25">
      <c r="X28536" s="19"/>
      <c r="Y28536" s="20"/>
    </row>
    <row r="28537" spans="24:25">
      <c r="X28537" s="19"/>
      <c r="Y28537" s="20"/>
    </row>
    <row r="28538" spans="24:25">
      <c r="X28538" s="19"/>
      <c r="Y28538" s="20"/>
    </row>
    <row r="28539" spans="24:25">
      <c r="X28539" s="19"/>
      <c r="Y28539" s="20"/>
    </row>
    <row r="28540" spans="24:25">
      <c r="X28540" s="19"/>
      <c r="Y28540" s="20"/>
    </row>
    <row r="28541" spans="24:25">
      <c r="X28541" s="19"/>
      <c r="Y28541" s="20"/>
    </row>
    <row r="28542" spans="24:25">
      <c r="X28542" s="19"/>
      <c r="Y28542" s="20"/>
    </row>
    <row r="28543" spans="24:25">
      <c r="X28543" s="19"/>
      <c r="Y28543" s="20"/>
    </row>
    <row r="28544" spans="24:25">
      <c r="X28544" s="19"/>
      <c r="Y28544" s="20"/>
    </row>
    <row r="28545" spans="24:25">
      <c r="X28545" s="19"/>
      <c r="Y28545" s="20"/>
    </row>
    <row r="28546" spans="24:25">
      <c r="X28546" s="19"/>
      <c r="Y28546" s="20"/>
    </row>
    <row r="28547" spans="24:25">
      <c r="X28547" s="19"/>
      <c r="Y28547" s="20"/>
    </row>
    <row r="28548" spans="24:25">
      <c r="X28548" s="19"/>
      <c r="Y28548" s="20"/>
    </row>
    <row r="28549" spans="24:25">
      <c r="X28549" s="19"/>
      <c r="Y28549" s="20"/>
    </row>
    <row r="28550" spans="24:25">
      <c r="X28550" s="19"/>
      <c r="Y28550" s="20"/>
    </row>
    <row r="28551" spans="24:25">
      <c r="X28551" s="19"/>
      <c r="Y28551" s="20"/>
    </row>
    <row r="28552" spans="24:25">
      <c r="X28552" s="19"/>
      <c r="Y28552" s="20"/>
    </row>
    <row r="28553" spans="24:25">
      <c r="X28553" s="19"/>
      <c r="Y28553" s="20"/>
    </row>
    <row r="28554" spans="24:25">
      <c r="X28554" s="19"/>
      <c r="Y28554" s="20"/>
    </row>
    <row r="28555" spans="24:25">
      <c r="X28555" s="19"/>
      <c r="Y28555" s="20"/>
    </row>
    <row r="28556" spans="24:25">
      <c r="X28556" s="19"/>
      <c r="Y28556" s="20"/>
    </row>
    <row r="28557" spans="24:25">
      <c r="X28557" s="19"/>
      <c r="Y28557" s="20"/>
    </row>
    <row r="28558" spans="24:25">
      <c r="X28558" s="19"/>
      <c r="Y28558" s="20"/>
    </row>
    <row r="28559" spans="24:25">
      <c r="X28559" s="19"/>
      <c r="Y28559" s="20"/>
    </row>
    <row r="28560" spans="24:25">
      <c r="X28560" s="19"/>
      <c r="Y28560" s="20"/>
    </row>
    <row r="28561" spans="24:25">
      <c r="X28561" s="19"/>
      <c r="Y28561" s="20"/>
    </row>
    <row r="28562" spans="24:25">
      <c r="X28562" s="19"/>
      <c r="Y28562" s="20"/>
    </row>
    <row r="28563" spans="24:25">
      <c r="X28563" s="19"/>
      <c r="Y28563" s="20"/>
    </row>
    <row r="28564" spans="24:25">
      <c r="X28564" s="19"/>
      <c r="Y28564" s="20"/>
    </row>
    <row r="28565" spans="24:25">
      <c r="X28565" s="19"/>
      <c r="Y28565" s="20"/>
    </row>
    <row r="28566" spans="24:25">
      <c r="X28566" s="19"/>
      <c r="Y28566" s="20"/>
    </row>
    <row r="28567" spans="24:25">
      <c r="X28567" s="19"/>
      <c r="Y28567" s="20"/>
    </row>
    <row r="28568" spans="24:25">
      <c r="X28568" s="19"/>
      <c r="Y28568" s="20"/>
    </row>
    <row r="28569" spans="24:25">
      <c r="X28569" s="19"/>
      <c r="Y28569" s="20"/>
    </row>
    <row r="28570" spans="24:25">
      <c r="X28570" s="19"/>
      <c r="Y28570" s="20"/>
    </row>
    <row r="28571" spans="24:25">
      <c r="X28571" s="19"/>
      <c r="Y28571" s="20"/>
    </row>
    <row r="28572" spans="24:25">
      <c r="X28572" s="19"/>
      <c r="Y28572" s="20"/>
    </row>
    <row r="28573" spans="24:25">
      <c r="X28573" s="19"/>
      <c r="Y28573" s="20"/>
    </row>
    <row r="28574" spans="24:25">
      <c r="X28574" s="19"/>
      <c r="Y28574" s="20"/>
    </row>
    <row r="28575" spans="24:25">
      <c r="X28575" s="19"/>
      <c r="Y28575" s="20"/>
    </row>
    <row r="28576" spans="24:25">
      <c r="X28576" s="19"/>
      <c r="Y28576" s="20"/>
    </row>
    <row r="28577" spans="24:25">
      <c r="X28577" s="19"/>
      <c r="Y28577" s="20"/>
    </row>
    <row r="28578" spans="24:25">
      <c r="X28578" s="19"/>
      <c r="Y28578" s="20"/>
    </row>
    <row r="28579" spans="24:25">
      <c r="X28579" s="19"/>
      <c r="Y28579" s="20"/>
    </row>
    <row r="28580" spans="24:25">
      <c r="X28580" s="19"/>
      <c r="Y28580" s="20"/>
    </row>
    <row r="28581" spans="24:25">
      <c r="X28581" s="19"/>
      <c r="Y28581" s="20"/>
    </row>
    <row r="28582" spans="24:25">
      <c r="X28582" s="19"/>
      <c r="Y28582" s="20"/>
    </row>
    <row r="28583" spans="24:25">
      <c r="X28583" s="19"/>
      <c r="Y28583" s="20"/>
    </row>
    <row r="28584" spans="24:25">
      <c r="X28584" s="19"/>
      <c r="Y28584" s="20"/>
    </row>
    <row r="28585" spans="24:25">
      <c r="X28585" s="19"/>
      <c r="Y28585" s="20"/>
    </row>
    <row r="28586" spans="24:25">
      <c r="X28586" s="19"/>
      <c r="Y28586" s="20"/>
    </row>
    <row r="28587" spans="24:25">
      <c r="X28587" s="19"/>
      <c r="Y28587" s="20"/>
    </row>
    <row r="28588" spans="24:25">
      <c r="X28588" s="19"/>
      <c r="Y28588" s="20"/>
    </row>
    <row r="28589" spans="24:25">
      <c r="X28589" s="19"/>
      <c r="Y28589" s="20"/>
    </row>
    <row r="28590" spans="24:25">
      <c r="X28590" s="19"/>
      <c r="Y28590" s="20"/>
    </row>
    <row r="28591" spans="24:25">
      <c r="X28591" s="19"/>
      <c r="Y28591" s="20"/>
    </row>
    <row r="28592" spans="24:25">
      <c r="X28592" s="19"/>
      <c r="Y28592" s="20"/>
    </row>
    <row r="28593" spans="24:25">
      <c r="X28593" s="19"/>
      <c r="Y28593" s="20"/>
    </row>
    <row r="28594" spans="24:25">
      <c r="X28594" s="19"/>
      <c r="Y28594" s="20"/>
    </row>
    <row r="28595" spans="24:25">
      <c r="X28595" s="19"/>
      <c r="Y28595" s="20"/>
    </row>
    <row r="28596" spans="24:25">
      <c r="X28596" s="19"/>
      <c r="Y28596" s="20"/>
    </row>
    <row r="28597" spans="24:25">
      <c r="X28597" s="19"/>
      <c r="Y28597" s="20"/>
    </row>
    <row r="28598" spans="24:25">
      <c r="X28598" s="19"/>
      <c r="Y28598" s="20"/>
    </row>
    <row r="28599" spans="24:25">
      <c r="X28599" s="19"/>
      <c r="Y28599" s="20"/>
    </row>
    <row r="28600" spans="24:25">
      <c r="X28600" s="19"/>
      <c r="Y28600" s="20"/>
    </row>
    <row r="28601" spans="24:25">
      <c r="X28601" s="19"/>
      <c r="Y28601" s="20"/>
    </row>
    <row r="28602" spans="24:25">
      <c r="X28602" s="19"/>
      <c r="Y28602" s="20"/>
    </row>
    <row r="28603" spans="24:25">
      <c r="X28603" s="19"/>
      <c r="Y28603" s="20"/>
    </row>
    <row r="28604" spans="24:25">
      <c r="X28604" s="19"/>
      <c r="Y28604" s="20"/>
    </row>
    <row r="28605" spans="24:25">
      <c r="X28605" s="19"/>
      <c r="Y28605" s="20"/>
    </row>
    <row r="28606" spans="24:25">
      <c r="X28606" s="19"/>
      <c r="Y28606" s="20"/>
    </row>
    <row r="28607" spans="24:25">
      <c r="X28607" s="19"/>
      <c r="Y28607" s="20"/>
    </row>
    <row r="28608" spans="24:25">
      <c r="X28608" s="19"/>
      <c r="Y28608" s="20"/>
    </row>
    <row r="28609" spans="24:25">
      <c r="X28609" s="19"/>
      <c r="Y28609" s="20"/>
    </row>
    <row r="28610" spans="24:25">
      <c r="X28610" s="19"/>
      <c r="Y28610" s="20"/>
    </row>
    <row r="28611" spans="24:25">
      <c r="X28611" s="19"/>
      <c r="Y28611" s="20"/>
    </row>
    <row r="28612" spans="24:25">
      <c r="X28612" s="19"/>
      <c r="Y28612" s="20"/>
    </row>
    <row r="28613" spans="24:25">
      <c r="X28613" s="19"/>
      <c r="Y28613" s="20"/>
    </row>
    <row r="28614" spans="24:25">
      <c r="X28614" s="19"/>
      <c r="Y28614" s="20"/>
    </row>
    <row r="28615" spans="24:25">
      <c r="X28615" s="19"/>
      <c r="Y28615" s="20"/>
    </row>
    <row r="28616" spans="24:25">
      <c r="X28616" s="19"/>
      <c r="Y28616" s="20"/>
    </row>
    <row r="28617" spans="24:25">
      <c r="X28617" s="19"/>
      <c r="Y28617" s="20"/>
    </row>
    <row r="28618" spans="24:25">
      <c r="X28618" s="19"/>
      <c r="Y28618" s="20"/>
    </row>
    <row r="28619" spans="24:25">
      <c r="X28619" s="19"/>
      <c r="Y28619" s="20"/>
    </row>
    <row r="28620" spans="24:25">
      <c r="X28620" s="19"/>
      <c r="Y28620" s="20"/>
    </row>
    <row r="28621" spans="24:25">
      <c r="X28621" s="19"/>
      <c r="Y28621" s="20"/>
    </row>
    <row r="28622" spans="24:25">
      <c r="X28622" s="19"/>
      <c r="Y28622" s="20"/>
    </row>
    <row r="28623" spans="24:25">
      <c r="X28623" s="19"/>
      <c r="Y28623" s="20"/>
    </row>
    <row r="28624" spans="24:25">
      <c r="X28624" s="19"/>
      <c r="Y28624" s="20"/>
    </row>
    <row r="28625" spans="24:25">
      <c r="X28625" s="19"/>
      <c r="Y28625" s="20"/>
    </row>
    <row r="28626" spans="24:25">
      <c r="X28626" s="19"/>
      <c r="Y28626" s="20"/>
    </row>
    <row r="28627" spans="24:25">
      <c r="X28627" s="19"/>
      <c r="Y28627" s="20"/>
    </row>
    <row r="28628" spans="24:25">
      <c r="X28628" s="19"/>
      <c r="Y28628" s="20"/>
    </row>
    <row r="28629" spans="24:25">
      <c r="X28629" s="19"/>
      <c r="Y28629" s="20"/>
    </row>
    <row r="28630" spans="24:25">
      <c r="X28630" s="19"/>
      <c r="Y28630" s="20"/>
    </row>
    <row r="28631" spans="24:25">
      <c r="X28631" s="19"/>
      <c r="Y28631" s="20"/>
    </row>
    <row r="28632" spans="24:25">
      <c r="X28632" s="19"/>
      <c r="Y28632" s="20"/>
    </row>
    <row r="28633" spans="24:25">
      <c r="X28633" s="19"/>
      <c r="Y28633" s="20"/>
    </row>
    <row r="28634" spans="24:25">
      <c r="X28634" s="19"/>
      <c r="Y28634" s="20"/>
    </row>
    <row r="28635" spans="24:25">
      <c r="X28635" s="19"/>
      <c r="Y28635" s="20"/>
    </row>
    <row r="28636" spans="24:25">
      <c r="X28636" s="19"/>
      <c r="Y28636" s="20"/>
    </row>
    <row r="28637" spans="24:25">
      <c r="X28637" s="19"/>
      <c r="Y28637" s="20"/>
    </row>
    <row r="28638" spans="24:25">
      <c r="X28638" s="19"/>
      <c r="Y28638" s="20"/>
    </row>
    <row r="28639" spans="24:25">
      <c r="X28639" s="19"/>
      <c r="Y28639" s="20"/>
    </row>
    <row r="28640" spans="24:25">
      <c r="X28640" s="19"/>
      <c r="Y28640" s="20"/>
    </row>
    <row r="28641" spans="24:25">
      <c r="X28641" s="19"/>
      <c r="Y28641" s="20"/>
    </row>
    <row r="28642" spans="24:25">
      <c r="X28642" s="19"/>
      <c r="Y28642" s="20"/>
    </row>
    <row r="28643" spans="24:25">
      <c r="X28643" s="19"/>
      <c r="Y28643" s="20"/>
    </row>
    <row r="28644" spans="24:25">
      <c r="X28644" s="19"/>
      <c r="Y28644" s="20"/>
    </row>
    <row r="28645" spans="24:25">
      <c r="X28645" s="19"/>
      <c r="Y28645" s="20"/>
    </row>
    <row r="28646" spans="24:25">
      <c r="X28646" s="19"/>
      <c r="Y28646" s="20"/>
    </row>
    <row r="28647" spans="24:25">
      <c r="X28647" s="19"/>
      <c r="Y28647" s="20"/>
    </row>
    <row r="28648" spans="24:25">
      <c r="X28648" s="19"/>
      <c r="Y28648" s="20"/>
    </row>
    <row r="28649" spans="24:25">
      <c r="X28649" s="19"/>
      <c r="Y28649" s="20"/>
    </row>
    <row r="28650" spans="24:25">
      <c r="X28650" s="19"/>
      <c r="Y28650" s="20"/>
    </row>
    <row r="28651" spans="24:25">
      <c r="X28651" s="19"/>
      <c r="Y28651" s="20"/>
    </row>
    <row r="28652" spans="24:25">
      <c r="X28652" s="19"/>
      <c r="Y28652" s="20"/>
    </row>
    <row r="28653" spans="24:25">
      <c r="X28653" s="19"/>
      <c r="Y28653" s="20"/>
    </row>
    <row r="28654" spans="24:25">
      <c r="X28654" s="19"/>
      <c r="Y28654" s="20"/>
    </row>
    <row r="28655" spans="24:25">
      <c r="X28655" s="19"/>
      <c r="Y28655" s="20"/>
    </row>
    <row r="28656" spans="24:25">
      <c r="X28656" s="19"/>
      <c r="Y28656" s="20"/>
    </row>
    <row r="28657" spans="24:25">
      <c r="X28657" s="19"/>
      <c r="Y28657" s="20"/>
    </row>
    <row r="28658" spans="24:25">
      <c r="X28658" s="19"/>
      <c r="Y28658" s="20"/>
    </row>
    <row r="28659" spans="24:25">
      <c r="X28659" s="19"/>
      <c r="Y28659" s="20"/>
    </row>
    <row r="28660" spans="24:25">
      <c r="X28660" s="19"/>
      <c r="Y28660" s="20"/>
    </row>
    <row r="28661" spans="24:25">
      <c r="X28661" s="19"/>
      <c r="Y28661" s="20"/>
    </row>
    <row r="28662" spans="24:25">
      <c r="X28662" s="19"/>
      <c r="Y28662" s="20"/>
    </row>
    <row r="28663" spans="24:25">
      <c r="X28663" s="19"/>
      <c r="Y28663" s="20"/>
    </row>
    <row r="28664" spans="24:25">
      <c r="X28664" s="19"/>
      <c r="Y28664" s="20"/>
    </row>
    <row r="28665" spans="24:25">
      <c r="X28665" s="19"/>
      <c r="Y28665" s="20"/>
    </row>
    <row r="28666" spans="24:25">
      <c r="X28666" s="19"/>
      <c r="Y28666" s="20"/>
    </row>
    <row r="28667" spans="24:25">
      <c r="X28667" s="19"/>
      <c r="Y28667" s="20"/>
    </row>
    <row r="28668" spans="24:25">
      <c r="X28668" s="19"/>
      <c r="Y28668" s="20"/>
    </row>
    <row r="28669" spans="24:25">
      <c r="X28669" s="19"/>
      <c r="Y28669" s="20"/>
    </row>
    <row r="28670" spans="24:25">
      <c r="X28670" s="19"/>
      <c r="Y28670" s="20"/>
    </row>
    <row r="28671" spans="24:25">
      <c r="X28671" s="19"/>
      <c r="Y28671" s="20"/>
    </row>
    <row r="28672" spans="24:25">
      <c r="X28672" s="19"/>
      <c r="Y28672" s="20"/>
    </row>
    <row r="28673" spans="24:25">
      <c r="X28673" s="19"/>
      <c r="Y28673" s="20"/>
    </row>
    <row r="28674" spans="24:25">
      <c r="X28674" s="19"/>
      <c r="Y28674" s="20"/>
    </row>
    <row r="28675" spans="24:25">
      <c r="X28675" s="19"/>
      <c r="Y28675" s="20"/>
    </row>
    <row r="28676" spans="24:25">
      <c r="X28676" s="19"/>
      <c r="Y28676" s="20"/>
    </row>
    <row r="28677" spans="24:25">
      <c r="X28677" s="19"/>
      <c r="Y28677" s="20"/>
    </row>
    <row r="28678" spans="24:25">
      <c r="X28678" s="19"/>
      <c r="Y28678" s="20"/>
    </row>
    <row r="28679" spans="24:25">
      <c r="X28679" s="19"/>
      <c r="Y28679" s="20"/>
    </row>
    <row r="28680" spans="24:25">
      <c r="X28680" s="19"/>
      <c r="Y28680" s="20"/>
    </row>
    <row r="28681" spans="24:25">
      <c r="X28681" s="19"/>
      <c r="Y28681" s="20"/>
    </row>
    <row r="28682" spans="24:25">
      <c r="X28682" s="19"/>
      <c r="Y28682" s="20"/>
    </row>
    <row r="28683" spans="24:25">
      <c r="X28683" s="19"/>
      <c r="Y28683" s="20"/>
    </row>
    <row r="28684" spans="24:25">
      <c r="X28684" s="19"/>
      <c r="Y28684" s="20"/>
    </row>
    <row r="28685" spans="24:25">
      <c r="X28685" s="19"/>
      <c r="Y28685" s="20"/>
    </row>
    <row r="28686" spans="24:25">
      <c r="X28686" s="19"/>
      <c r="Y28686" s="20"/>
    </row>
    <row r="28687" spans="24:25">
      <c r="X28687" s="19"/>
      <c r="Y28687" s="20"/>
    </row>
    <row r="28688" spans="24:25">
      <c r="X28688" s="19"/>
      <c r="Y28688" s="20"/>
    </row>
    <row r="28689" spans="24:25">
      <c r="X28689" s="19"/>
      <c r="Y28689" s="20"/>
    </row>
    <row r="28690" spans="24:25">
      <c r="X28690" s="19"/>
      <c r="Y28690" s="20"/>
    </row>
    <row r="28691" spans="24:25">
      <c r="X28691" s="19"/>
      <c r="Y28691" s="20"/>
    </row>
    <row r="28692" spans="24:25">
      <c r="X28692" s="19"/>
      <c r="Y28692" s="20"/>
    </row>
    <row r="28693" spans="24:25">
      <c r="X28693" s="19"/>
      <c r="Y28693" s="20"/>
    </row>
    <row r="28694" spans="24:25">
      <c r="X28694" s="19"/>
      <c r="Y28694" s="20"/>
    </row>
    <row r="28695" spans="24:25">
      <c r="X28695" s="19"/>
      <c r="Y28695" s="20"/>
    </row>
    <row r="28696" spans="24:25">
      <c r="X28696" s="19"/>
      <c r="Y28696" s="20"/>
    </row>
    <row r="28697" spans="24:25">
      <c r="X28697" s="19"/>
      <c r="Y28697" s="20"/>
    </row>
    <row r="28698" spans="24:25">
      <c r="X28698" s="19"/>
      <c r="Y28698" s="20"/>
    </row>
    <row r="28699" spans="24:25">
      <c r="X28699" s="19"/>
      <c r="Y28699" s="20"/>
    </row>
    <row r="28700" spans="24:25">
      <c r="X28700" s="19"/>
      <c r="Y28700" s="20"/>
    </row>
    <row r="28701" spans="24:25">
      <c r="X28701" s="19"/>
      <c r="Y28701" s="20"/>
    </row>
    <row r="28702" spans="24:25">
      <c r="X28702" s="19"/>
      <c r="Y28702" s="20"/>
    </row>
    <row r="28703" spans="24:25">
      <c r="X28703" s="19"/>
      <c r="Y28703" s="20"/>
    </row>
    <row r="28704" spans="24:25">
      <c r="X28704" s="19"/>
      <c r="Y28704" s="20"/>
    </row>
    <row r="28705" spans="24:25">
      <c r="X28705" s="19"/>
      <c r="Y28705" s="20"/>
    </row>
    <row r="28706" spans="24:25">
      <c r="X28706" s="19"/>
      <c r="Y28706" s="20"/>
    </row>
    <row r="28707" spans="24:25">
      <c r="X28707" s="19"/>
      <c r="Y28707" s="20"/>
    </row>
    <row r="28708" spans="24:25">
      <c r="X28708" s="19"/>
      <c r="Y28708" s="20"/>
    </row>
    <row r="28709" spans="24:25">
      <c r="X28709" s="19"/>
      <c r="Y28709" s="20"/>
    </row>
    <row r="28710" spans="24:25">
      <c r="X28710" s="19"/>
      <c r="Y28710" s="20"/>
    </row>
    <row r="28711" spans="24:25">
      <c r="X28711" s="19"/>
      <c r="Y28711" s="20"/>
    </row>
    <row r="28712" spans="24:25">
      <c r="X28712" s="19"/>
      <c r="Y28712" s="20"/>
    </row>
    <row r="28713" spans="24:25">
      <c r="X28713" s="19"/>
      <c r="Y28713" s="20"/>
    </row>
    <row r="28714" spans="24:25">
      <c r="X28714" s="19"/>
      <c r="Y28714" s="20"/>
    </row>
    <row r="28715" spans="24:25">
      <c r="X28715" s="19"/>
      <c r="Y28715" s="20"/>
    </row>
    <row r="28716" spans="24:25">
      <c r="X28716" s="19"/>
      <c r="Y28716" s="20"/>
    </row>
    <row r="28717" spans="24:25">
      <c r="X28717" s="19"/>
      <c r="Y28717" s="20"/>
    </row>
    <row r="28718" spans="24:25">
      <c r="X28718" s="19"/>
      <c r="Y28718" s="20"/>
    </row>
    <row r="28719" spans="24:25">
      <c r="X28719" s="19"/>
      <c r="Y28719" s="20"/>
    </row>
    <row r="28720" spans="24:25">
      <c r="X28720" s="19"/>
      <c r="Y28720" s="20"/>
    </row>
    <row r="28721" spans="24:25">
      <c r="X28721" s="19"/>
      <c r="Y28721" s="20"/>
    </row>
    <row r="28722" spans="24:25">
      <c r="X28722" s="19"/>
      <c r="Y28722" s="20"/>
    </row>
    <row r="28723" spans="24:25">
      <c r="X28723" s="19"/>
      <c r="Y28723" s="20"/>
    </row>
    <row r="28724" spans="24:25">
      <c r="X28724" s="19"/>
      <c r="Y28724" s="20"/>
    </row>
    <row r="28725" spans="24:25">
      <c r="X28725" s="19"/>
      <c r="Y28725" s="20"/>
    </row>
    <row r="28726" spans="24:25">
      <c r="X28726" s="19"/>
      <c r="Y28726" s="20"/>
    </row>
    <row r="28727" spans="24:25">
      <c r="X28727" s="19"/>
      <c r="Y28727" s="20"/>
    </row>
    <row r="28728" spans="24:25">
      <c r="X28728" s="19"/>
      <c r="Y28728" s="20"/>
    </row>
    <row r="28729" spans="24:25">
      <c r="X28729" s="19"/>
      <c r="Y28729" s="20"/>
    </row>
    <row r="28730" spans="24:25">
      <c r="X28730" s="19"/>
      <c r="Y28730" s="20"/>
    </row>
    <row r="28731" spans="24:25">
      <c r="X28731" s="19"/>
      <c r="Y28731" s="20"/>
    </row>
    <row r="28732" spans="24:25">
      <c r="X28732" s="19"/>
      <c r="Y28732" s="20"/>
    </row>
    <row r="28733" spans="24:25">
      <c r="X28733" s="19"/>
      <c r="Y28733" s="20"/>
    </row>
    <row r="28734" spans="24:25">
      <c r="X28734" s="19"/>
      <c r="Y28734" s="20"/>
    </row>
    <row r="28735" spans="24:25">
      <c r="X28735" s="19"/>
      <c r="Y28735" s="20"/>
    </row>
    <row r="28736" spans="24:25">
      <c r="X28736" s="19"/>
      <c r="Y28736" s="20"/>
    </row>
    <row r="28737" spans="24:25">
      <c r="X28737" s="19"/>
      <c r="Y28737" s="20"/>
    </row>
    <row r="28738" spans="24:25">
      <c r="X28738" s="19"/>
      <c r="Y28738" s="20"/>
    </row>
    <row r="28739" spans="24:25">
      <c r="X28739" s="19"/>
      <c r="Y28739" s="20"/>
    </row>
    <row r="28740" spans="24:25">
      <c r="X28740" s="19"/>
      <c r="Y28740" s="20"/>
    </row>
    <row r="28741" spans="24:25">
      <c r="X28741" s="19"/>
      <c r="Y28741" s="20"/>
    </row>
    <row r="28742" spans="24:25">
      <c r="X28742" s="19"/>
      <c r="Y28742" s="20"/>
    </row>
    <row r="28743" spans="24:25">
      <c r="X28743" s="19"/>
      <c r="Y28743" s="20"/>
    </row>
    <row r="28744" spans="24:25">
      <c r="X28744" s="19"/>
      <c r="Y28744" s="20"/>
    </row>
    <row r="28745" spans="24:25">
      <c r="X28745" s="19"/>
      <c r="Y28745" s="20"/>
    </row>
    <row r="28746" spans="24:25">
      <c r="X28746" s="19"/>
      <c r="Y28746" s="20"/>
    </row>
    <row r="28747" spans="24:25">
      <c r="X28747" s="19"/>
      <c r="Y28747" s="20"/>
    </row>
    <row r="28748" spans="24:25">
      <c r="X28748" s="19"/>
      <c r="Y28748" s="20"/>
    </row>
    <row r="28749" spans="24:25">
      <c r="X28749" s="19"/>
      <c r="Y28749" s="20"/>
    </row>
    <row r="28750" spans="24:25">
      <c r="X28750" s="19"/>
      <c r="Y28750" s="20"/>
    </row>
    <row r="28751" spans="24:25">
      <c r="X28751" s="19"/>
      <c r="Y28751" s="20"/>
    </row>
    <row r="28752" spans="24:25">
      <c r="X28752" s="19"/>
      <c r="Y28752" s="20"/>
    </row>
    <row r="28753" spans="24:25">
      <c r="X28753" s="19"/>
      <c r="Y28753" s="20"/>
    </row>
    <row r="28754" spans="24:25">
      <c r="X28754" s="19"/>
      <c r="Y28754" s="20"/>
    </row>
    <row r="28755" spans="24:25">
      <c r="X28755" s="19"/>
      <c r="Y28755" s="20"/>
    </row>
    <row r="28756" spans="24:25">
      <c r="X28756" s="19"/>
      <c r="Y28756" s="20"/>
    </row>
    <row r="28757" spans="24:25">
      <c r="X28757" s="19"/>
      <c r="Y28757" s="20"/>
    </row>
    <row r="28758" spans="24:25">
      <c r="X28758" s="19"/>
      <c r="Y28758" s="20"/>
    </row>
    <row r="28759" spans="24:25">
      <c r="X28759" s="19"/>
      <c r="Y28759" s="20"/>
    </row>
    <row r="28760" spans="24:25">
      <c r="X28760" s="19"/>
      <c r="Y28760" s="20"/>
    </row>
    <row r="28761" spans="24:25">
      <c r="X28761" s="19"/>
      <c r="Y28761" s="20"/>
    </row>
    <row r="28762" spans="24:25">
      <c r="X28762" s="19"/>
      <c r="Y28762" s="20"/>
    </row>
    <row r="28763" spans="24:25">
      <c r="X28763" s="19"/>
      <c r="Y28763" s="20"/>
    </row>
    <row r="28764" spans="24:25">
      <c r="X28764" s="19"/>
      <c r="Y28764" s="20"/>
    </row>
    <row r="28765" spans="24:25">
      <c r="X28765" s="19"/>
      <c r="Y28765" s="20"/>
    </row>
    <row r="28766" spans="24:25">
      <c r="X28766" s="19"/>
      <c r="Y28766" s="20"/>
    </row>
    <row r="28767" spans="24:25">
      <c r="X28767" s="19"/>
      <c r="Y28767" s="20"/>
    </row>
    <row r="28768" spans="24:25">
      <c r="X28768" s="19"/>
      <c r="Y28768" s="20"/>
    </row>
    <row r="28769" spans="24:25">
      <c r="X28769" s="19"/>
      <c r="Y28769" s="20"/>
    </row>
    <row r="28770" spans="24:25">
      <c r="X28770" s="19"/>
      <c r="Y28770" s="20"/>
    </row>
    <row r="28771" spans="24:25">
      <c r="X28771" s="19"/>
      <c r="Y28771" s="20"/>
    </row>
    <row r="28772" spans="24:25">
      <c r="X28772" s="19"/>
      <c r="Y28772" s="20"/>
    </row>
    <row r="28773" spans="24:25">
      <c r="X28773" s="19"/>
      <c r="Y28773" s="20"/>
    </row>
    <row r="28774" spans="24:25">
      <c r="X28774" s="19"/>
      <c r="Y28774" s="20"/>
    </row>
    <row r="28775" spans="24:25">
      <c r="X28775" s="19"/>
      <c r="Y28775" s="20"/>
    </row>
    <row r="28776" spans="24:25">
      <c r="X28776" s="19"/>
      <c r="Y28776" s="20"/>
    </row>
    <row r="28777" spans="24:25">
      <c r="X28777" s="19"/>
      <c r="Y28777" s="20"/>
    </row>
    <row r="28778" spans="24:25">
      <c r="X28778" s="19"/>
      <c r="Y28778" s="20"/>
    </row>
    <row r="28779" spans="24:25">
      <c r="X28779" s="19"/>
      <c r="Y28779" s="20"/>
    </row>
    <row r="28780" spans="24:25">
      <c r="X28780" s="19"/>
      <c r="Y28780" s="20"/>
    </row>
    <row r="28781" spans="24:25">
      <c r="X28781" s="19"/>
      <c r="Y28781" s="20"/>
    </row>
    <row r="28782" spans="24:25">
      <c r="X28782" s="19"/>
      <c r="Y28782" s="20"/>
    </row>
    <row r="28783" spans="24:25">
      <c r="X28783" s="19"/>
      <c r="Y28783" s="20"/>
    </row>
    <row r="28784" spans="24:25">
      <c r="X28784" s="19"/>
      <c r="Y28784" s="20"/>
    </row>
    <row r="28785" spans="24:25">
      <c r="X28785" s="19"/>
      <c r="Y28785" s="20"/>
    </row>
    <row r="28786" spans="24:25">
      <c r="X28786" s="19"/>
      <c r="Y28786" s="20"/>
    </row>
    <row r="28787" spans="24:25">
      <c r="X28787" s="19"/>
      <c r="Y28787" s="20"/>
    </row>
    <row r="28788" spans="24:25">
      <c r="X28788" s="19"/>
      <c r="Y28788" s="20"/>
    </row>
    <row r="28789" spans="24:25">
      <c r="X28789" s="19"/>
      <c r="Y28789" s="20"/>
    </row>
    <row r="28790" spans="24:25">
      <c r="X28790" s="19"/>
      <c r="Y28790" s="20"/>
    </row>
    <row r="28791" spans="24:25">
      <c r="X28791" s="19"/>
      <c r="Y28791" s="20"/>
    </row>
    <row r="28792" spans="24:25">
      <c r="X28792" s="19"/>
      <c r="Y28792" s="20"/>
    </row>
    <row r="28793" spans="24:25">
      <c r="X28793" s="19"/>
      <c r="Y28793" s="20"/>
    </row>
    <row r="28794" spans="24:25">
      <c r="X28794" s="19"/>
      <c r="Y28794" s="20"/>
    </row>
    <row r="28795" spans="24:25">
      <c r="X28795" s="19"/>
      <c r="Y28795" s="20"/>
    </row>
    <row r="28796" spans="24:25">
      <c r="X28796" s="19"/>
      <c r="Y28796" s="20"/>
    </row>
    <row r="28797" spans="24:25">
      <c r="X28797" s="19"/>
      <c r="Y28797" s="20"/>
    </row>
    <row r="28798" spans="24:25">
      <c r="X28798" s="19"/>
      <c r="Y28798" s="20"/>
    </row>
    <row r="28799" spans="24:25">
      <c r="X28799" s="19"/>
      <c r="Y28799" s="20"/>
    </row>
    <row r="28800" spans="24:25">
      <c r="X28800" s="19"/>
      <c r="Y28800" s="20"/>
    </row>
    <row r="28801" spans="24:25">
      <c r="X28801" s="19"/>
      <c r="Y28801" s="20"/>
    </row>
    <row r="28802" spans="24:25">
      <c r="X28802" s="19"/>
      <c r="Y28802" s="20"/>
    </row>
    <row r="28803" spans="24:25">
      <c r="X28803" s="19"/>
      <c r="Y28803" s="20"/>
    </row>
    <row r="28804" spans="24:25">
      <c r="X28804" s="19"/>
      <c r="Y28804" s="20"/>
    </row>
    <row r="28805" spans="24:25">
      <c r="X28805" s="19"/>
      <c r="Y28805" s="20"/>
    </row>
    <row r="28806" spans="24:25">
      <c r="X28806" s="19"/>
      <c r="Y28806" s="20"/>
    </row>
    <row r="28807" spans="24:25">
      <c r="X28807" s="19"/>
      <c r="Y28807" s="20"/>
    </row>
    <row r="28808" spans="24:25">
      <c r="X28808" s="19"/>
      <c r="Y28808" s="20"/>
    </row>
    <row r="28809" spans="24:25">
      <c r="X28809" s="19"/>
      <c r="Y28809" s="20"/>
    </row>
    <row r="28810" spans="24:25">
      <c r="X28810" s="19"/>
      <c r="Y28810" s="20"/>
    </row>
    <row r="28811" spans="24:25">
      <c r="X28811" s="19"/>
      <c r="Y28811" s="20"/>
    </row>
    <row r="28812" spans="24:25">
      <c r="X28812" s="19"/>
      <c r="Y28812" s="20"/>
    </row>
    <row r="28813" spans="24:25">
      <c r="X28813" s="19"/>
      <c r="Y28813" s="20"/>
    </row>
    <row r="28814" spans="24:25">
      <c r="X28814" s="19"/>
      <c r="Y28814" s="20"/>
    </row>
    <row r="28815" spans="24:25">
      <c r="X28815" s="19"/>
      <c r="Y28815" s="20"/>
    </row>
    <row r="28816" spans="24:25">
      <c r="X28816" s="19"/>
      <c r="Y28816" s="20"/>
    </row>
    <row r="28817" spans="24:25">
      <c r="X28817" s="19"/>
      <c r="Y28817" s="20"/>
    </row>
    <row r="28818" spans="24:25">
      <c r="X28818" s="19"/>
      <c r="Y28818" s="20"/>
    </row>
    <row r="28819" spans="24:25">
      <c r="X28819" s="19"/>
      <c r="Y28819" s="20"/>
    </row>
    <row r="28820" spans="24:25">
      <c r="X28820" s="19"/>
      <c r="Y28820" s="20"/>
    </row>
    <row r="28821" spans="24:25">
      <c r="X28821" s="19"/>
      <c r="Y28821" s="20"/>
    </row>
    <row r="28822" spans="24:25">
      <c r="X28822" s="19"/>
      <c r="Y28822" s="20"/>
    </row>
    <row r="28823" spans="24:25">
      <c r="X28823" s="19"/>
      <c r="Y28823" s="20"/>
    </row>
    <row r="28824" spans="24:25">
      <c r="X28824" s="19"/>
      <c r="Y28824" s="20"/>
    </row>
    <row r="28825" spans="24:25">
      <c r="X28825" s="19"/>
      <c r="Y28825" s="20"/>
    </row>
    <row r="28826" spans="24:25">
      <c r="X28826" s="19"/>
      <c r="Y28826" s="20"/>
    </row>
    <row r="28827" spans="24:25">
      <c r="X28827" s="19"/>
      <c r="Y28827" s="20"/>
    </row>
    <row r="28828" spans="24:25">
      <c r="X28828" s="19"/>
      <c r="Y28828" s="20"/>
    </row>
    <row r="28829" spans="24:25">
      <c r="X28829" s="19"/>
      <c r="Y28829" s="20"/>
    </row>
    <row r="28830" spans="24:25">
      <c r="X28830" s="19"/>
      <c r="Y28830" s="20"/>
    </row>
    <row r="28831" spans="24:25">
      <c r="X28831" s="19"/>
      <c r="Y28831" s="20"/>
    </row>
    <row r="28832" spans="24:25">
      <c r="X28832" s="19"/>
      <c r="Y28832" s="20"/>
    </row>
    <row r="28833" spans="24:25">
      <c r="X28833" s="19"/>
      <c r="Y28833" s="20"/>
    </row>
    <row r="28834" spans="24:25">
      <c r="X28834" s="19"/>
      <c r="Y28834" s="20"/>
    </row>
    <row r="28835" spans="24:25">
      <c r="X28835" s="19"/>
      <c r="Y28835" s="20"/>
    </row>
    <row r="28836" spans="24:25">
      <c r="X28836" s="19"/>
      <c r="Y28836" s="20"/>
    </row>
    <row r="28837" spans="24:25">
      <c r="X28837" s="19"/>
      <c r="Y28837" s="20"/>
    </row>
    <row r="28838" spans="24:25">
      <c r="X28838" s="19"/>
      <c r="Y28838" s="20"/>
    </row>
    <row r="28839" spans="24:25">
      <c r="X28839" s="19"/>
      <c r="Y28839" s="20"/>
    </row>
    <row r="28840" spans="24:25">
      <c r="X28840" s="19"/>
      <c r="Y28840" s="20"/>
    </row>
    <row r="28841" spans="24:25">
      <c r="X28841" s="19"/>
      <c r="Y28841" s="20"/>
    </row>
    <row r="28842" spans="24:25">
      <c r="X28842" s="19"/>
      <c r="Y28842" s="20"/>
    </row>
    <row r="28843" spans="24:25">
      <c r="X28843" s="19"/>
      <c r="Y28843" s="20"/>
    </row>
    <row r="28844" spans="24:25">
      <c r="X28844" s="19"/>
      <c r="Y28844" s="20"/>
    </row>
    <row r="28845" spans="24:25">
      <c r="X28845" s="19"/>
      <c r="Y28845" s="20"/>
    </row>
    <row r="28846" spans="24:25">
      <c r="X28846" s="19"/>
      <c r="Y28846" s="20"/>
    </row>
    <row r="28847" spans="24:25">
      <c r="X28847" s="19"/>
      <c r="Y28847" s="20"/>
    </row>
    <row r="28848" spans="24:25">
      <c r="X28848" s="19"/>
      <c r="Y28848" s="20"/>
    </row>
    <row r="28849" spans="24:25">
      <c r="X28849" s="19"/>
      <c r="Y28849" s="20"/>
    </row>
    <row r="28850" spans="24:25">
      <c r="X28850" s="19"/>
      <c r="Y28850" s="20"/>
    </row>
    <row r="28851" spans="24:25">
      <c r="X28851" s="19"/>
      <c r="Y28851" s="20"/>
    </row>
    <row r="28852" spans="24:25">
      <c r="X28852" s="19"/>
      <c r="Y28852" s="20"/>
    </row>
    <row r="28853" spans="24:25">
      <c r="X28853" s="19"/>
      <c r="Y28853" s="20"/>
    </row>
    <row r="28854" spans="24:25">
      <c r="X28854" s="19"/>
      <c r="Y28854" s="20"/>
    </row>
    <row r="28855" spans="24:25">
      <c r="X28855" s="19"/>
      <c r="Y28855" s="20"/>
    </row>
    <row r="28856" spans="24:25">
      <c r="X28856" s="19"/>
      <c r="Y28856" s="20"/>
    </row>
    <row r="28857" spans="24:25">
      <c r="X28857" s="19"/>
      <c r="Y28857" s="20"/>
    </row>
    <row r="28858" spans="24:25">
      <c r="X28858" s="19"/>
      <c r="Y28858" s="20"/>
    </row>
    <row r="28859" spans="24:25">
      <c r="X28859" s="19"/>
      <c r="Y28859" s="20"/>
    </row>
    <row r="28860" spans="24:25">
      <c r="X28860" s="19"/>
      <c r="Y28860" s="20"/>
    </row>
    <row r="28861" spans="24:25">
      <c r="X28861" s="19"/>
      <c r="Y28861" s="20"/>
    </row>
    <row r="28862" spans="24:25">
      <c r="X28862" s="19"/>
      <c r="Y28862" s="20"/>
    </row>
    <row r="28863" spans="24:25">
      <c r="X28863" s="19"/>
      <c r="Y28863" s="20"/>
    </row>
    <row r="28864" spans="24:25">
      <c r="X28864" s="19"/>
      <c r="Y28864" s="20"/>
    </row>
    <row r="28865" spans="24:25">
      <c r="X28865" s="19"/>
      <c r="Y28865" s="20"/>
    </row>
    <row r="28866" spans="24:25">
      <c r="X28866" s="19"/>
      <c r="Y28866" s="20"/>
    </row>
    <row r="28867" spans="24:25">
      <c r="X28867" s="19"/>
      <c r="Y28867" s="20"/>
    </row>
    <row r="28868" spans="24:25">
      <c r="X28868" s="19"/>
      <c r="Y28868" s="20"/>
    </row>
    <row r="28869" spans="24:25">
      <c r="X28869" s="19"/>
      <c r="Y28869" s="20"/>
    </row>
    <row r="28870" spans="24:25">
      <c r="X28870" s="19"/>
      <c r="Y28870" s="20"/>
    </row>
    <row r="28871" spans="24:25">
      <c r="X28871" s="19"/>
      <c r="Y28871" s="20"/>
    </row>
    <row r="28872" spans="24:25">
      <c r="X28872" s="19"/>
      <c r="Y28872" s="20"/>
    </row>
    <row r="28873" spans="24:25">
      <c r="X28873" s="19"/>
      <c r="Y28873" s="20"/>
    </row>
    <row r="28874" spans="24:25">
      <c r="X28874" s="19"/>
      <c r="Y28874" s="20"/>
    </row>
    <row r="28875" spans="24:25">
      <c r="X28875" s="19"/>
      <c r="Y28875" s="20"/>
    </row>
    <row r="28876" spans="24:25">
      <c r="X28876" s="19"/>
      <c r="Y28876" s="20"/>
    </row>
    <row r="28877" spans="24:25">
      <c r="X28877" s="19"/>
      <c r="Y28877" s="20"/>
    </row>
    <row r="28878" spans="24:25">
      <c r="X28878" s="19"/>
      <c r="Y28878" s="20"/>
    </row>
    <row r="28879" spans="24:25">
      <c r="X28879" s="19"/>
      <c r="Y28879" s="20"/>
    </row>
    <row r="28880" spans="24:25">
      <c r="X28880" s="19"/>
      <c r="Y28880" s="20"/>
    </row>
    <row r="28881" spans="24:25">
      <c r="X28881" s="19"/>
      <c r="Y28881" s="20"/>
    </row>
    <row r="28882" spans="24:25">
      <c r="X28882" s="19"/>
      <c r="Y28882" s="20"/>
    </row>
    <row r="28883" spans="24:25">
      <c r="X28883" s="19"/>
      <c r="Y28883" s="20"/>
    </row>
    <row r="28884" spans="24:25">
      <c r="X28884" s="19"/>
      <c r="Y28884" s="20"/>
    </row>
    <row r="28885" spans="24:25">
      <c r="X28885" s="19"/>
      <c r="Y28885" s="20"/>
    </row>
    <row r="28886" spans="24:25">
      <c r="X28886" s="19"/>
      <c r="Y28886" s="20"/>
    </row>
    <row r="28887" spans="24:25">
      <c r="X28887" s="19"/>
      <c r="Y28887" s="20"/>
    </row>
    <row r="28888" spans="24:25">
      <c r="X28888" s="19"/>
      <c r="Y28888" s="20"/>
    </row>
    <row r="28889" spans="24:25">
      <c r="X28889" s="19"/>
      <c r="Y28889" s="20"/>
    </row>
    <row r="28890" spans="24:25">
      <c r="X28890" s="19"/>
      <c r="Y28890" s="20"/>
    </row>
    <row r="28891" spans="24:25">
      <c r="X28891" s="19"/>
      <c r="Y28891" s="20"/>
    </row>
    <row r="28892" spans="24:25">
      <c r="X28892" s="19"/>
      <c r="Y28892" s="20"/>
    </row>
    <row r="28893" spans="24:25">
      <c r="X28893" s="19"/>
      <c r="Y28893" s="20"/>
    </row>
    <row r="28894" spans="24:25">
      <c r="X28894" s="19"/>
      <c r="Y28894" s="20"/>
    </row>
    <row r="28895" spans="24:25">
      <c r="X28895" s="19"/>
      <c r="Y28895" s="20"/>
    </row>
    <row r="28896" spans="24:25">
      <c r="X28896" s="19"/>
      <c r="Y28896" s="20"/>
    </row>
    <row r="28897" spans="24:25">
      <c r="X28897" s="19"/>
      <c r="Y28897" s="20"/>
    </row>
    <row r="28898" spans="24:25">
      <c r="X28898" s="19"/>
      <c r="Y28898" s="20"/>
    </row>
    <row r="28899" spans="24:25">
      <c r="X28899" s="19"/>
      <c r="Y28899" s="20"/>
    </row>
    <row r="28900" spans="24:25">
      <c r="X28900" s="19"/>
      <c r="Y28900" s="20"/>
    </row>
    <row r="28901" spans="24:25">
      <c r="X28901" s="19"/>
      <c r="Y28901" s="20"/>
    </row>
    <row r="28902" spans="24:25">
      <c r="X28902" s="19"/>
      <c r="Y28902" s="20"/>
    </row>
    <row r="28903" spans="24:25">
      <c r="X28903" s="19"/>
      <c r="Y28903" s="20"/>
    </row>
    <row r="28904" spans="24:25">
      <c r="X28904" s="19"/>
      <c r="Y28904" s="20"/>
    </row>
    <row r="28905" spans="24:25">
      <c r="X28905" s="19"/>
      <c r="Y28905" s="20"/>
    </row>
    <row r="28906" spans="24:25">
      <c r="X28906" s="19"/>
      <c r="Y28906" s="20"/>
    </row>
    <row r="28907" spans="24:25">
      <c r="X28907" s="19"/>
      <c r="Y28907" s="20"/>
    </row>
    <row r="28908" spans="24:25">
      <c r="X28908" s="19"/>
      <c r="Y28908" s="20"/>
    </row>
    <row r="28909" spans="24:25">
      <c r="X28909" s="19"/>
      <c r="Y28909" s="20"/>
    </row>
    <row r="28910" spans="24:25">
      <c r="X28910" s="19"/>
      <c r="Y28910" s="20"/>
    </row>
    <row r="28911" spans="24:25">
      <c r="X28911" s="19"/>
      <c r="Y28911" s="20"/>
    </row>
    <row r="28912" spans="24:25">
      <c r="X28912" s="19"/>
      <c r="Y28912" s="20"/>
    </row>
    <row r="28913" spans="24:25">
      <c r="X28913" s="19"/>
      <c r="Y28913" s="20"/>
    </row>
    <row r="28914" spans="24:25">
      <c r="X28914" s="19"/>
      <c r="Y28914" s="20"/>
    </row>
    <row r="28915" spans="24:25">
      <c r="X28915" s="19"/>
      <c r="Y28915" s="20"/>
    </row>
    <row r="28916" spans="24:25">
      <c r="X28916" s="19"/>
      <c r="Y28916" s="20"/>
    </row>
    <row r="28917" spans="24:25">
      <c r="X28917" s="19"/>
      <c r="Y28917" s="20"/>
    </row>
    <row r="28918" spans="24:25">
      <c r="X28918" s="19"/>
      <c r="Y28918" s="20"/>
    </row>
    <row r="28919" spans="24:25">
      <c r="X28919" s="19"/>
      <c r="Y28919" s="20"/>
    </row>
    <row r="28920" spans="24:25">
      <c r="X28920" s="19"/>
      <c r="Y28920" s="20"/>
    </row>
    <row r="28921" spans="24:25">
      <c r="X28921" s="19"/>
      <c r="Y28921" s="20"/>
    </row>
    <row r="28922" spans="24:25">
      <c r="X28922" s="19"/>
      <c r="Y28922" s="20"/>
    </row>
    <row r="28923" spans="24:25">
      <c r="X28923" s="19"/>
      <c r="Y28923" s="20"/>
    </row>
    <row r="28924" spans="24:25">
      <c r="X28924" s="19"/>
      <c r="Y28924" s="20"/>
    </row>
    <row r="28925" spans="24:25">
      <c r="X28925" s="19"/>
      <c r="Y28925" s="20"/>
    </row>
    <row r="28926" spans="24:25">
      <c r="X28926" s="19"/>
      <c r="Y28926" s="20"/>
    </row>
    <row r="28927" spans="24:25">
      <c r="X28927" s="19"/>
      <c r="Y28927" s="20"/>
    </row>
    <row r="28928" spans="24:25">
      <c r="X28928" s="19"/>
      <c r="Y28928" s="20"/>
    </row>
    <row r="28929" spans="24:25">
      <c r="X28929" s="19"/>
      <c r="Y28929" s="20"/>
    </row>
    <row r="28930" spans="24:25">
      <c r="X28930" s="19"/>
      <c r="Y28930" s="20"/>
    </row>
    <row r="28931" spans="24:25">
      <c r="X28931" s="19"/>
      <c r="Y28931" s="20"/>
    </row>
    <row r="28932" spans="24:25">
      <c r="X28932" s="19"/>
      <c r="Y28932" s="20"/>
    </row>
    <row r="28933" spans="24:25">
      <c r="X28933" s="19"/>
      <c r="Y28933" s="20"/>
    </row>
    <row r="28934" spans="24:25">
      <c r="X28934" s="19"/>
      <c r="Y28934" s="20"/>
    </row>
    <row r="28935" spans="24:25">
      <c r="X28935" s="19"/>
      <c r="Y28935" s="20"/>
    </row>
    <row r="28936" spans="24:25">
      <c r="X28936" s="19"/>
      <c r="Y28936" s="20"/>
    </row>
    <row r="28937" spans="24:25">
      <c r="X28937" s="19"/>
      <c r="Y28937" s="20"/>
    </row>
    <row r="28938" spans="24:25">
      <c r="X28938" s="19"/>
      <c r="Y28938" s="20"/>
    </row>
    <row r="28939" spans="24:25">
      <c r="X28939" s="19"/>
      <c r="Y28939" s="20"/>
    </row>
    <row r="28940" spans="24:25">
      <c r="X28940" s="19"/>
      <c r="Y28940" s="20"/>
    </row>
    <row r="28941" spans="24:25">
      <c r="X28941" s="19"/>
      <c r="Y28941" s="20"/>
    </row>
    <row r="28942" spans="24:25">
      <c r="X28942" s="19"/>
      <c r="Y28942" s="20"/>
    </row>
    <row r="28943" spans="24:25">
      <c r="X28943" s="19"/>
      <c r="Y28943" s="20"/>
    </row>
    <row r="28944" spans="24:25">
      <c r="X28944" s="19"/>
      <c r="Y28944" s="20"/>
    </row>
    <row r="28945" spans="24:25">
      <c r="X28945" s="19"/>
      <c r="Y28945" s="20"/>
    </row>
    <row r="28946" spans="24:25">
      <c r="X28946" s="19"/>
      <c r="Y28946" s="20"/>
    </row>
    <row r="28947" spans="24:25">
      <c r="X28947" s="19"/>
      <c r="Y28947" s="20"/>
    </row>
    <row r="28948" spans="24:25">
      <c r="X28948" s="19"/>
      <c r="Y28948" s="20"/>
    </row>
    <row r="28949" spans="24:25">
      <c r="X28949" s="19"/>
      <c r="Y28949" s="20"/>
    </row>
    <row r="28950" spans="24:25">
      <c r="X28950" s="19"/>
      <c r="Y28950" s="20"/>
    </row>
    <row r="28951" spans="24:25">
      <c r="X28951" s="19"/>
      <c r="Y28951" s="20"/>
    </row>
    <row r="28952" spans="24:25">
      <c r="X28952" s="19"/>
      <c r="Y28952" s="20"/>
    </row>
    <row r="28953" spans="24:25">
      <c r="X28953" s="19"/>
      <c r="Y28953" s="20"/>
    </row>
    <row r="28954" spans="24:25">
      <c r="X28954" s="19"/>
      <c r="Y28954" s="20"/>
    </row>
    <row r="28955" spans="24:25">
      <c r="X28955" s="19"/>
      <c r="Y28955" s="20"/>
    </row>
    <row r="28956" spans="24:25">
      <c r="X28956" s="19"/>
      <c r="Y28956" s="20"/>
    </row>
    <row r="28957" spans="24:25">
      <c r="X28957" s="19"/>
      <c r="Y28957" s="20"/>
    </row>
    <row r="28958" spans="24:25">
      <c r="X28958" s="19"/>
      <c r="Y28958" s="20"/>
    </row>
    <row r="28959" spans="24:25">
      <c r="X28959" s="19"/>
      <c r="Y28959" s="20"/>
    </row>
    <row r="28960" spans="24:25">
      <c r="X28960" s="19"/>
      <c r="Y28960" s="20"/>
    </row>
    <row r="28961" spans="24:25">
      <c r="X28961" s="19"/>
      <c r="Y28961" s="20"/>
    </row>
    <row r="28962" spans="24:25">
      <c r="X28962" s="19"/>
      <c r="Y28962" s="20"/>
    </row>
    <row r="28963" spans="24:25">
      <c r="X28963" s="19"/>
      <c r="Y28963" s="20"/>
    </row>
    <row r="28964" spans="24:25">
      <c r="X28964" s="19"/>
      <c r="Y28964" s="20"/>
    </row>
    <row r="28965" spans="24:25">
      <c r="X28965" s="19"/>
      <c r="Y28965" s="20"/>
    </row>
    <row r="28966" spans="24:25">
      <c r="X28966" s="19"/>
      <c r="Y28966" s="20"/>
    </row>
    <row r="28967" spans="24:25">
      <c r="X28967" s="19"/>
      <c r="Y28967" s="20"/>
    </row>
    <row r="28968" spans="24:25">
      <c r="X28968" s="19"/>
      <c r="Y28968" s="20"/>
    </row>
    <row r="28969" spans="24:25">
      <c r="X28969" s="19"/>
      <c r="Y28969" s="20"/>
    </row>
    <row r="28970" spans="24:25">
      <c r="X28970" s="19"/>
      <c r="Y28970" s="20"/>
    </row>
    <row r="28971" spans="24:25">
      <c r="X28971" s="19"/>
      <c r="Y28971" s="20"/>
    </row>
    <row r="28972" spans="24:25">
      <c r="X28972" s="19"/>
      <c r="Y28972" s="20"/>
    </row>
    <row r="28973" spans="24:25">
      <c r="X28973" s="19"/>
      <c r="Y28973" s="20"/>
    </row>
    <row r="28974" spans="24:25">
      <c r="X28974" s="19"/>
      <c r="Y28974" s="20"/>
    </row>
    <row r="28975" spans="24:25">
      <c r="X28975" s="19"/>
      <c r="Y28975" s="20"/>
    </row>
    <row r="28976" spans="24:25">
      <c r="X28976" s="19"/>
      <c r="Y28976" s="20"/>
    </row>
    <row r="28977" spans="24:25">
      <c r="X28977" s="19"/>
      <c r="Y28977" s="20"/>
    </row>
    <row r="28978" spans="24:25">
      <c r="X28978" s="19"/>
      <c r="Y28978" s="20"/>
    </row>
    <row r="28979" spans="24:25">
      <c r="X28979" s="19"/>
      <c r="Y28979" s="20"/>
    </row>
    <row r="28980" spans="24:25">
      <c r="X28980" s="19"/>
      <c r="Y28980" s="20"/>
    </row>
    <row r="28981" spans="24:25">
      <c r="X28981" s="19"/>
      <c r="Y28981" s="20"/>
    </row>
    <row r="28982" spans="24:25">
      <c r="X28982" s="19"/>
      <c r="Y28982" s="20"/>
    </row>
    <row r="28983" spans="24:25">
      <c r="X28983" s="19"/>
      <c r="Y28983" s="20"/>
    </row>
    <row r="28984" spans="24:25">
      <c r="X28984" s="19"/>
      <c r="Y28984" s="20"/>
    </row>
    <row r="28985" spans="24:25">
      <c r="X28985" s="19"/>
      <c r="Y28985" s="20"/>
    </row>
    <row r="28986" spans="24:25">
      <c r="X28986" s="19"/>
      <c r="Y28986" s="20"/>
    </row>
    <row r="28987" spans="24:25">
      <c r="X28987" s="19"/>
      <c r="Y28987" s="20"/>
    </row>
    <row r="28988" spans="24:25">
      <c r="X28988" s="19"/>
      <c r="Y28988" s="20"/>
    </row>
    <row r="28989" spans="24:25">
      <c r="X28989" s="19"/>
      <c r="Y28989" s="20"/>
    </row>
    <row r="28990" spans="24:25">
      <c r="X28990" s="19"/>
      <c r="Y28990" s="20"/>
    </row>
    <row r="28991" spans="24:25">
      <c r="X28991" s="19"/>
      <c r="Y28991" s="20"/>
    </row>
    <row r="28992" spans="24:25">
      <c r="X28992" s="19"/>
      <c r="Y28992" s="20"/>
    </row>
    <row r="28993" spans="24:25">
      <c r="X28993" s="19"/>
      <c r="Y28993" s="20"/>
    </row>
    <row r="28994" spans="24:25">
      <c r="X28994" s="19"/>
      <c r="Y28994" s="20"/>
    </row>
    <row r="28995" spans="24:25">
      <c r="X28995" s="19"/>
      <c r="Y28995" s="20"/>
    </row>
    <row r="28996" spans="24:25">
      <c r="X28996" s="19"/>
      <c r="Y28996" s="20"/>
    </row>
    <row r="28997" spans="24:25">
      <c r="X28997" s="19"/>
      <c r="Y28997" s="20"/>
    </row>
    <row r="28998" spans="24:25">
      <c r="X28998" s="19"/>
      <c r="Y28998" s="20"/>
    </row>
    <row r="28999" spans="24:25">
      <c r="X28999" s="19"/>
      <c r="Y28999" s="20"/>
    </row>
    <row r="29000" spans="24:25">
      <c r="X29000" s="19"/>
      <c r="Y29000" s="20"/>
    </row>
    <row r="29001" spans="24:25">
      <c r="X29001" s="19"/>
      <c r="Y29001" s="20"/>
    </row>
    <row r="29002" spans="24:25">
      <c r="X29002" s="19"/>
      <c r="Y29002" s="20"/>
    </row>
    <row r="29003" spans="24:25">
      <c r="X29003" s="19"/>
      <c r="Y29003" s="20"/>
    </row>
    <row r="29004" spans="24:25">
      <c r="X29004" s="19"/>
      <c r="Y29004" s="20"/>
    </row>
    <row r="29005" spans="24:25">
      <c r="X29005" s="19"/>
      <c r="Y29005" s="20"/>
    </row>
    <row r="29006" spans="24:25">
      <c r="X29006" s="19"/>
      <c r="Y29006" s="20"/>
    </row>
    <row r="29007" spans="24:25">
      <c r="X29007" s="19"/>
      <c r="Y29007" s="20"/>
    </row>
    <row r="29008" spans="24:25">
      <c r="X29008" s="19"/>
      <c r="Y29008" s="20"/>
    </row>
    <row r="29009" spans="24:25">
      <c r="X29009" s="19"/>
      <c r="Y29009" s="20"/>
    </row>
    <row r="29010" spans="24:25">
      <c r="X29010" s="19"/>
      <c r="Y29010" s="20"/>
    </row>
    <row r="29011" spans="24:25">
      <c r="X29011" s="19"/>
      <c r="Y29011" s="20"/>
    </row>
    <row r="29012" spans="24:25">
      <c r="X29012" s="19"/>
      <c r="Y29012" s="20"/>
    </row>
    <row r="29013" spans="24:25">
      <c r="X29013" s="19"/>
      <c r="Y29013" s="20"/>
    </row>
    <row r="29014" spans="24:25">
      <c r="X29014" s="19"/>
      <c r="Y29014" s="20"/>
    </row>
    <row r="29015" spans="24:25">
      <c r="X29015" s="19"/>
      <c r="Y29015" s="20"/>
    </row>
    <row r="29016" spans="24:25">
      <c r="X29016" s="19"/>
      <c r="Y29016" s="20"/>
    </row>
    <row r="29017" spans="24:25">
      <c r="X29017" s="19"/>
      <c r="Y29017" s="20"/>
    </row>
    <row r="29018" spans="24:25">
      <c r="X29018" s="19"/>
      <c r="Y29018" s="20"/>
    </row>
    <row r="29019" spans="24:25">
      <c r="X29019" s="19"/>
      <c r="Y29019" s="20"/>
    </row>
    <row r="29020" spans="24:25">
      <c r="X29020" s="19"/>
      <c r="Y29020" s="20"/>
    </row>
    <row r="29021" spans="24:25">
      <c r="X29021" s="19"/>
      <c r="Y29021" s="20"/>
    </row>
    <row r="29022" spans="24:25">
      <c r="X29022" s="19"/>
      <c r="Y29022" s="20"/>
    </row>
    <row r="29023" spans="24:25">
      <c r="X29023" s="19"/>
      <c r="Y29023" s="20"/>
    </row>
    <row r="29024" spans="24:25">
      <c r="X29024" s="19"/>
      <c r="Y29024" s="20"/>
    </row>
    <row r="29025" spans="24:25">
      <c r="X29025" s="19"/>
      <c r="Y29025" s="20"/>
    </row>
    <row r="29026" spans="24:25">
      <c r="X29026" s="19"/>
      <c r="Y29026" s="20"/>
    </row>
    <row r="29027" spans="24:25">
      <c r="X29027" s="19"/>
      <c r="Y29027" s="20"/>
    </row>
    <row r="29028" spans="24:25">
      <c r="X29028" s="19"/>
      <c r="Y29028" s="20"/>
    </row>
    <row r="29029" spans="24:25">
      <c r="X29029" s="19"/>
      <c r="Y29029" s="20"/>
    </row>
    <row r="29030" spans="24:25">
      <c r="X29030" s="19"/>
      <c r="Y29030" s="20"/>
    </row>
    <row r="29031" spans="24:25">
      <c r="X29031" s="19"/>
      <c r="Y29031" s="20"/>
    </row>
    <row r="29032" spans="24:25">
      <c r="X29032" s="19"/>
      <c r="Y29032" s="20"/>
    </row>
    <row r="29033" spans="24:25">
      <c r="X29033" s="19"/>
      <c r="Y29033" s="20"/>
    </row>
    <row r="29034" spans="24:25">
      <c r="X29034" s="19"/>
      <c r="Y29034" s="20"/>
    </row>
    <row r="29035" spans="24:25">
      <c r="X29035" s="19"/>
      <c r="Y29035" s="20"/>
    </row>
    <row r="29036" spans="24:25">
      <c r="X29036" s="19"/>
      <c r="Y29036" s="20"/>
    </row>
    <row r="29037" spans="24:25">
      <c r="X29037" s="19"/>
      <c r="Y29037" s="20"/>
    </row>
    <row r="29038" spans="24:25">
      <c r="X29038" s="19"/>
      <c r="Y29038" s="20"/>
    </row>
    <row r="29039" spans="24:25">
      <c r="X29039" s="19"/>
      <c r="Y29039" s="20"/>
    </row>
    <row r="29040" spans="24:25">
      <c r="X29040" s="19"/>
      <c r="Y29040" s="20"/>
    </row>
    <row r="29041" spans="24:25">
      <c r="X29041" s="19"/>
      <c r="Y29041" s="20"/>
    </row>
    <row r="29042" spans="24:25">
      <c r="X29042" s="19"/>
      <c r="Y29042" s="20"/>
    </row>
    <row r="29043" spans="24:25">
      <c r="X29043" s="19"/>
      <c r="Y29043" s="20"/>
    </row>
    <row r="29044" spans="24:25">
      <c r="X29044" s="19"/>
      <c r="Y29044" s="20"/>
    </row>
    <row r="29045" spans="24:25">
      <c r="X29045" s="19"/>
      <c r="Y29045" s="20"/>
    </row>
    <row r="29046" spans="24:25">
      <c r="X29046" s="19"/>
      <c r="Y29046" s="20"/>
    </row>
    <row r="29047" spans="24:25">
      <c r="X29047" s="19"/>
      <c r="Y29047" s="20"/>
    </row>
    <row r="29048" spans="24:25">
      <c r="X29048" s="19"/>
      <c r="Y29048" s="20"/>
    </row>
    <row r="29049" spans="24:25">
      <c r="X29049" s="19"/>
      <c r="Y29049" s="20"/>
    </row>
    <row r="29050" spans="24:25">
      <c r="X29050" s="19"/>
      <c r="Y29050" s="20"/>
    </row>
    <row r="29051" spans="24:25">
      <c r="X29051" s="19"/>
      <c r="Y29051" s="20"/>
    </row>
    <row r="29052" spans="24:25">
      <c r="X29052" s="19"/>
      <c r="Y29052" s="20"/>
    </row>
    <row r="29053" spans="24:25">
      <c r="X29053" s="19"/>
      <c r="Y29053" s="20"/>
    </row>
    <row r="29054" spans="24:25">
      <c r="X29054" s="19"/>
      <c r="Y29054" s="20"/>
    </row>
    <row r="29055" spans="24:25">
      <c r="X29055" s="19"/>
      <c r="Y29055" s="20"/>
    </row>
    <row r="29056" spans="24:25">
      <c r="X29056" s="19"/>
      <c r="Y29056" s="20"/>
    </row>
    <row r="29057" spans="24:25">
      <c r="X29057" s="19"/>
      <c r="Y29057" s="20"/>
    </row>
    <row r="29058" spans="24:25">
      <c r="X29058" s="19"/>
      <c r="Y29058" s="20"/>
    </row>
    <row r="29059" spans="24:25">
      <c r="X29059" s="19"/>
      <c r="Y29059" s="20"/>
    </row>
    <row r="29060" spans="24:25">
      <c r="X29060" s="19"/>
      <c r="Y29060" s="20"/>
    </row>
    <row r="29061" spans="24:25">
      <c r="X29061" s="19"/>
      <c r="Y29061" s="20"/>
    </row>
    <row r="29062" spans="24:25">
      <c r="X29062" s="19"/>
      <c r="Y29062" s="20"/>
    </row>
    <row r="29063" spans="24:25">
      <c r="X29063" s="19"/>
      <c r="Y29063" s="20"/>
    </row>
    <row r="29064" spans="24:25">
      <c r="X29064" s="19"/>
      <c r="Y29064" s="20"/>
    </row>
    <row r="29065" spans="24:25">
      <c r="X29065" s="19"/>
      <c r="Y29065" s="20"/>
    </row>
    <row r="29066" spans="24:25">
      <c r="X29066" s="19"/>
      <c r="Y29066" s="20"/>
    </row>
    <row r="29067" spans="24:25">
      <c r="X29067" s="19"/>
      <c r="Y29067" s="20"/>
    </row>
    <row r="29068" spans="24:25">
      <c r="X29068" s="19"/>
      <c r="Y29068" s="20"/>
    </row>
    <row r="29069" spans="24:25">
      <c r="X29069" s="19"/>
      <c r="Y29069" s="20"/>
    </row>
    <row r="29070" spans="24:25">
      <c r="X29070" s="19"/>
      <c r="Y29070" s="20"/>
    </row>
    <row r="29071" spans="24:25">
      <c r="X29071" s="19"/>
      <c r="Y29071" s="20"/>
    </row>
    <row r="29072" spans="24:25">
      <c r="X29072" s="19"/>
      <c r="Y29072" s="20"/>
    </row>
    <row r="29073" spans="24:25">
      <c r="X29073" s="19"/>
      <c r="Y29073" s="20"/>
    </row>
    <row r="29074" spans="24:25">
      <c r="X29074" s="19"/>
      <c r="Y29074" s="20"/>
    </row>
    <row r="29075" spans="24:25">
      <c r="X29075" s="19"/>
      <c r="Y29075" s="20"/>
    </row>
    <row r="29076" spans="24:25">
      <c r="X29076" s="19"/>
      <c r="Y29076" s="20"/>
    </row>
    <row r="29077" spans="24:25">
      <c r="X29077" s="19"/>
      <c r="Y29077" s="20"/>
    </row>
    <row r="29078" spans="24:25">
      <c r="X29078" s="19"/>
      <c r="Y29078" s="20"/>
    </row>
    <row r="29079" spans="24:25">
      <c r="X29079" s="19"/>
      <c r="Y29079" s="20"/>
    </row>
    <row r="29080" spans="24:25">
      <c r="X29080" s="19"/>
      <c r="Y29080" s="20"/>
    </row>
    <row r="29081" spans="24:25">
      <c r="X29081" s="19"/>
      <c r="Y29081" s="20"/>
    </row>
    <row r="29082" spans="24:25">
      <c r="X29082" s="19"/>
      <c r="Y29082" s="20"/>
    </row>
    <row r="29083" spans="24:25">
      <c r="X29083" s="19"/>
      <c r="Y29083" s="20"/>
    </row>
    <row r="29084" spans="24:25">
      <c r="X29084" s="19"/>
      <c r="Y29084" s="20"/>
    </row>
    <row r="29085" spans="24:25">
      <c r="X29085" s="19"/>
      <c r="Y29085" s="20"/>
    </row>
    <row r="29086" spans="24:25">
      <c r="X29086" s="19"/>
      <c r="Y29086" s="20"/>
    </row>
    <row r="29087" spans="24:25">
      <c r="X29087" s="19"/>
      <c r="Y29087" s="20"/>
    </row>
    <row r="29088" spans="24:25">
      <c r="X29088" s="19"/>
      <c r="Y29088" s="20"/>
    </row>
    <row r="29089" spans="24:25">
      <c r="X29089" s="19"/>
      <c r="Y29089" s="20"/>
    </row>
    <row r="29090" spans="24:25">
      <c r="X29090" s="19"/>
      <c r="Y29090" s="20"/>
    </row>
    <row r="29091" spans="24:25">
      <c r="X29091" s="19"/>
      <c r="Y29091" s="20"/>
    </row>
    <row r="29092" spans="24:25">
      <c r="X29092" s="19"/>
      <c r="Y29092" s="20"/>
    </row>
    <row r="29093" spans="24:25">
      <c r="X29093" s="19"/>
      <c r="Y29093" s="20"/>
    </row>
    <row r="29094" spans="24:25">
      <c r="X29094" s="19"/>
      <c r="Y29094" s="20"/>
    </row>
    <row r="29095" spans="24:25">
      <c r="X29095" s="19"/>
      <c r="Y29095" s="20"/>
    </row>
    <row r="29096" spans="24:25">
      <c r="X29096" s="19"/>
      <c r="Y29096" s="20"/>
    </row>
    <row r="29097" spans="24:25">
      <c r="X29097" s="19"/>
      <c r="Y29097" s="20"/>
    </row>
    <row r="29098" spans="24:25">
      <c r="X29098" s="19"/>
      <c r="Y29098" s="20"/>
    </row>
    <row r="29099" spans="24:25">
      <c r="X29099" s="19"/>
      <c r="Y29099" s="20"/>
    </row>
    <row r="29100" spans="24:25">
      <c r="X29100" s="19"/>
      <c r="Y29100" s="20"/>
    </row>
    <row r="29101" spans="24:25">
      <c r="X29101" s="19"/>
      <c r="Y29101" s="20"/>
    </row>
    <row r="29102" spans="24:25">
      <c r="X29102" s="19"/>
      <c r="Y29102" s="20"/>
    </row>
    <row r="29103" spans="24:25">
      <c r="X29103" s="19"/>
      <c r="Y29103" s="20"/>
    </row>
    <row r="29104" spans="24:25">
      <c r="X29104" s="19"/>
      <c r="Y29104" s="20"/>
    </row>
    <row r="29105" spans="24:25">
      <c r="X29105" s="19"/>
      <c r="Y29105" s="20"/>
    </row>
    <row r="29106" spans="24:25">
      <c r="X29106" s="19"/>
      <c r="Y29106" s="20"/>
    </row>
    <row r="29107" spans="24:25">
      <c r="X29107" s="19"/>
      <c r="Y29107" s="20"/>
    </row>
    <row r="29108" spans="24:25">
      <c r="X29108" s="19"/>
      <c r="Y29108" s="20"/>
    </row>
    <row r="29109" spans="24:25">
      <c r="X29109" s="19"/>
      <c r="Y29109" s="20"/>
    </row>
    <row r="29110" spans="24:25">
      <c r="X29110" s="19"/>
      <c r="Y29110" s="20"/>
    </row>
    <row r="29111" spans="24:25">
      <c r="X29111" s="19"/>
      <c r="Y29111" s="20"/>
    </row>
    <row r="29112" spans="24:25">
      <c r="X29112" s="19"/>
      <c r="Y29112" s="20"/>
    </row>
    <row r="29113" spans="24:25">
      <c r="X29113" s="19"/>
      <c r="Y29113" s="20"/>
    </row>
    <row r="29114" spans="24:25">
      <c r="X29114" s="19"/>
      <c r="Y29114" s="20"/>
    </row>
    <row r="29115" spans="24:25">
      <c r="X29115" s="19"/>
      <c r="Y29115" s="20"/>
    </row>
    <row r="29116" spans="24:25">
      <c r="X29116" s="19"/>
      <c r="Y29116" s="20"/>
    </row>
    <row r="29117" spans="24:25">
      <c r="X29117" s="19"/>
      <c r="Y29117" s="20"/>
    </row>
    <row r="29118" spans="24:25">
      <c r="X29118" s="19"/>
      <c r="Y29118" s="20"/>
    </row>
    <row r="29119" spans="24:25">
      <c r="X29119" s="19"/>
      <c r="Y29119" s="20"/>
    </row>
    <row r="29120" spans="24:25">
      <c r="X29120" s="19"/>
      <c r="Y29120" s="20"/>
    </row>
    <row r="29121" spans="24:25">
      <c r="X29121" s="19"/>
      <c r="Y29121" s="20"/>
    </row>
    <row r="29122" spans="24:25">
      <c r="X29122" s="19"/>
      <c r="Y29122" s="20"/>
    </row>
    <row r="29123" spans="24:25">
      <c r="X29123" s="19"/>
      <c r="Y29123" s="20"/>
    </row>
    <row r="29124" spans="24:25">
      <c r="X29124" s="19"/>
      <c r="Y29124" s="20"/>
    </row>
    <row r="29125" spans="24:25">
      <c r="X29125" s="19"/>
      <c r="Y29125" s="20"/>
    </row>
    <row r="29126" spans="24:25">
      <c r="X29126" s="19"/>
      <c r="Y29126" s="20"/>
    </row>
    <row r="29127" spans="24:25">
      <c r="X29127" s="19"/>
      <c r="Y29127" s="20"/>
    </row>
    <row r="29128" spans="24:25">
      <c r="X29128" s="19"/>
      <c r="Y29128" s="20"/>
    </row>
    <row r="29129" spans="24:25">
      <c r="X29129" s="19"/>
      <c r="Y29129" s="20"/>
    </row>
    <row r="29130" spans="24:25">
      <c r="X29130" s="19"/>
      <c r="Y29130" s="20"/>
    </row>
    <row r="29131" spans="24:25">
      <c r="X29131" s="19"/>
      <c r="Y29131" s="20"/>
    </row>
    <row r="29132" spans="24:25">
      <c r="X29132" s="19"/>
      <c r="Y29132" s="20"/>
    </row>
    <row r="29133" spans="24:25">
      <c r="X29133" s="19"/>
      <c r="Y29133" s="20"/>
    </row>
    <row r="29134" spans="24:25">
      <c r="X29134" s="19"/>
      <c r="Y29134" s="20"/>
    </row>
    <row r="29135" spans="24:25">
      <c r="X29135" s="19"/>
      <c r="Y29135" s="20"/>
    </row>
    <row r="29136" spans="24:25">
      <c r="X29136" s="19"/>
      <c r="Y29136" s="20"/>
    </row>
    <row r="29137" spans="24:25">
      <c r="X29137" s="19"/>
      <c r="Y29137" s="20"/>
    </row>
    <row r="29138" spans="24:25">
      <c r="X29138" s="19"/>
      <c r="Y29138" s="20"/>
    </row>
    <row r="29139" spans="24:25">
      <c r="X29139" s="19"/>
      <c r="Y29139" s="20"/>
    </row>
    <row r="29140" spans="24:25">
      <c r="X29140" s="19"/>
      <c r="Y29140" s="20"/>
    </row>
    <row r="29141" spans="24:25">
      <c r="X29141" s="19"/>
      <c r="Y29141" s="20"/>
    </row>
    <row r="29142" spans="24:25">
      <c r="X29142" s="19"/>
      <c r="Y29142" s="20"/>
    </row>
    <row r="29143" spans="24:25">
      <c r="X29143" s="19"/>
      <c r="Y29143" s="20"/>
    </row>
    <row r="29144" spans="24:25">
      <c r="X29144" s="19"/>
      <c r="Y29144" s="20"/>
    </row>
    <row r="29145" spans="24:25">
      <c r="X29145" s="19"/>
      <c r="Y29145" s="20"/>
    </row>
    <row r="29146" spans="24:25">
      <c r="X29146" s="19"/>
      <c r="Y29146" s="20"/>
    </row>
    <row r="29147" spans="24:25">
      <c r="X29147" s="19"/>
      <c r="Y29147" s="20"/>
    </row>
    <row r="29148" spans="24:25">
      <c r="X29148" s="19"/>
      <c r="Y29148" s="20"/>
    </row>
    <row r="29149" spans="24:25">
      <c r="X29149" s="19"/>
      <c r="Y29149" s="20"/>
    </row>
    <row r="29150" spans="24:25">
      <c r="X29150" s="19"/>
      <c r="Y29150" s="20"/>
    </row>
    <row r="29151" spans="24:25">
      <c r="X29151" s="19"/>
      <c r="Y29151" s="20"/>
    </row>
    <row r="29152" spans="24:25">
      <c r="X29152" s="19"/>
      <c r="Y29152" s="20"/>
    </row>
    <row r="29153" spans="24:25">
      <c r="X29153" s="19"/>
      <c r="Y29153" s="20"/>
    </row>
    <row r="29154" spans="24:25">
      <c r="X29154" s="19"/>
      <c r="Y29154" s="20"/>
    </row>
    <row r="29155" spans="24:25">
      <c r="X29155" s="19"/>
      <c r="Y29155" s="20"/>
    </row>
    <row r="29156" spans="24:25">
      <c r="X29156" s="19"/>
      <c r="Y29156" s="20"/>
    </row>
    <row r="29157" spans="24:25">
      <c r="X29157" s="19"/>
      <c r="Y29157" s="20"/>
    </row>
    <row r="29158" spans="24:25">
      <c r="X29158" s="19"/>
      <c r="Y29158" s="20"/>
    </row>
    <row r="29159" spans="24:25">
      <c r="X29159" s="19"/>
      <c r="Y29159" s="20"/>
    </row>
    <row r="29160" spans="24:25">
      <c r="X29160" s="19"/>
      <c r="Y29160" s="20"/>
    </row>
    <row r="29161" spans="24:25">
      <c r="X29161" s="19"/>
      <c r="Y29161" s="20"/>
    </row>
    <row r="29162" spans="24:25">
      <c r="X29162" s="19"/>
      <c r="Y29162" s="20"/>
    </row>
    <row r="29163" spans="24:25">
      <c r="X29163" s="19"/>
      <c r="Y29163" s="20"/>
    </row>
    <row r="29164" spans="24:25">
      <c r="X29164" s="19"/>
      <c r="Y29164" s="20"/>
    </row>
    <row r="29165" spans="24:25">
      <c r="X29165" s="19"/>
      <c r="Y29165" s="20"/>
    </row>
    <row r="29166" spans="24:25">
      <c r="X29166" s="19"/>
      <c r="Y29166" s="20"/>
    </row>
    <row r="29167" spans="24:25">
      <c r="X29167" s="19"/>
      <c r="Y29167" s="20"/>
    </row>
    <row r="29168" spans="24:25">
      <c r="X29168" s="19"/>
      <c r="Y29168" s="20"/>
    </row>
    <row r="29169" spans="24:25">
      <c r="X29169" s="19"/>
      <c r="Y29169" s="20"/>
    </row>
    <row r="29170" spans="24:25">
      <c r="X29170" s="19"/>
      <c r="Y29170" s="20"/>
    </row>
    <row r="29171" spans="24:25">
      <c r="X29171" s="19"/>
      <c r="Y29171" s="20"/>
    </row>
    <row r="29172" spans="24:25">
      <c r="X29172" s="19"/>
      <c r="Y29172" s="20"/>
    </row>
    <row r="29173" spans="24:25">
      <c r="X29173" s="19"/>
      <c r="Y29173" s="20"/>
    </row>
    <row r="29174" spans="24:25">
      <c r="X29174" s="19"/>
      <c r="Y29174" s="20"/>
    </row>
    <row r="29175" spans="24:25">
      <c r="X29175" s="19"/>
      <c r="Y29175" s="20"/>
    </row>
    <row r="29176" spans="24:25">
      <c r="X29176" s="19"/>
      <c r="Y29176" s="20"/>
    </row>
    <row r="29177" spans="24:25">
      <c r="X29177" s="19"/>
      <c r="Y29177" s="20"/>
    </row>
    <row r="29178" spans="24:25">
      <c r="X29178" s="19"/>
      <c r="Y29178" s="20"/>
    </row>
    <row r="29179" spans="24:25">
      <c r="X29179" s="19"/>
      <c r="Y29179" s="20"/>
    </row>
    <row r="29180" spans="24:25">
      <c r="X29180" s="19"/>
      <c r="Y29180" s="20"/>
    </row>
    <row r="29181" spans="24:25">
      <c r="X29181" s="19"/>
      <c r="Y29181" s="20"/>
    </row>
    <row r="29182" spans="24:25">
      <c r="X29182" s="19"/>
      <c r="Y29182" s="20"/>
    </row>
    <row r="29183" spans="24:25">
      <c r="X29183" s="19"/>
      <c r="Y29183" s="20"/>
    </row>
    <row r="29184" spans="24:25">
      <c r="X29184" s="19"/>
      <c r="Y29184" s="20"/>
    </row>
    <row r="29185" spans="24:25">
      <c r="X29185" s="19"/>
      <c r="Y29185" s="20"/>
    </row>
    <row r="29186" spans="24:25">
      <c r="X29186" s="19"/>
      <c r="Y29186" s="20"/>
    </row>
    <row r="29187" spans="24:25">
      <c r="X29187" s="19"/>
      <c r="Y29187" s="20"/>
    </row>
    <row r="29188" spans="24:25">
      <c r="X29188" s="19"/>
      <c r="Y29188" s="20"/>
    </row>
    <row r="29189" spans="24:25">
      <c r="X29189" s="19"/>
      <c r="Y29189" s="20"/>
    </row>
    <row r="29190" spans="24:25">
      <c r="X29190" s="19"/>
      <c r="Y29190" s="20"/>
    </row>
    <row r="29191" spans="24:25">
      <c r="X29191" s="19"/>
      <c r="Y29191" s="20"/>
    </row>
    <row r="29192" spans="24:25">
      <c r="X29192" s="19"/>
      <c r="Y29192" s="20"/>
    </row>
    <row r="29193" spans="24:25">
      <c r="X29193" s="19"/>
      <c r="Y29193" s="20"/>
    </row>
    <row r="29194" spans="24:25">
      <c r="X29194" s="19"/>
      <c r="Y29194" s="20"/>
    </row>
    <row r="29195" spans="24:25">
      <c r="X29195" s="19"/>
      <c r="Y29195" s="20"/>
    </row>
    <row r="29196" spans="24:25">
      <c r="X29196" s="19"/>
      <c r="Y29196" s="20"/>
    </row>
    <row r="29197" spans="24:25">
      <c r="X29197" s="19"/>
      <c r="Y29197" s="20"/>
    </row>
    <row r="29198" spans="24:25">
      <c r="X29198" s="19"/>
      <c r="Y29198" s="20"/>
    </row>
    <row r="29199" spans="24:25">
      <c r="X29199" s="19"/>
      <c r="Y29199" s="20"/>
    </row>
    <row r="29200" spans="24:25">
      <c r="X29200" s="19"/>
      <c r="Y29200" s="20"/>
    </row>
    <row r="29201" spans="24:25">
      <c r="X29201" s="19"/>
      <c r="Y29201" s="20"/>
    </row>
    <row r="29202" spans="24:25">
      <c r="X29202" s="19"/>
      <c r="Y29202" s="20"/>
    </row>
    <row r="29203" spans="24:25">
      <c r="X29203" s="19"/>
      <c r="Y29203" s="20"/>
    </row>
    <row r="29204" spans="24:25">
      <c r="X29204" s="19"/>
      <c r="Y29204" s="20"/>
    </row>
    <row r="29205" spans="24:25">
      <c r="X29205" s="19"/>
      <c r="Y29205" s="20"/>
    </row>
    <row r="29206" spans="24:25">
      <c r="X29206" s="19"/>
      <c r="Y29206" s="20"/>
    </row>
    <row r="29207" spans="24:25">
      <c r="X29207" s="19"/>
      <c r="Y29207" s="20"/>
    </row>
    <row r="29208" spans="24:25">
      <c r="X29208" s="19"/>
      <c r="Y29208" s="20"/>
    </row>
    <row r="29209" spans="24:25">
      <c r="X29209" s="19"/>
      <c r="Y29209" s="20"/>
    </row>
    <row r="29210" spans="24:25">
      <c r="X29210" s="19"/>
      <c r="Y29210" s="20"/>
    </row>
    <row r="29211" spans="24:25">
      <c r="X29211" s="19"/>
      <c r="Y29211" s="20"/>
    </row>
    <row r="29212" spans="24:25">
      <c r="X29212" s="19"/>
      <c r="Y29212" s="20"/>
    </row>
    <row r="29213" spans="24:25">
      <c r="X29213" s="19"/>
      <c r="Y29213" s="20"/>
    </row>
    <row r="29214" spans="24:25">
      <c r="X29214" s="19"/>
      <c r="Y29214" s="20"/>
    </row>
    <row r="29215" spans="24:25">
      <c r="X29215" s="19"/>
      <c r="Y29215" s="20"/>
    </row>
    <row r="29216" spans="24:25">
      <c r="X29216" s="19"/>
      <c r="Y29216" s="20"/>
    </row>
    <row r="29217" spans="24:25">
      <c r="X29217" s="19"/>
      <c r="Y29217" s="20"/>
    </row>
    <row r="29218" spans="24:25">
      <c r="X29218" s="19"/>
      <c r="Y29218" s="20"/>
    </row>
    <row r="29219" spans="24:25">
      <c r="X29219" s="19"/>
      <c r="Y29219" s="20"/>
    </row>
    <row r="29220" spans="24:25">
      <c r="X29220" s="19"/>
      <c r="Y29220" s="20"/>
    </row>
    <row r="29221" spans="24:25">
      <c r="X29221" s="19"/>
      <c r="Y29221" s="20"/>
    </row>
    <row r="29222" spans="24:25">
      <c r="X29222" s="19"/>
      <c r="Y29222" s="20"/>
    </row>
    <row r="29223" spans="24:25">
      <c r="X29223" s="19"/>
      <c r="Y29223" s="20"/>
    </row>
    <row r="29224" spans="24:25">
      <c r="X29224" s="19"/>
      <c r="Y29224" s="20"/>
    </row>
    <row r="29225" spans="24:25">
      <c r="X29225" s="19"/>
      <c r="Y29225" s="20"/>
    </row>
    <row r="29226" spans="24:25">
      <c r="X29226" s="19"/>
      <c r="Y29226" s="20"/>
    </row>
    <row r="29227" spans="24:25">
      <c r="X29227" s="19"/>
      <c r="Y29227" s="20"/>
    </row>
    <row r="29228" spans="24:25">
      <c r="X29228" s="19"/>
      <c r="Y29228" s="20"/>
    </row>
    <row r="29229" spans="24:25">
      <c r="X29229" s="19"/>
      <c r="Y29229" s="20"/>
    </row>
    <row r="29230" spans="24:25">
      <c r="X29230" s="19"/>
      <c r="Y29230" s="20"/>
    </row>
    <row r="29231" spans="24:25">
      <c r="X29231" s="19"/>
      <c r="Y29231" s="20"/>
    </row>
    <row r="29232" spans="24:25">
      <c r="X29232" s="19"/>
      <c r="Y29232" s="20"/>
    </row>
    <row r="29233" spans="24:25">
      <c r="X29233" s="19"/>
      <c r="Y29233" s="20"/>
    </row>
    <row r="29234" spans="24:25">
      <c r="X29234" s="19"/>
      <c r="Y29234" s="20"/>
    </row>
    <row r="29235" spans="24:25">
      <c r="X29235" s="19"/>
      <c r="Y29235" s="20"/>
    </row>
    <row r="29236" spans="24:25">
      <c r="X29236" s="19"/>
      <c r="Y29236" s="20"/>
    </row>
    <row r="29237" spans="24:25">
      <c r="X29237" s="19"/>
      <c r="Y29237" s="20"/>
    </row>
    <row r="29238" spans="24:25">
      <c r="X29238" s="19"/>
      <c r="Y29238" s="20"/>
    </row>
    <row r="29239" spans="24:25">
      <c r="X29239" s="19"/>
      <c r="Y29239" s="20"/>
    </row>
    <row r="29240" spans="24:25">
      <c r="X29240" s="19"/>
      <c r="Y29240" s="20"/>
    </row>
    <row r="29241" spans="24:25">
      <c r="X29241" s="19"/>
      <c r="Y29241" s="20"/>
    </row>
    <row r="29242" spans="24:25">
      <c r="X29242" s="19"/>
      <c r="Y29242" s="20"/>
    </row>
    <row r="29243" spans="24:25">
      <c r="X29243" s="19"/>
      <c r="Y29243" s="20"/>
    </row>
    <row r="29244" spans="24:25">
      <c r="X29244" s="19"/>
      <c r="Y29244" s="20"/>
    </row>
    <row r="29245" spans="24:25">
      <c r="X29245" s="19"/>
      <c r="Y29245" s="20"/>
    </row>
    <row r="29246" spans="24:25">
      <c r="X29246" s="19"/>
      <c r="Y29246" s="20"/>
    </row>
    <row r="29247" spans="24:25">
      <c r="X29247" s="19"/>
      <c r="Y29247" s="20"/>
    </row>
    <row r="29248" spans="24:25">
      <c r="X29248" s="19"/>
      <c r="Y29248" s="20"/>
    </row>
    <row r="29249" spans="24:25">
      <c r="X29249" s="19"/>
      <c r="Y29249" s="20"/>
    </row>
    <row r="29250" spans="24:25">
      <c r="X29250" s="19"/>
      <c r="Y29250" s="20"/>
    </row>
    <row r="29251" spans="24:25">
      <c r="X29251" s="19"/>
      <c r="Y29251" s="20"/>
    </row>
    <row r="29252" spans="24:25">
      <c r="X29252" s="19"/>
      <c r="Y29252" s="20"/>
    </row>
    <row r="29253" spans="24:25">
      <c r="X29253" s="19"/>
      <c r="Y29253" s="20"/>
    </row>
    <row r="29254" spans="24:25">
      <c r="X29254" s="19"/>
      <c r="Y29254" s="20"/>
    </row>
    <row r="29255" spans="24:25">
      <c r="X29255" s="19"/>
      <c r="Y29255" s="20"/>
    </row>
    <row r="29256" spans="24:25">
      <c r="X29256" s="19"/>
      <c r="Y29256" s="20"/>
    </row>
    <row r="29257" spans="24:25">
      <c r="X29257" s="19"/>
      <c r="Y29257" s="20"/>
    </row>
    <row r="29258" spans="24:25">
      <c r="X29258" s="19"/>
      <c r="Y29258" s="20"/>
    </row>
    <row r="29259" spans="24:25">
      <c r="X29259" s="19"/>
      <c r="Y29259" s="20"/>
    </row>
    <row r="29260" spans="24:25">
      <c r="X29260" s="19"/>
      <c r="Y29260" s="20"/>
    </row>
    <row r="29261" spans="24:25">
      <c r="X29261" s="19"/>
      <c r="Y29261" s="20"/>
    </row>
    <row r="29262" spans="24:25">
      <c r="X29262" s="19"/>
      <c r="Y29262" s="20"/>
    </row>
    <row r="29263" spans="24:25">
      <c r="X29263" s="19"/>
      <c r="Y29263" s="20"/>
    </row>
    <row r="29264" spans="24:25">
      <c r="X29264" s="19"/>
      <c r="Y29264" s="20"/>
    </row>
    <row r="29265" spans="24:25">
      <c r="X29265" s="19"/>
      <c r="Y29265" s="20"/>
    </row>
    <row r="29266" spans="24:25">
      <c r="X29266" s="19"/>
      <c r="Y29266" s="20"/>
    </row>
    <row r="29267" spans="24:25">
      <c r="X29267" s="19"/>
      <c r="Y29267" s="20"/>
    </row>
    <row r="29268" spans="24:25">
      <c r="X29268" s="19"/>
      <c r="Y29268" s="20"/>
    </row>
    <row r="29269" spans="24:25">
      <c r="X29269" s="19"/>
      <c r="Y29269" s="20"/>
    </row>
    <row r="29270" spans="24:25">
      <c r="X29270" s="19"/>
      <c r="Y29270" s="20"/>
    </row>
    <row r="29271" spans="24:25">
      <c r="X29271" s="19"/>
      <c r="Y29271" s="20"/>
    </row>
    <row r="29272" spans="24:25">
      <c r="X29272" s="19"/>
      <c r="Y29272" s="20"/>
    </row>
    <row r="29273" spans="24:25">
      <c r="X29273" s="19"/>
      <c r="Y29273" s="20"/>
    </row>
    <row r="29274" spans="24:25">
      <c r="X29274" s="19"/>
      <c r="Y29274" s="20"/>
    </row>
    <row r="29275" spans="24:25">
      <c r="X29275" s="19"/>
      <c r="Y29275" s="20"/>
    </row>
    <row r="29276" spans="24:25">
      <c r="X29276" s="19"/>
      <c r="Y29276" s="20"/>
    </row>
    <row r="29277" spans="24:25">
      <c r="X29277" s="19"/>
      <c r="Y29277" s="20"/>
    </row>
    <row r="29278" spans="24:25">
      <c r="X29278" s="19"/>
      <c r="Y29278" s="20"/>
    </row>
    <row r="29279" spans="24:25">
      <c r="X29279" s="19"/>
      <c r="Y29279" s="20"/>
    </row>
    <row r="29280" spans="24:25">
      <c r="X29280" s="19"/>
      <c r="Y29280" s="20"/>
    </row>
    <row r="29281" spans="24:25">
      <c r="X29281" s="19"/>
      <c r="Y29281" s="20"/>
    </row>
    <row r="29282" spans="24:25">
      <c r="X29282" s="19"/>
      <c r="Y29282" s="20"/>
    </row>
    <row r="29283" spans="24:25">
      <c r="X29283" s="19"/>
      <c r="Y29283" s="20"/>
    </row>
    <row r="29284" spans="24:25">
      <c r="X29284" s="19"/>
      <c r="Y29284" s="20"/>
    </row>
    <row r="29285" spans="24:25">
      <c r="X29285" s="19"/>
      <c r="Y29285" s="20"/>
    </row>
    <row r="29286" spans="24:25">
      <c r="X29286" s="19"/>
      <c r="Y29286" s="20"/>
    </row>
    <row r="29287" spans="24:25">
      <c r="X29287" s="19"/>
      <c r="Y29287" s="20"/>
    </row>
    <row r="29288" spans="24:25">
      <c r="X29288" s="19"/>
      <c r="Y29288" s="20"/>
    </row>
    <row r="29289" spans="24:25">
      <c r="X29289" s="19"/>
      <c r="Y29289" s="20"/>
    </row>
    <row r="29290" spans="24:25">
      <c r="X29290" s="19"/>
      <c r="Y29290" s="20"/>
    </row>
    <row r="29291" spans="24:25">
      <c r="X29291" s="19"/>
      <c r="Y29291" s="20"/>
    </row>
    <row r="29292" spans="24:25">
      <c r="X29292" s="19"/>
      <c r="Y29292" s="20"/>
    </row>
    <row r="29293" spans="24:25">
      <c r="X29293" s="19"/>
      <c r="Y29293" s="20"/>
    </row>
    <row r="29294" spans="24:25">
      <c r="X29294" s="19"/>
      <c r="Y29294" s="20"/>
    </row>
    <row r="29295" spans="24:25">
      <c r="X29295" s="19"/>
      <c r="Y29295" s="20"/>
    </row>
    <row r="29296" spans="24:25">
      <c r="X29296" s="19"/>
      <c r="Y29296" s="20"/>
    </row>
    <row r="29297" spans="24:25">
      <c r="X29297" s="19"/>
      <c r="Y29297" s="20"/>
    </row>
    <row r="29298" spans="24:25">
      <c r="X29298" s="19"/>
      <c r="Y29298" s="20"/>
    </row>
    <row r="29299" spans="24:25">
      <c r="X29299" s="19"/>
      <c r="Y29299" s="20"/>
    </row>
    <row r="29300" spans="24:25">
      <c r="X29300" s="19"/>
      <c r="Y29300" s="20"/>
    </row>
    <row r="29301" spans="24:25">
      <c r="X29301" s="19"/>
      <c r="Y29301" s="20"/>
    </row>
    <row r="29302" spans="24:25">
      <c r="X29302" s="19"/>
      <c r="Y29302" s="20"/>
    </row>
    <row r="29303" spans="24:25">
      <c r="X29303" s="19"/>
      <c r="Y29303" s="20"/>
    </row>
    <row r="29304" spans="24:25">
      <c r="X29304" s="19"/>
      <c r="Y29304" s="20"/>
    </row>
    <row r="29305" spans="24:25">
      <c r="X29305" s="19"/>
      <c r="Y29305" s="20"/>
    </row>
    <row r="29306" spans="24:25">
      <c r="X29306" s="19"/>
      <c r="Y29306" s="20"/>
    </row>
    <row r="29307" spans="24:25">
      <c r="X29307" s="19"/>
      <c r="Y29307" s="20"/>
    </row>
    <row r="29308" spans="24:25">
      <c r="X29308" s="19"/>
      <c r="Y29308" s="20"/>
    </row>
    <row r="29309" spans="24:25">
      <c r="X29309" s="19"/>
      <c r="Y29309" s="20"/>
    </row>
    <row r="29310" spans="24:25">
      <c r="X29310" s="19"/>
      <c r="Y29310" s="20"/>
    </row>
    <row r="29311" spans="24:25">
      <c r="X29311" s="19"/>
      <c r="Y29311" s="20"/>
    </row>
    <row r="29312" spans="24:25">
      <c r="X29312" s="19"/>
      <c r="Y29312" s="20"/>
    </row>
    <row r="29313" spans="24:25">
      <c r="X29313" s="19"/>
      <c r="Y29313" s="20"/>
    </row>
    <row r="29314" spans="24:25">
      <c r="X29314" s="19"/>
      <c r="Y29314" s="20"/>
    </row>
    <row r="29315" spans="24:25">
      <c r="X29315" s="19"/>
      <c r="Y29315" s="20"/>
    </row>
    <row r="29316" spans="24:25">
      <c r="X29316" s="19"/>
      <c r="Y29316" s="20"/>
    </row>
    <row r="29317" spans="24:25">
      <c r="X29317" s="19"/>
      <c r="Y29317" s="20"/>
    </row>
    <row r="29318" spans="24:25">
      <c r="X29318" s="19"/>
      <c r="Y29318" s="20"/>
    </row>
    <row r="29319" spans="24:25">
      <c r="X29319" s="19"/>
      <c r="Y29319" s="20"/>
    </row>
    <row r="29320" spans="24:25">
      <c r="X29320" s="19"/>
      <c r="Y29320" s="20"/>
    </row>
    <row r="29321" spans="24:25">
      <c r="X29321" s="19"/>
      <c r="Y29321" s="20"/>
    </row>
    <row r="29322" spans="24:25">
      <c r="X29322" s="19"/>
      <c r="Y29322" s="20"/>
    </row>
    <row r="29323" spans="24:25">
      <c r="X29323" s="19"/>
      <c r="Y29323" s="20"/>
    </row>
    <row r="29324" spans="24:25">
      <c r="X29324" s="19"/>
      <c r="Y29324" s="20"/>
    </row>
    <row r="29325" spans="24:25">
      <c r="X29325" s="19"/>
      <c r="Y29325" s="20"/>
    </row>
    <row r="29326" spans="24:25">
      <c r="X29326" s="19"/>
      <c r="Y29326" s="20"/>
    </row>
    <row r="29327" spans="24:25">
      <c r="X29327" s="19"/>
      <c r="Y29327" s="20"/>
    </row>
    <row r="29328" spans="24:25">
      <c r="X29328" s="19"/>
      <c r="Y29328" s="20"/>
    </row>
    <row r="29329" spans="24:25">
      <c r="X29329" s="19"/>
      <c r="Y29329" s="20"/>
    </row>
    <row r="29330" spans="24:25">
      <c r="X29330" s="19"/>
      <c r="Y29330" s="20"/>
    </row>
    <row r="29331" spans="24:25">
      <c r="X29331" s="19"/>
      <c r="Y29331" s="20"/>
    </row>
    <row r="29332" spans="24:25">
      <c r="X29332" s="19"/>
      <c r="Y29332" s="20"/>
    </row>
    <row r="29333" spans="24:25">
      <c r="X29333" s="19"/>
      <c r="Y29333" s="20"/>
    </row>
    <row r="29334" spans="24:25">
      <c r="X29334" s="19"/>
      <c r="Y29334" s="20"/>
    </row>
    <row r="29335" spans="24:25">
      <c r="X29335" s="19"/>
      <c r="Y29335" s="20"/>
    </row>
    <row r="29336" spans="24:25">
      <c r="X29336" s="19"/>
      <c r="Y29336" s="20"/>
    </row>
    <row r="29337" spans="24:25">
      <c r="X29337" s="19"/>
      <c r="Y29337" s="20"/>
    </row>
    <row r="29338" spans="24:25">
      <c r="X29338" s="19"/>
      <c r="Y29338" s="20"/>
    </row>
    <row r="29339" spans="24:25">
      <c r="X29339" s="19"/>
      <c r="Y29339" s="20"/>
    </row>
    <row r="29340" spans="24:25">
      <c r="X29340" s="19"/>
      <c r="Y29340" s="20"/>
    </row>
    <row r="29341" spans="24:25">
      <c r="X29341" s="19"/>
      <c r="Y29341" s="20"/>
    </row>
    <row r="29342" spans="24:25">
      <c r="X29342" s="19"/>
      <c r="Y29342" s="20"/>
    </row>
    <row r="29343" spans="24:25">
      <c r="X29343" s="19"/>
      <c r="Y29343" s="20"/>
    </row>
    <row r="29344" spans="24:25">
      <c r="X29344" s="19"/>
      <c r="Y29344" s="20"/>
    </row>
    <row r="29345" spans="24:25">
      <c r="X29345" s="19"/>
      <c r="Y29345" s="20"/>
    </row>
    <row r="29346" spans="24:25">
      <c r="X29346" s="19"/>
      <c r="Y29346" s="20"/>
    </row>
    <row r="29347" spans="24:25">
      <c r="X29347" s="19"/>
      <c r="Y29347" s="20"/>
    </row>
    <row r="29348" spans="24:25">
      <c r="X29348" s="19"/>
      <c r="Y29348" s="20"/>
    </row>
    <row r="29349" spans="24:25">
      <c r="X29349" s="19"/>
      <c r="Y29349" s="20"/>
    </row>
    <row r="29350" spans="24:25">
      <c r="X29350" s="19"/>
      <c r="Y29350" s="20"/>
    </row>
    <row r="29351" spans="24:25">
      <c r="X29351" s="19"/>
      <c r="Y29351" s="20"/>
    </row>
    <row r="29352" spans="24:25">
      <c r="X29352" s="19"/>
      <c r="Y29352" s="20"/>
    </row>
    <row r="29353" spans="24:25">
      <c r="X29353" s="19"/>
      <c r="Y29353" s="20"/>
    </row>
    <row r="29354" spans="24:25">
      <c r="X29354" s="19"/>
      <c r="Y29354" s="20"/>
    </row>
    <row r="29355" spans="24:25">
      <c r="X29355" s="19"/>
      <c r="Y29355" s="20"/>
    </row>
    <row r="29356" spans="24:25">
      <c r="X29356" s="19"/>
      <c r="Y29356" s="20"/>
    </row>
    <row r="29357" spans="24:25">
      <c r="X29357" s="19"/>
      <c r="Y29357" s="20"/>
    </row>
    <row r="29358" spans="24:25">
      <c r="X29358" s="19"/>
      <c r="Y29358" s="20"/>
    </row>
    <row r="29359" spans="24:25">
      <c r="X29359" s="19"/>
      <c r="Y29359" s="20"/>
    </row>
    <row r="29360" spans="24:25">
      <c r="X29360" s="19"/>
      <c r="Y29360" s="20"/>
    </row>
    <row r="29361" spans="24:25">
      <c r="X29361" s="19"/>
      <c r="Y29361" s="20"/>
    </row>
    <row r="29362" spans="24:25">
      <c r="X29362" s="19"/>
      <c r="Y29362" s="20"/>
    </row>
    <row r="29363" spans="24:25">
      <c r="X29363" s="19"/>
      <c r="Y29363" s="20"/>
    </row>
    <row r="29364" spans="24:25">
      <c r="X29364" s="19"/>
      <c r="Y29364" s="20"/>
    </row>
    <row r="29365" spans="24:25">
      <c r="X29365" s="19"/>
      <c r="Y29365" s="20"/>
    </row>
    <row r="29366" spans="24:25">
      <c r="X29366" s="19"/>
      <c r="Y29366" s="20"/>
    </row>
    <row r="29367" spans="24:25">
      <c r="X29367" s="19"/>
      <c r="Y29367" s="20"/>
    </row>
    <row r="29368" spans="24:25">
      <c r="X29368" s="19"/>
      <c r="Y29368" s="20"/>
    </row>
    <row r="29369" spans="24:25">
      <c r="X29369" s="19"/>
      <c r="Y29369" s="20"/>
    </row>
    <row r="29370" spans="24:25">
      <c r="X29370" s="19"/>
      <c r="Y29370" s="20"/>
    </row>
    <row r="29371" spans="24:25">
      <c r="X29371" s="19"/>
      <c r="Y29371" s="20"/>
    </row>
    <row r="29372" spans="24:25">
      <c r="X29372" s="19"/>
      <c r="Y29372" s="20"/>
    </row>
    <row r="29373" spans="24:25">
      <c r="X29373" s="19"/>
      <c r="Y29373" s="20"/>
    </row>
    <row r="29374" spans="24:25">
      <c r="X29374" s="19"/>
      <c r="Y29374" s="20"/>
    </row>
    <row r="29375" spans="24:25">
      <c r="X29375" s="19"/>
      <c r="Y29375" s="20"/>
    </row>
    <row r="29376" spans="24:25">
      <c r="X29376" s="19"/>
      <c r="Y29376" s="20"/>
    </row>
    <row r="29377" spans="24:25">
      <c r="X29377" s="19"/>
      <c r="Y29377" s="20"/>
    </row>
    <row r="29378" spans="24:25">
      <c r="X29378" s="19"/>
      <c r="Y29378" s="20"/>
    </row>
    <row r="29379" spans="24:25">
      <c r="X29379" s="19"/>
      <c r="Y29379" s="20"/>
    </row>
    <row r="29380" spans="24:25">
      <c r="X29380" s="19"/>
      <c r="Y29380" s="20"/>
    </row>
    <row r="29381" spans="24:25">
      <c r="X29381" s="19"/>
      <c r="Y29381" s="20"/>
    </row>
    <row r="29382" spans="24:25">
      <c r="X29382" s="19"/>
      <c r="Y29382" s="20"/>
    </row>
    <row r="29383" spans="24:25">
      <c r="X29383" s="19"/>
      <c r="Y29383" s="20"/>
    </row>
    <row r="29384" spans="24:25">
      <c r="X29384" s="19"/>
      <c r="Y29384" s="20"/>
    </row>
    <row r="29385" spans="24:25">
      <c r="X29385" s="19"/>
      <c r="Y29385" s="20"/>
    </row>
    <row r="29386" spans="24:25">
      <c r="X29386" s="19"/>
      <c r="Y29386" s="20"/>
    </row>
    <row r="29387" spans="24:25">
      <c r="X29387" s="19"/>
      <c r="Y29387" s="20"/>
    </row>
    <row r="29388" spans="24:25">
      <c r="X29388" s="19"/>
      <c r="Y29388" s="20"/>
    </row>
    <row r="29389" spans="24:25">
      <c r="X29389" s="19"/>
      <c r="Y29389" s="20"/>
    </row>
    <row r="29390" spans="24:25">
      <c r="X29390" s="19"/>
      <c r="Y29390" s="20"/>
    </row>
    <row r="29391" spans="24:25">
      <c r="X29391" s="19"/>
      <c r="Y29391" s="20"/>
    </row>
    <row r="29392" spans="24:25">
      <c r="X29392" s="19"/>
      <c r="Y29392" s="20"/>
    </row>
    <row r="29393" spans="24:25">
      <c r="X29393" s="19"/>
      <c r="Y29393" s="20"/>
    </row>
    <row r="29394" spans="24:25">
      <c r="X29394" s="19"/>
      <c r="Y29394" s="20"/>
    </row>
    <row r="29395" spans="24:25">
      <c r="X29395" s="19"/>
      <c r="Y29395" s="20"/>
    </row>
    <row r="29396" spans="24:25">
      <c r="X29396" s="19"/>
      <c r="Y29396" s="20"/>
    </row>
    <row r="29397" spans="24:25">
      <c r="X29397" s="19"/>
      <c r="Y29397" s="20"/>
    </row>
    <row r="29398" spans="24:25">
      <c r="X29398" s="19"/>
      <c r="Y29398" s="20"/>
    </row>
    <row r="29399" spans="24:25">
      <c r="X29399" s="19"/>
      <c r="Y29399" s="20"/>
    </row>
    <row r="29400" spans="24:25">
      <c r="X29400" s="19"/>
      <c r="Y29400" s="20"/>
    </row>
    <row r="29401" spans="24:25">
      <c r="X29401" s="19"/>
      <c r="Y29401" s="20"/>
    </row>
    <row r="29402" spans="24:25">
      <c r="X29402" s="19"/>
      <c r="Y29402" s="20"/>
    </row>
    <row r="29403" spans="24:25">
      <c r="X29403" s="19"/>
      <c r="Y29403" s="20"/>
    </row>
    <row r="29404" spans="24:25">
      <c r="X29404" s="19"/>
      <c r="Y29404" s="20"/>
    </row>
    <row r="29405" spans="24:25">
      <c r="X29405" s="19"/>
      <c r="Y29405" s="20"/>
    </row>
    <row r="29406" spans="24:25">
      <c r="X29406" s="19"/>
      <c r="Y29406" s="20"/>
    </row>
    <row r="29407" spans="24:25">
      <c r="X29407" s="19"/>
      <c r="Y29407" s="20"/>
    </row>
    <row r="29408" spans="24:25">
      <c r="X29408" s="19"/>
      <c r="Y29408" s="20"/>
    </row>
    <row r="29409" spans="24:25">
      <c r="X29409" s="19"/>
      <c r="Y29409" s="20"/>
    </row>
    <row r="29410" spans="24:25">
      <c r="X29410" s="19"/>
      <c r="Y29410" s="20"/>
    </row>
    <row r="29411" spans="24:25">
      <c r="X29411" s="19"/>
      <c r="Y29411" s="20"/>
    </row>
    <row r="29412" spans="24:25">
      <c r="X29412" s="19"/>
      <c r="Y29412" s="20"/>
    </row>
    <row r="29413" spans="24:25">
      <c r="X29413" s="19"/>
      <c r="Y29413" s="20"/>
    </row>
    <row r="29414" spans="24:25">
      <c r="X29414" s="19"/>
      <c r="Y29414" s="20"/>
    </row>
    <row r="29415" spans="24:25">
      <c r="X29415" s="19"/>
      <c r="Y29415" s="20"/>
    </row>
    <row r="29416" spans="24:25">
      <c r="X29416" s="19"/>
      <c r="Y29416" s="20"/>
    </row>
    <row r="29417" spans="24:25">
      <c r="X29417" s="19"/>
      <c r="Y29417" s="20"/>
    </row>
    <row r="29418" spans="24:25">
      <c r="X29418" s="19"/>
      <c r="Y29418" s="20"/>
    </row>
    <row r="29419" spans="24:25">
      <c r="X29419" s="19"/>
      <c r="Y29419" s="20"/>
    </row>
    <row r="29420" spans="24:25">
      <c r="X29420" s="19"/>
      <c r="Y29420" s="20"/>
    </row>
    <row r="29421" spans="24:25">
      <c r="X29421" s="19"/>
      <c r="Y29421" s="20"/>
    </row>
    <row r="29422" spans="24:25">
      <c r="X29422" s="19"/>
      <c r="Y29422" s="20"/>
    </row>
    <row r="29423" spans="24:25">
      <c r="X29423" s="19"/>
      <c r="Y29423" s="20"/>
    </row>
    <row r="29424" spans="24:25">
      <c r="X29424" s="19"/>
      <c r="Y29424" s="20"/>
    </row>
    <row r="29425" spans="24:25">
      <c r="X29425" s="19"/>
      <c r="Y29425" s="20"/>
    </row>
    <row r="29426" spans="24:25">
      <c r="X29426" s="19"/>
      <c r="Y29426" s="20"/>
    </row>
    <row r="29427" spans="24:25">
      <c r="X29427" s="19"/>
      <c r="Y29427" s="20"/>
    </row>
    <row r="29428" spans="24:25">
      <c r="X29428" s="19"/>
      <c r="Y29428" s="20"/>
    </row>
    <row r="29429" spans="24:25">
      <c r="X29429" s="19"/>
      <c r="Y29429" s="20"/>
    </row>
    <row r="29430" spans="24:25">
      <c r="X29430" s="19"/>
      <c r="Y29430" s="20"/>
    </row>
    <row r="29431" spans="24:25">
      <c r="X29431" s="19"/>
      <c r="Y29431" s="20"/>
    </row>
    <row r="29432" spans="24:25">
      <c r="X29432" s="19"/>
      <c r="Y29432" s="20"/>
    </row>
    <row r="29433" spans="24:25">
      <c r="X29433" s="19"/>
      <c r="Y29433" s="20"/>
    </row>
    <row r="29434" spans="24:25">
      <c r="X29434" s="19"/>
      <c r="Y29434" s="20"/>
    </row>
    <row r="29435" spans="24:25">
      <c r="X29435" s="19"/>
      <c r="Y29435" s="20"/>
    </row>
    <row r="29436" spans="24:25">
      <c r="X29436" s="19"/>
      <c r="Y29436" s="20"/>
    </row>
    <row r="29437" spans="24:25">
      <c r="X29437" s="19"/>
      <c r="Y29437" s="20"/>
    </row>
    <row r="29438" spans="24:25">
      <c r="X29438" s="19"/>
      <c r="Y29438" s="20"/>
    </row>
    <row r="29439" spans="24:25">
      <c r="X29439" s="19"/>
      <c r="Y29439" s="20"/>
    </row>
    <row r="29440" spans="24:25">
      <c r="X29440" s="19"/>
      <c r="Y29440" s="20"/>
    </row>
    <row r="29441" spans="24:25">
      <c r="X29441" s="19"/>
      <c r="Y29441" s="20"/>
    </row>
    <row r="29442" spans="24:25">
      <c r="X29442" s="19"/>
      <c r="Y29442" s="20"/>
    </row>
    <row r="29443" spans="24:25">
      <c r="X29443" s="19"/>
      <c r="Y29443" s="20"/>
    </row>
    <row r="29444" spans="24:25">
      <c r="X29444" s="19"/>
      <c r="Y29444" s="20"/>
    </row>
    <row r="29445" spans="24:25">
      <c r="X29445" s="19"/>
      <c r="Y29445" s="20"/>
    </row>
    <row r="29446" spans="24:25">
      <c r="X29446" s="19"/>
      <c r="Y29446" s="20"/>
    </row>
    <row r="29447" spans="24:25">
      <c r="X29447" s="19"/>
      <c r="Y29447" s="20"/>
    </row>
    <row r="29448" spans="24:25">
      <c r="X29448" s="19"/>
      <c r="Y29448" s="20"/>
    </row>
    <row r="29449" spans="24:25">
      <c r="X29449" s="19"/>
      <c r="Y29449" s="20"/>
    </row>
    <row r="29450" spans="24:25">
      <c r="X29450" s="19"/>
      <c r="Y29450" s="20"/>
    </row>
    <row r="29451" spans="24:25">
      <c r="X29451" s="19"/>
      <c r="Y29451" s="20"/>
    </row>
    <row r="29452" spans="24:25">
      <c r="X29452" s="19"/>
      <c r="Y29452" s="20"/>
    </row>
    <row r="29453" spans="24:25">
      <c r="X29453" s="19"/>
      <c r="Y29453" s="20"/>
    </row>
    <row r="29454" spans="24:25">
      <c r="X29454" s="19"/>
      <c r="Y29454" s="20"/>
    </row>
    <row r="29455" spans="24:25">
      <c r="X29455" s="19"/>
      <c r="Y29455" s="20"/>
    </row>
    <row r="29456" spans="24:25">
      <c r="X29456" s="19"/>
      <c r="Y29456" s="20"/>
    </row>
    <row r="29457" spans="24:25">
      <c r="X29457" s="19"/>
      <c r="Y29457" s="20"/>
    </row>
    <row r="29458" spans="24:25">
      <c r="X29458" s="19"/>
      <c r="Y29458" s="20"/>
    </row>
    <row r="29459" spans="24:25">
      <c r="X29459" s="19"/>
      <c r="Y29459" s="20"/>
    </row>
    <row r="29460" spans="24:25">
      <c r="X29460" s="19"/>
      <c r="Y29460" s="20"/>
    </row>
    <row r="29461" spans="24:25">
      <c r="X29461" s="19"/>
      <c r="Y29461" s="20"/>
    </row>
    <row r="29462" spans="24:25">
      <c r="X29462" s="19"/>
      <c r="Y29462" s="20"/>
    </row>
    <row r="29463" spans="24:25">
      <c r="X29463" s="19"/>
      <c r="Y29463" s="20"/>
    </row>
    <row r="29464" spans="24:25">
      <c r="X29464" s="19"/>
      <c r="Y29464" s="20"/>
    </row>
    <row r="29465" spans="24:25">
      <c r="X29465" s="19"/>
      <c r="Y29465" s="20"/>
    </row>
    <row r="29466" spans="24:25">
      <c r="X29466" s="19"/>
      <c r="Y29466" s="20"/>
    </row>
    <row r="29467" spans="24:25">
      <c r="X29467" s="19"/>
      <c r="Y29467" s="20"/>
    </row>
    <row r="29468" spans="24:25">
      <c r="X29468" s="19"/>
      <c r="Y29468" s="20"/>
    </row>
    <row r="29469" spans="24:25">
      <c r="X29469" s="19"/>
      <c r="Y29469" s="20"/>
    </row>
    <row r="29470" spans="24:25">
      <c r="X29470" s="19"/>
      <c r="Y29470" s="20"/>
    </row>
    <row r="29471" spans="24:25">
      <c r="X29471" s="19"/>
      <c r="Y29471" s="20"/>
    </row>
    <row r="29472" spans="24:25">
      <c r="X29472" s="19"/>
      <c r="Y29472" s="20"/>
    </row>
    <row r="29473" spans="24:25">
      <c r="X29473" s="19"/>
      <c r="Y29473" s="20"/>
    </row>
    <row r="29474" spans="24:25">
      <c r="X29474" s="19"/>
      <c r="Y29474" s="20"/>
    </row>
    <row r="29475" spans="24:25">
      <c r="X29475" s="19"/>
      <c r="Y29475" s="20"/>
    </row>
    <row r="29476" spans="24:25">
      <c r="X29476" s="19"/>
      <c r="Y29476" s="20"/>
    </row>
    <row r="29477" spans="24:25">
      <c r="X29477" s="19"/>
      <c r="Y29477" s="20"/>
    </row>
    <row r="29478" spans="24:25">
      <c r="X29478" s="19"/>
      <c r="Y29478" s="20"/>
    </row>
    <row r="29479" spans="24:25">
      <c r="X29479" s="19"/>
      <c r="Y29479" s="20"/>
    </row>
    <row r="29480" spans="24:25">
      <c r="X29480" s="19"/>
      <c r="Y29480" s="20"/>
    </row>
    <row r="29481" spans="24:25">
      <c r="X29481" s="19"/>
      <c r="Y29481" s="20"/>
    </row>
    <row r="29482" spans="24:25">
      <c r="X29482" s="19"/>
      <c r="Y29482" s="20"/>
    </row>
    <row r="29483" spans="24:25">
      <c r="X29483" s="19"/>
      <c r="Y29483" s="20"/>
    </row>
    <row r="29484" spans="24:25">
      <c r="X29484" s="19"/>
      <c r="Y29484" s="20"/>
    </row>
    <row r="29485" spans="24:25">
      <c r="X29485" s="19"/>
      <c r="Y29485" s="20"/>
    </row>
    <row r="29486" spans="24:25">
      <c r="X29486" s="19"/>
      <c r="Y29486" s="20"/>
    </row>
    <row r="29487" spans="24:25">
      <c r="X29487" s="19"/>
      <c r="Y29487" s="20"/>
    </row>
    <row r="29488" spans="24:25">
      <c r="X29488" s="19"/>
      <c r="Y29488" s="20"/>
    </row>
    <row r="29489" spans="24:25">
      <c r="X29489" s="19"/>
      <c r="Y29489" s="20"/>
    </row>
    <row r="29490" spans="24:25">
      <c r="X29490" s="19"/>
      <c r="Y29490" s="20"/>
    </row>
    <row r="29491" spans="24:25">
      <c r="X29491" s="19"/>
      <c r="Y29491" s="20"/>
    </row>
    <row r="29492" spans="24:25">
      <c r="X29492" s="19"/>
      <c r="Y29492" s="20"/>
    </row>
    <row r="29493" spans="24:25">
      <c r="X29493" s="19"/>
      <c r="Y29493" s="20"/>
    </row>
    <row r="29494" spans="24:25">
      <c r="X29494" s="19"/>
      <c r="Y29494" s="20"/>
    </row>
    <row r="29495" spans="24:25">
      <c r="X29495" s="19"/>
      <c r="Y29495" s="20"/>
    </row>
    <row r="29496" spans="24:25">
      <c r="X29496" s="19"/>
      <c r="Y29496" s="20"/>
    </row>
    <row r="29497" spans="24:25">
      <c r="X29497" s="19"/>
      <c r="Y29497" s="20"/>
    </row>
    <row r="29498" spans="24:25">
      <c r="X29498" s="19"/>
      <c r="Y29498" s="20"/>
    </row>
    <row r="29499" spans="24:25">
      <c r="X29499" s="19"/>
      <c r="Y29499" s="20"/>
    </row>
    <row r="29500" spans="24:25">
      <c r="X29500" s="19"/>
      <c r="Y29500" s="20"/>
    </row>
    <row r="29501" spans="24:25">
      <c r="X29501" s="19"/>
      <c r="Y29501" s="20"/>
    </row>
    <row r="29502" spans="24:25">
      <c r="X29502" s="19"/>
      <c r="Y29502" s="20"/>
    </row>
    <row r="29503" spans="24:25">
      <c r="X29503" s="19"/>
      <c r="Y29503" s="20"/>
    </row>
    <row r="29504" spans="24:25">
      <c r="X29504" s="19"/>
      <c r="Y29504" s="20"/>
    </row>
    <row r="29505" spans="24:25">
      <c r="X29505" s="19"/>
      <c r="Y29505" s="20"/>
    </row>
    <row r="29506" spans="24:25">
      <c r="X29506" s="19"/>
      <c r="Y29506" s="20"/>
    </row>
    <row r="29507" spans="24:25">
      <c r="X29507" s="19"/>
      <c r="Y29507" s="20"/>
    </row>
    <row r="29508" spans="24:25">
      <c r="X29508" s="19"/>
      <c r="Y29508" s="20"/>
    </row>
    <row r="29509" spans="24:25">
      <c r="X29509" s="19"/>
      <c r="Y29509" s="20"/>
    </row>
    <row r="29510" spans="24:25">
      <c r="X29510" s="19"/>
      <c r="Y29510" s="20"/>
    </row>
    <row r="29511" spans="24:25">
      <c r="X29511" s="19"/>
      <c r="Y29511" s="20"/>
    </row>
    <row r="29512" spans="24:25">
      <c r="X29512" s="19"/>
      <c r="Y29512" s="20"/>
    </row>
    <row r="29513" spans="24:25">
      <c r="X29513" s="19"/>
      <c r="Y29513" s="20"/>
    </row>
    <row r="29514" spans="24:25">
      <c r="X29514" s="19"/>
      <c r="Y29514" s="20"/>
    </row>
    <row r="29515" spans="24:25">
      <c r="X29515" s="19"/>
      <c r="Y29515" s="20"/>
    </row>
    <row r="29516" spans="24:25">
      <c r="X29516" s="19"/>
      <c r="Y29516" s="20"/>
    </row>
    <row r="29517" spans="24:25">
      <c r="X29517" s="19"/>
      <c r="Y29517" s="20"/>
    </row>
    <row r="29518" spans="24:25">
      <c r="X29518" s="19"/>
      <c r="Y29518" s="20"/>
    </row>
    <row r="29519" spans="24:25">
      <c r="X29519" s="19"/>
      <c r="Y29519" s="20"/>
    </row>
    <row r="29520" spans="24:25">
      <c r="X29520" s="19"/>
      <c r="Y29520" s="20"/>
    </row>
    <row r="29521" spans="24:25">
      <c r="X29521" s="19"/>
      <c r="Y29521" s="20"/>
    </row>
    <row r="29522" spans="24:25">
      <c r="X29522" s="19"/>
      <c r="Y29522" s="20"/>
    </row>
    <row r="29523" spans="24:25">
      <c r="X29523" s="19"/>
      <c r="Y29523" s="20"/>
    </row>
    <row r="29524" spans="24:25">
      <c r="X29524" s="19"/>
      <c r="Y29524" s="20"/>
    </row>
    <row r="29525" spans="24:25">
      <c r="X29525" s="19"/>
      <c r="Y29525" s="20"/>
    </row>
    <row r="29526" spans="24:25">
      <c r="X29526" s="19"/>
      <c r="Y29526" s="20"/>
    </row>
    <row r="29527" spans="24:25">
      <c r="X29527" s="19"/>
      <c r="Y29527" s="20"/>
    </row>
    <row r="29528" spans="24:25">
      <c r="X29528" s="19"/>
      <c r="Y29528" s="20"/>
    </row>
    <row r="29529" spans="24:25">
      <c r="X29529" s="19"/>
      <c r="Y29529" s="20"/>
    </row>
    <row r="29530" spans="24:25">
      <c r="X29530" s="19"/>
      <c r="Y29530" s="20"/>
    </row>
    <row r="29531" spans="24:25">
      <c r="X29531" s="19"/>
      <c r="Y29531" s="20"/>
    </row>
    <row r="29532" spans="24:25">
      <c r="X29532" s="19"/>
      <c r="Y29532" s="20"/>
    </row>
    <row r="29533" spans="24:25">
      <c r="X29533" s="19"/>
      <c r="Y29533" s="20"/>
    </row>
    <row r="29534" spans="24:25">
      <c r="X29534" s="19"/>
      <c r="Y29534" s="20"/>
    </row>
    <row r="29535" spans="24:25">
      <c r="X29535" s="19"/>
      <c r="Y29535" s="20"/>
    </row>
    <row r="29536" spans="24:25">
      <c r="X29536" s="19"/>
      <c r="Y29536" s="20"/>
    </row>
    <row r="29537" spans="24:25">
      <c r="X29537" s="19"/>
      <c r="Y29537" s="20"/>
    </row>
    <row r="29538" spans="24:25">
      <c r="X29538" s="19"/>
      <c r="Y29538" s="20"/>
    </row>
    <row r="29539" spans="24:25">
      <c r="X29539" s="19"/>
      <c r="Y29539" s="20"/>
    </row>
    <row r="29540" spans="24:25">
      <c r="X29540" s="19"/>
      <c r="Y29540" s="20"/>
    </row>
    <row r="29541" spans="24:25">
      <c r="X29541" s="19"/>
      <c r="Y29541" s="20"/>
    </row>
    <row r="29542" spans="24:25">
      <c r="X29542" s="19"/>
      <c r="Y29542" s="20"/>
    </row>
    <row r="29543" spans="24:25">
      <c r="X29543" s="19"/>
      <c r="Y29543" s="20"/>
    </row>
    <row r="29544" spans="24:25">
      <c r="X29544" s="19"/>
      <c r="Y29544" s="20"/>
    </row>
    <row r="29545" spans="24:25">
      <c r="X29545" s="19"/>
      <c r="Y29545" s="20"/>
    </row>
    <row r="29546" spans="24:25">
      <c r="X29546" s="19"/>
      <c r="Y29546" s="20"/>
    </row>
    <row r="29547" spans="24:25">
      <c r="X29547" s="19"/>
      <c r="Y29547" s="20"/>
    </row>
    <row r="29548" spans="24:25">
      <c r="X29548" s="19"/>
      <c r="Y29548" s="20"/>
    </row>
    <row r="29549" spans="24:25">
      <c r="X29549" s="19"/>
      <c r="Y29549" s="20"/>
    </row>
    <row r="29550" spans="24:25">
      <c r="X29550" s="19"/>
      <c r="Y29550" s="20"/>
    </row>
    <row r="29551" spans="24:25">
      <c r="X29551" s="19"/>
      <c r="Y29551" s="20"/>
    </row>
    <row r="29552" spans="24:25">
      <c r="X29552" s="19"/>
      <c r="Y29552" s="20"/>
    </row>
    <row r="29553" spans="24:25">
      <c r="X29553" s="19"/>
      <c r="Y29553" s="20"/>
    </row>
    <row r="29554" spans="24:25">
      <c r="X29554" s="19"/>
      <c r="Y29554" s="20"/>
    </row>
    <row r="29555" spans="24:25">
      <c r="X29555" s="19"/>
      <c r="Y29555" s="20"/>
    </row>
    <row r="29556" spans="24:25">
      <c r="X29556" s="19"/>
      <c r="Y29556" s="20"/>
    </row>
    <row r="29557" spans="24:25">
      <c r="X29557" s="19"/>
      <c r="Y29557" s="20"/>
    </row>
    <row r="29558" spans="24:25">
      <c r="X29558" s="19"/>
      <c r="Y29558" s="20"/>
    </row>
    <row r="29559" spans="24:25">
      <c r="X29559" s="19"/>
      <c r="Y29559" s="20"/>
    </row>
    <row r="29560" spans="24:25">
      <c r="X29560" s="19"/>
      <c r="Y29560" s="20"/>
    </row>
    <row r="29561" spans="24:25">
      <c r="X29561" s="19"/>
      <c r="Y29561" s="20"/>
    </row>
    <row r="29562" spans="24:25">
      <c r="X29562" s="19"/>
      <c r="Y29562" s="20"/>
    </row>
    <row r="29563" spans="24:25">
      <c r="X29563" s="19"/>
      <c r="Y29563" s="20"/>
    </row>
    <row r="29564" spans="24:25">
      <c r="X29564" s="19"/>
      <c r="Y29564" s="20"/>
    </row>
    <row r="29565" spans="24:25">
      <c r="X29565" s="19"/>
      <c r="Y29565" s="20"/>
    </row>
    <row r="29566" spans="24:25">
      <c r="X29566" s="19"/>
      <c r="Y29566" s="20"/>
    </row>
    <row r="29567" spans="24:25">
      <c r="X29567" s="19"/>
      <c r="Y29567" s="20"/>
    </row>
    <row r="29568" spans="24:25">
      <c r="X29568" s="19"/>
      <c r="Y29568" s="20"/>
    </row>
    <row r="29569" spans="24:25">
      <c r="X29569" s="19"/>
      <c r="Y29569" s="20"/>
    </row>
    <row r="29570" spans="24:25">
      <c r="X29570" s="19"/>
      <c r="Y29570" s="20"/>
    </row>
    <row r="29571" spans="24:25">
      <c r="X29571" s="19"/>
      <c r="Y29571" s="20"/>
    </row>
    <row r="29572" spans="24:25">
      <c r="X29572" s="19"/>
      <c r="Y29572" s="20"/>
    </row>
    <row r="29573" spans="24:25">
      <c r="X29573" s="19"/>
      <c r="Y29573" s="20"/>
    </row>
    <row r="29574" spans="24:25">
      <c r="X29574" s="19"/>
      <c r="Y29574" s="20"/>
    </row>
    <row r="29575" spans="24:25">
      <c r="X29575" s="19"/>
      <c r="Y29575" s="20"/>
    </row>
    <row r="29576" spans="24:25">
      <c r="X29576" s="19"/>
      <c r="Y29576" s="20"/>
    </row>
    <row r="29577" spans="24:25">
      <c r="X29577" s="19"/>
      <c r="Y29577" s="20"/>
    </row>
    <row r="29578" spans="24:25">
      <c r="X29578" s="19"/>
      <c r="Y29578" s="20"/>
    </row>
    <row r="29579" spans="24:25">
      <c r="X29579" s="19"/>
      <c r="Y29579" s="20"/>
    </row>
    <row r="29580" spans="24:25">
      <c r="X29580" s="19"/>
      <c r="Y29580" s="20"/>
    </row>
    <row r="29581" spans="24:25">
      <c r="X29581" s="19"/>
      <c r="Y29581" s="20"/>
    </row>
    <row r="29582" spans="24:25">
      <c r="X29582" s="19"/>
      <c r="Y29582" s="20"/>
    </row>
    <row r="29583" spans="24:25">
      <c r="X29583" s="19"/>
      <c r="Y29583" s="20"/>
    </row>
    <row r="29584" spans="24:25">
      <c r="X29584" s="19"/>
      <c r="Y29584" s="20"/>
    </row>
    <row r="29585" spans="24:25">
      <c r="X29585" s="19"/>
      <c r="Y29585" s="20"/>
    </row>
    <row r="29586" spans="24:25">
      <c r="X29586" s="19"/>
      <c r="Y29586" s="20"/>
    </row>
    <row r="29587" spans="24:25">
      <c r="X29587" s="19"/>
      <c r="Y29587" s="20"/>
    </row>
    <row r="29588" spans="24:25">
      <c r="X29588" s="19"/>
      <c r="Y29588" s="20"/>
    </row>
    <row r="29589" spans="24:25">
      <c r="X29589" s="19"/>
      <c r="Y29589" s="20"/>
    </row>
    <row r="29590" spans="24:25">
      <c r="X29590" s="19"/>
      <c r="Y29590" s="20"/>
    </row>
    <row r="29591" spans="24:25">
      <c r="X29591" s="19"/>
      <c r="Y29591" s="20"/>
    </row>
    <row r="29592" spans="24:25">
      <c r="X29592" s="19"/>
      <c r="Y29592" s="20"/>
    </row>
    <row r="29593" spans="24:25">
      <c r="X29593" s="19"/>
      <c r="Y29593" s="20"/>
    </row>
    <row r="29594" spans="24:25">
      <c r="X29594" s="19"/>
      <c r="Y29594" s="20"/>
    </row>
    <row r="29595" spans="24:25">
      <c r="X29595" s="19"/>
      <c r="Y29595" s="20"/>
    </row>
    <row r="29596" spans="24:25">
      <c r="X29596" s="19"/>
      <c r="Y29596" s="20"/>
    </row>
    <row r="29597" spans="24:25">
      <c r="X29597" s="19"/>
      <c r="Y29597" s="20"/>
    </row>
    <row r="29598" spans="24:25">
      <c r="X29598" s="19"/>
      <c r="Y29598" s="20"/>
    </row>
    <row r="29599" spans="24:25">
      <c r="X29599" s="19"/>
      <c r="Y29599" s="20"/>
    </row>
    <row r="29600" spans="24:25">
      <c r="X29600" s="19"/>
      <c r="Y29600" s="20"/>
    </row>
    <row r="29601" spans="24:25">
      <c r="X29601" s="19"/>
      <c r="Y29601" s="20"/>
    </row>
    <row r="29602" spans="24:25">
      <c r="X29602" s="19"/>
      <c r="Y29602" s="20"/>
    </row>
    <row r="29603" spans="24:25">
      <c r="X29603" s="19"/>
      <c r="Y29603" s="20"/>
    </row>
    <row r="29604" spans="24:25">
      <c r="X29604" s="19"/>
      <c r="Y29604" s="20"/>
    </row>
    <row r="29605" spans="24:25">
      <c r="X29605" s="19"/>
      <c r="Y29605" s="20"/>
    </row>
    <row r="29606" spans="24:25">
      <c r="X29606" s="19"/>
      <c r="Y29606" s="20"/>
    </row>
    <row r="29607" spans="24:25">
      <c r="X29607" s="19"/>
      <c r="Y29607" s="20"/>
    </row>
    <row r="29608" spans="24:25">
      <c r="X29608" s="19"/>
      <c r="Y29608" s="20"/>
    </row>
    <row r="29609" spans="24:25">
      <c r="X29609" s="19"/>
      <c r="Y29609" s="20"/>
    </row>
    <row r="29610" spans="24:25">
      <c r="X29610" s="19"/>
      <c r="Y29610" s="20"/>
    </row>
    <row r="29611" spans="24:25">
      <c r="X29611" s="19"/>
      <c r="Y29611" s="20"/>
    </row>
    <row r="29612" spans="24:25">
      <c r="X29612" s="19"/>
      <c r="Y29612" s="20"/>
    </row>
    <row r="29613" spans="24:25">
      <c r="X29613" s="19"/>
      <c r="Y29613" s="20"/>
    </row>
    <row r="29614" spans="24:25">
      <c r="X29614" s="19"/>
      <c r="Y29614" s="20"/>
    </row>
    <row r="29615" spans="24:25">
      <c r="X29615" s="19"/>
      <c r="Y29615" s="20"/>
    </row>
    <row r="29616" spans="24:25">
      <c r="X29616" s="19"/>
      <c r="Y29616" s="20"/>
    </row>
    <row r="29617" spans="24:25">
      <c r="X29617" s="19"/>
      <c r="Y29617" s="20"/>
    </row>
    <row r="29618" spans="24:25">
      <c r="X29618" s="19"/>
      <c r="Y29618" s="20"/>
    </row>
    <row r="29619" spans="24:25">
      <c r="X29619" s="19"/>
      <c r="Y29619" s="20"/>
    </row>
    <row r="29620" spans="24:25">
      <c r="X29620" s="19"/>
      <c r="Y29620" s="20"/>
    </row>
    <row r="29621" spans="24:25">
      <c r="X29621" s="19"/>
      <c r="Y29621" s="20"/>
    </row>
    <row r="29622" spans="24:25">
      <c r="X29622" s="19"/>
      <c r="Y29622" s="20"/>
    </row>
    <row r="29623" spans="24:25">
      <c r="X29623" s="19"/>
      <c r="Y29623" s="20"/>
    </row>
    <row r="29624" spans="24:25">
      <c r="X29624" s="19"/>
      <c r="Y29624" s="20"/>
    </row>
    <row r="29625" spans="24:25">
      <c r="X29625" s="19"/>
      <c r="Y29625" s="20"/>
    </row>
    <row r="29626" spans="24:25">
      <c r="X29626" s="19"/>
      <c r="Y29626" s="20"/>
    </row>
    <row r="29627" spans="24:25">
      <c r="X29627" s="19"/>
      <c r="Y29627" s="20"/>
    </row>
    <row r="29628" spans="24:25">
      <c r="X29628" s="19"/>
      <c r="Y29628" s="20"/>
    </row>
    <row r="29629" spans="24:25">
      <c r="X29629" s="19"/>
      <c r="Y29629" s="20"/>
    </row>
    <row r="29630" spans="24:25">
      <c r="X29630" s="19"/>
      <c r="Y29630" s="20"/>
    </row>
    <row r="29631" spans="24:25">
      <c r="X29631" s="19"/>
      <c r="Y29631" s="20"/>
    </row>
    <row r="29632" spans="24:25">
      <c r="X29632" s="19"/>
      <c r="Y29632" s="20"/>
    </row>
    <row r="29633" spans="24:25">
      <c r="X29633" s="19"/>
      <c r="Y29633" s="20"/>
    </row>
    <row r="29634" spans="24:25">
      <c r="X29634" s="19"/>
      <c r="Y29634" s="20"/>
    </row>
    <row r="29635" spans="24:25">
      <c r="X29635" s="19"/>
      <c r="Y29635" s="20"/>
    </row>
    <row r="29636" spans="24:25">
      <c r="X29636" s="19"/>
      <c r="Y29636" s="20"/>
    </row>
    <row r="29637" spans="24:25">
      <c r="X29637" s="19"/>
      <c r="Y29637" s="20"/>
    </row>
    <row r="29638" spans="24:25">
      <c r="X29638" s="19"/>
      <c r="Y29638" s="20"/>
    </row>
    <row r="29639" spans="24:25">
      <c r="X29639" s="19"/>
      <c r="Y29639" s="20"/>
    </row>
    <row r="29640" spans="24:25">
      <c r="X29640" s="19"/>
      <c r="Y29640" s="20"/>
    </row>
    <row r="29641" spans="24:25">
      <c r="X29641" s="19"/>
      <c r="Y29641" s="20"/>
    </row>
    <row r="29642" spans="24:25">
      <c r="X29642" s="19"/>
      <c r="Y29642" s="20"/>
    </row>
    <row r="29643" spans="24:25">
      <c r="X29643" s="19"/>
      <c r="Y29643" s="20"/>
    </row>
    <row r="29644" spans="24:25">
      <c r="X29644" s="19"/>
      <c r="Y29644" s="20"/>
    </row>
    <row r="29645" spans="24:25">
      <c r="X29645" s="19"/>
      <c r="Y29645" s="20"/>
    </row>
    <row r="29646" spans="24:25">
      <c r="X29646" s="19"/>
      <c r="Y29646" s="20"/>
    </row>
    <row r="29647" spans="24:25">
      <c r="X29647" s="19"/>
      <c r="Y29647" s="20"/>
    </row>
    <row r="29648" spans="24:25">
      <c r="X29648" s="19"/>
      <c r="Y29648" s="20"/>
    </row>
    <row r="29649" spans="24:25">
      <c r="X29649" s="19"/>
      <c r="Y29649" s="20"/>
    </row>
    <row r="29650" spans="24:25">
      <c r="X29650" s="19"/>
      <c r="Y29650" s="20"/>
    </row>
    <row r="29651" spans="24:25">
      <c r="X29651" s="19"/>
      <c r="Y29651" s="20"/>
    </row>
    <row r="29652" spans="24:25">
      <c r="X29652" s="19"/>
      <c r="Y29652" s="20"/>
    </row>
    <row r="29653" spans="24:25">
      <c r="X29653" s="19"/>
      <c r="Y29653" s="20"/>
    </row>
    <row r="29654" spans="24:25">
      <c r="X29654" s="19"/>
      <c r="Y29654" s="20"/>
    </row>
    <row r="29655" spans="24:25">
      <c r="X29655" s="19"/>
      <c r="Y29655" s="20"/>
    </row>
    <row r="29656" spans="24:25">
      <c r="X29656" s="19"/>
      <c r="Y29656" s="20"/>
    </row>
    <row r="29657" spans="24:25">
      <c r="X29657" s="19"/>
      <c r="Y29657" s="20"/>
    </row>
    <row r="29658" spans="24:25">
      <c r="X29658" s="19"/>
      <c r="Y29658" s="20"/>
    </row>
    <row r="29659" spans="24:25">
      <c r="X29659" s="19"/>
      <c r="Y29659" s="20"/>
    </row>
    <row r="29660" spans="24:25">
      <c r="X29660" s="19"/>
      <c r="Y29660" s="20"/>
    </row>
    <row r="29661" spans="24:25">
      <c r="X29661" s="19"/>
      <c r="Y29661" s="20"/>
    </row>
    <row r="29662" spans="24:25">
      <c r="X29662" s="19"/>
      <c r="Y29662" s="20"/>
    </row>
    <row r="29663" spans="24:25">
      <c r="X29663" s="19"/>
      <c r="Y29663" s="20"/>
    </row>
    <row r="29664" spans="24:25">
      <c r="X29664" s="19"/>
      <c r="Y29664" s="20"/>
    </row>
    <row r="29665" spans="24:25">
      <c r="X29665" s="19"/>
      <c r="Y29665" s="20"/>
    </row>
    <row r="29666" spans="24:25">
      <c r="X29666" s="19"/>
      <c r="Y29666" s="20"/>
    </row>
    <row r="29667" spans="24:25">
      <c r="X29667" s="19"/>
      <c r="Y29667" s="20"/>
    </row>
    <row r="29668" spans="24:25">
      <c r="X29668" s="19"/>
      <c r="Y29668" s="20"/>
    </row>
    <row r="29669" spans="24:25">
      <c r="X29669" s="19"/>
      <c r="Y29669" s="20"/>
    </row>
    <row r="29670" spans="24:25">
      <c r="X29670" s="19"/>
      <c r="Y29670" s="20"/>
    </row>
    <row r="29671" spans="24:25">
      <c r="X29671" s="19"/>
      <c r="Y29671" s="20"/>
    </row>
    <row r="29672" spans="24:25">
      <c r="X29672" s="19"/>
      <c r="Y29672" s="20"/>
    </row>
    <row r="29673" spans="24:25">
      <c r="X29673" s="19"/>
      <c r="Y29673" s="20"/>
    </row>
    <row r="29674" spans="24:25">
      <c r="X29674" s="19"/>
      <c r="Y29674" s="20"/>
    </row>
    <row r="29675" spans="24:25">
      <c r="X29675" s="19"/>
      <c r="Y29675" s="20"/>
    </row>
    <row r="29676" spans="24:25">
      <c r="X29676" s="19"/>
      <c r="Y29676" s="20"/>
    </row>
    <row r="29677" spans="24:25">
      <c r="X29677" s="19"/>
      <c r="Y29677" s="20"/>
    </row>
    <row r="29678" spans="24:25">
      <c r="X29678" s="19"/>
      <c r="Y29678" s="20"/>
    </row>
    <row r="29679" spans="24:25">
      <c r="X29679" s="19"/>
      <c r="Y29679" s="20"/>
    </row>
    <row r="29680" spans="24:25">
      <c r="X29680" s="19"/>
      <c r="Y29680" s="20"/>
    </row>
    <row r="29681" spans="24:25">
      <c r="X29681" s="19"/>
      <c r="Y29681" s="20"/>
    </row>
    <row r="29682" spans="24:25">
      <c r="X29682" s="19"/>
      <c r="Y29682" s="20"/>
    </row>
    <row r="29683" spans="24:25">
      <c r="X29683" s="19"/>
      <c r="Y29683" s="20"/>
    </row>
    <row r="29684" spans="24:25">
      <c r="X29684" s="19"/>
      <c r="Y29684" s="20"/>
    </row>
    <row r="29685" spans="24:25">
      <c r="X29685" s="19"/>
      <c r="Y29685" s="20"/>
    </row>
    <row r="29686" spans="24:25">
      <c r="X29686" s="19"/>
      <c r="Y29686" s="20"/>
    </row>
    <row r="29687" spans="24:25">
      <c r="X29687" s="19"/>
      <c r="Y29687" s="20"/>
    </row>
    <row r="29688" spans="24:25">
      <c r="X29688" s="19"/>
      <c r="Y29688" s="20"/>
    </row>
    <row r="29689" spans="24:25">
      <c r="X29689" s="19"/>
      <c r="Y29689" s="20"/>
    </row>
    <row r="29690" spans="24:25">
      <c r="X29690" s="19"/>
      <c r="Y29690" s="20"/>
    </row>
    <row r="29691" spans="24:25">
      <c r="X29691" s="19"/>
      <c r="Y29691" s="20"/>
    </row>
    <row r="29692" spans="24:25">
      <c r="X29692" s="19"/>
      <c r="Y29692" s="20"/>
    </row>
    <row r="29693" spans="24:25">
      <c r="X29693" s="19"/>
      <c r="Y29693" s="20"/>
    </row>
    <row r="29694" spans="24:25">
      <c r="X29694" s="19"/>
      <c r="Y29694" s="20"/>
    </row>
    <row r="29695" spans="24:25">
      <c r="X29695" s="19"/>
      <c r="Y29695" s="20"/>
    </row>
    <row r="29696" spans="24:25">
      <c r="X29696" s="19"/>
      <c r="Y29696" s="20"/>
    </row>
    <row r="29697" spans="24:25">
      <c r="X29697" s="19"/>
      <c r="Y29697" s="20"/>
    </row>
    <row r="29698" spans="24:25">
      <c r="X29698" s="19"/>
      <c r="Y29698" s="20"/>
    </row>
    <row r="29699" spans="24:25">
      <c r="X29699" s="19"/>
      <c r="Y29699" s="20"/>
    </row>
    <row r="29700" spans="24:25">
      <c r="X29700" s="19"/>
      <c r="Y29700" s="20"/>
    </row>
    <row r="29701" spans="24:25">
      <c r="X29701" s="19"/>
      <c r="Y29701" s="20"/>
    </row>
    <row r="29702" spans="24:25">
      <c r="X29702" s="19"/>
      <c r="Y29702" s="20"/>
    </row>
    <row r="29703" spans="24:25">
      <c r="X29703" s="19"/>
      <c r="Y29703" s="20"/>
    </row>
    <row r="29704" spans="24:25">
      <c r="X29704" s="19"/>
      <c r="Y29704" s="20"/>
    </row>
    <row r="29705" spans="24:25">
      <c r="X29705" s="19"/>
      <c r="Y29705" s="20"/>
    </row>
    <row r="29706" spans="24:25">
      <c r="X29706" s="19"/>
      <c r="Y29706" s="20"/>
    </row>
    <row r="29707" spans="24:25">
      <c r="X29707" s="19"/>
      <c r="Y29707" s="20"/>
    </row>
    <row r="29708" spans="24:25">
      <c r="X29708" s="19"/>
      <c r="Y29708" s="20"/>
    </row>
    <row r="29709" spans="24:25">
      <c r="X29709" s="19"/>
      <c r="Y29709" s="20"/>
    </row>
    <row r="29710" spans="24:25">
      <c r="X29710" s="19"/>
      <c r="Y29710" s="20"/>
    </row>
    <row r="29711" spans="24:25">
      <c r="X29711" s="19"/>
      <c r="Y29711" s="20"/>
    </row>
    <row r="29712" spans="24:25">
      <c r="X29712" s="19"/>
      <c r="Y29712" s="20"/>
    </row>
    <row r="29713" spans="24:25">
      <c r="X29713" s="19"/>
      <c r="Y29713" s="20"/>
    </row>
    <row r="29714" spans="24:25">
      <c r="X29714" s="19"/>
      <c r="Y29714" s="20"/>
    </row>
    <row r="29715" spans="24:25">
      <c r="X29715" s="19"/>
      <c r="Y29715" s="20"/>
    </row>
    <row r="29716" spans="24:25">
      <c r="X29716" s="19"/>
      <c r="Y29716" s="20"/>
    </row>
    <row r="29717" spans="24:25">
      <c r="X29717" s="19"/>
      <c r="Y29717" s="20"/>
    </row>
    <row r="29718" spans="24:25">
      <c r="X29718" s="19"/>
      <c r="Y29718" s="20"/>
    </row>
    <row r="29719" spans="24:25">
      <c r="X29719" s="19"/>
      <c r="Y29719" s="20"/>
    </row>
    <row r="29720" spans="24:25">
      <c r="X29720" s="19"/>
      <c r="Y29720" s="20"/>
    </row>
    <row r="29721" spans="24:25">
      <c r="X29721" s="19"/>
      <c r="Y29721" s="20"/>
    </row>
    <row r="29722" spans="24:25">
      <c r="X29722" s="19"/>
      <c r="Y29722" s="20"/>
    </row>
    <row r="29723" spans="24:25">
      <c r="X29723" s="19"/>
      <c r="Y29723" s="20"/>
    </row>
    <row r="29724" spans="24:25">
      <c r="X29724" s="19"/>
      <c r="Y29724" s="20"/>
    </row>
    <row r="29725" spans="24:25">
      <c r="X29725" s="19"/>
      <c r="Y29725" s="20"/>
    </row>
    <row r="29726" spans="24:25">
      <c r="X29726" s="19"/>
      <c r="Y29726" s="20"/>
    </row>
    <row r="29727" spans="24:25">
      <c r="X29727" s="19"/>
      <c r="Y29727" s="20"/>
    </row>
    <row r="29728" spans="24:25">
      <c r="X29728" s="19"/>
      <c r="Y29728" s="20"/>
    </row>
    <row r="29729" spans="24:25">
      <c r="X29729" s="19"/>
      <c r="Y29729" s="20"/>
    </row>
    <row r="29730" spans="24:25">
      <c r="X29730" s="19"/>
      <c r="Y29730" s="20"/>
    </row>
    <row r="29731" spans="24:25">
      <c r="X29731" s="19"/>
      <c r="Y29731" s="20"/>
    </row>
    <row r="29732" spans="24:25">
      <c r="X29732" s="19"/>
      <c r="Y29732" s="20"/>
    </row>
    <row r="29733" spans="24:25">
      <c r="X29733" s="19"/>
      <c r="Y29733" s="20"/>
    </row>
    <row r="29734" spans="24:25">
      <c r="X29734" s="19"/>
      <c r="Y29734" s="20"/>
    </row>
    <row r="29735" spans="24:25">
      <c r="X29735" s="19"/>
      <c r="Y29735" s="20"/>
    </row>
    <row r="29736" spans="24:25">
      <c r="X29736" s="19"/>
      <c r="Y29736" s="20"/>
    </row>
    <row r="29737" spans="24:25">
      <c r="X29737" s="19"/>
      <c r="Y29737" s="20"/>
    </row>
    <row r="29738" spans="24:25">
      <c r="X29738" s="19"/>
      <c r="Y29738" s="20"/>
    </row>
    <row r="29739" spans="24:25">
      <c r="X29739" s="19"/>
      <c r="Y29739" s="20"/>
    </row>
    <row r="29740" spans="24:25">
      <c r="X29740" s="19"/>
      <c r="Y29740" s="20"/>
    </row>
    <row r="29741" spans="24:25">
      <c r="X29741" s="19"/>
      <c r="Y29741" s="20"/>
    </row>
    <row r="29742" spans="24:25">
      <c r="X29742" s="19"/>
      <c r="Y29742" s="20"/>
    </row>
    <row r="29743" spans="24:25">
      <c r="X29743" s="19"/>
      <c r="Y29743" s="20"/>
    </row>
    <row r="29744" spans="24:25">
      <c r="X29744" s="19"/>
      <c r="Y29744" s="20"/>
    </row>
    <row r="29745" spans="24:25">
      <c r="X29745" s="19"/>
      <c r="Y29745" s="20"/>
    </row>
    <row r="29746" spans="24:25">
      <c r="X29746" s="19"/>
      <c r="Y29746" s="20"/>
    </row>
    <row r="29747" spans="24:25">
      <c r="X29747" s="19"/>
      <c r="Y29747" s="20"/>
    </row>
    <row r="29748" spans="24:25">
      <c r="X29748" s="19"/>
      <c r="Y29748" s="20"/>
    </row>
    <row r="29749" spans="24:25">
      <c r="X29749" s="19"/>
      <c r="Y29749" s="20"/>
    </row>
    <row r="29750" spans="24:25">
      <c r="X29750" s="19"/>
      <c r="Y29750" s="20"/>
    </row>
    <row r="29751" spans="24:25">
      <c r="X29751" s="19"/>
      <c r="Y29751" s="20"/>
    </row>
    <row r="29752" spans="24:25">
      <c r="X29752" s="19"/>
      <c r="Y29752" s="20"/>
    </row>
    <row r="29753" spans="24:25">
      <c r="X29753" s="19"/>
      <c r="Y29753" s="20"/>
    </row>
    <row r="29754" spans="24:25">
      <c r="X29754" s="19"/>
      <c r="Y29754" s="20"/>
    </row>
    <row r="29755" spans="24:25">
      <c r="X29755" s="19"/>
      <c r="Y29755" s="20"/>
    </row>
    <row r="29756" spans="24:25">
      <c r="X29756" s="19"/>
      <c r="Y29756" s="20"/>
    </row>
    <row r="29757" spans="24:25">
      <c r="X29757" s="19"/>
      <c r="Y29757" s="20"/>
    </row>
    <row r="29758" spans="24:25">
      <c r="X29758" s="19"/>
      <c r="Y29758" s="20"/>
    </row>
    <row r="29759" spans="24:25">
      <c r="X29759" s="19"/>
      <c r="Y29759" s="20"/>
    </row>
    <row r="29760" spans="24:25">
      <c r="X29760" s="19"/>
      <c r="Y29760" s="20"/>
    </row>
    <row r="29761" spans="24:25">
      <c r="X29761" s="19"/>
      <c r="Y29761" s="20"/>
    </row>
    <row r="29762" spans="24:25">
      <c r="X29762" s="19"/>
      <c r="Y29762" s="20"/>
    </row>
    <row r="29763" spans="24:25">
      <c r="X29763" s="19"/>
      <c r="Y29763" s="20"/>
    </row>
    <row r="29764" spans="24:25">
      <c r="X29764" s="19"/>
      <c r="Y29764" s="20"/>
    </row>
    <row r="29765" spans="24:25">
      <c r="X29765" s="19"/>
      <c r="Y29765" s="20"/>
    </row>
    <row r="29766" spans="24:25">
      <c r="X29766" s="19"/>
      <c r="Y29766" s="20"/>
    </row>
    <row r="29767" spans="24:25">
      <c r="X29767" s="19"/>
      <c r="Y29767" s="20"/>
    </row>
    <row r="29768" spans="24:25">
      <c r="X29768" s="19"/>
      <c r="Y29768" s="20"/>
    </row>
    <row r="29769" spans="24:25">
      <c r="X29769" s="19"/>
      <c r="Y29769" s="20"/>
    </row>
    <row r="29770" spans="24:25">
      <c r="X29770" s="19"/>
      <c r="Y29770" s="20"/>
    </row>
    <row r="29771" spans="24:25">
      <c r="X29771" s="19"/>
      <c r="Y29771" s="20"/>
    </row>
    <row r="29772" spans="24:25">
      <c r="X29772" s="19"/>
      <c r="Y29772" s="20"/>
    </row>
    <row r="29773" spans="24:25">
      <c r="X29773" s="19"/>
      <c r="Y29773" s="20"/>
    </row>
    <row r="29774" spans="24:25">
      <c r="X29774" s="19"/>
      <c r="Y29774" s="20"/>
    </row>
    <row r="29775" spans="24:25">
      <c r="X29775" s="19"/>
      <c r="Y29775" s="20"/>
    </row>
    <row r="29776" spans="24:25">
      <c r="X29776" s="19"/>
      <c r="Y29776" s="20"/>
    </row>
    <row r="29777" spans="24:25">
      <c r="X29777" s="19"/>
      <c r="Y29777" s="20"/>
    </row>
    <row r="29778" spans="24:25">
      <c r="X29778" s="19"/>
      <c r="Y29778" s="20"/>
    </row>
    <row r="29779" spans="24:25">
      <c r="X29779" s="19"/>
      <c r="Y29779" s="20"/>
    </row>
    <row r="29780" spans="24:25">
      <c r="X29780" s="19"/>
      <c r="Y29780" s="20"/>
    </row>
    <row r="29781" spans="24:25">
      <c r="X29781" s="19"/>
      <c r="Y29781" s="20"/>
    </row>
    <row r="29782" spans="24:25">
      <c r="X29782" s="19"/>
      <c r="Y29782" s="20"/>
    </row>
    <row r="29783" spans="24:25">
      <c r="X29783" s="19"/>
      <c r="Y29783" s="20"/>
    </row>
    <row r="29784" spans="24:25">
      <c r="X29784" s="19"/>
      <c r="Y29784" s="20"/>
    </row>
    <row r="29785" spans="24:25">
      <c r="X29785" s="19"/>
      <c r="Y29785" s="20"/>
    </row>
    <row r="29786" spans="24:25">
      <c r="X29786" s="19"/>
      <c r="Y29786" s="20"/>
    </row>
    <row r="29787" spans="24:25">
      <c r="X29787" s="19"/>
      <c r="Y29787" s="20"/>
    </row>
    <row r="29788" spans="24:25">
      <c r="X29788" s="19"/>
      <c r="Y29788" s="20"/>
    </row>
    <row r="29789" spans="24:25">
      <c r="X29789" s="19"/>
      <c r="Y29789" s="20"/>
    </row>
    <row r="29790" spans="24:25">
      <c r="X29790" s="19"/>
      <c r="Y29790" s="20"/>
    </row>
    <row r="29791" spans="24:25">
      <c r="X29791" s="19"/>
      <c r="Y29791" s="20"/>
    </row>
    <row r="29792" spans="24:25">
      <c r="X29792" s="19"/>
      <c r="Y29792" s="20"/>
    </row>
    <row r="29793" spans="24:25">
      <c r="X29793" s="19"/>
      <c r="Y29793" s="20"/>
    </row>
    <row r="29794" spans="24:25">
      <c r="X29794" s="19"/>
      <c r="Y29794" s="20"/>
    </row>
    <row r="29795" spans="24:25">
      <c r="X29795" s="19"/>
      <c r="Y29795" s="20"/>
    </row>
    <row r="29796" spans="24:25">
      <c r="X29796" s="19"/>
      <c r="Y29796" s="20"/>
    </row>
    <row r="29797" spans="24:25">
      <c r="X29797" s="19"/>
      <c r="Y29797" s="20"/>
    </row>
    <row r="29798" spans="24:25">
      <c r="X29798" s="19"/>
      <c r="Y29798" s="20"/>
    </row>
    <row r="29799" spans="24:25">
      <c r="X29799" s="19"/>
      <c r="Y29799" s="20"/>
    </row>
    <row r="29800" spans="24:25">
      <c r="X29800" s="19"/>
      <c r="Y29800" s="20"/>
    </row>
    <row r="29801" spans="24:25">
      <c r="X29801" s="19"/>
      <c r="Y29801" s="20"/>
    </row>
    <row r="29802" spans="24:25">
      <c r="X29802" s="19"/>
      <c r="Y29802" s="20"/>
    </row>
    <row r="29803" spans="24:25">
      <c r="X29803" s="19"/>
      <c r="Y29803" s="20"/>
    </row>
    <row r="29804" spans="24:25">
      <c r="X29804" s="19"/>
      <c r="Y29804" s="20"/>
    </row>
    <row r="29805" spans="24:25">
      <c r="X29805" s="19"/>
      <c r="Y29805" s="20"/>
    </row>
    <row r="29806" spans="24:25">
      <c r="X29806" s="19"/>
      <c r="Y29806" s="20"/>
    </row>
    <row r="29807" spans="24:25">
      <c r="X29807" s="19"/>
      <c r="Y29807" s="20"/>
    </row>
    <row r="29808" spans="24:25">
      <c r="X29808" s="19"/>
      <c r="Y29808" s="20"/>
    </row>
    <row r="29809" spans="24:25">
      <c r="X29809" s="19"/>
      <c r="Y29809" s="20"/>
    </row>
    <row r="29810" spans="24:25">
      <c r="X29810" s="19"/>
      <c r="Y29810" s="20"/>
    </row>
    <row r="29811" spans="24:25">
      <c r="X29811" s="19"/>
      <c r="Y29811" s="20"/>
    </row>
    <row r="29812" spans="24:25">
      <c r="X29812" s="19"/>
      <c r="Y29812" s="20"/>
    </row>
    <row r="29813" spans="24:25">
      <c r="X29813" s="19"/>
      <c r="Y29813" s="20"/>
    </row>
    <row r="29814" spans="24:25">
      <c r="X29814" s="19"/>
      <c r="Y29814" s="20"/>
    </row>
    <row r="29815" spans="24:25">
      <c r="X29815" s="19"/>
      <c r="Y29815" s="20"/>
    </row>
    <row r="29816" spans="24:25">
      <c r="X29816" s="19"/>
      <c r="Y29816" s="20"/>
    </row>
    <row r="29817" spans="24:25">
      <c r="X29817" s="19"/>
      <c r="Y29817" s="20"/>
    </row>
    <row r="29818" spans="24:25">
      <c r="X29818" s="19"/>
      <c r="Y29818" s="20"/>
    </row>
    <row r="29819" spans="24:25">
      <c r="X29819" s="19"/>
      <c r="Y29819" s="20"/>
    </row>
    <row r="29820" spans="24:25">
      <c r="X29820" s="19"/>
      <c r="Y29820" s="20"/>
    </row>
    <row r="29821" spans="24:25">
      <c r="X29821" s="19"/>
      <c r="Y29821" s="20"/>
    </row>
    <row r="29822" spans="24:25">
      <c r="X29822" s="19"/>
      <c r="Y29822" s="20"/>
    </row>
    <row r="29823" spans="24:25">
      <c r="X29823" s="19"/>
      <c r="Y29823" s="20"/>
    </row>
    <row r="29824" spans="24:25">
      <c r="X29824" s="19"/>
      <c r="Y29824" s="20"/>
    </row>
    <row r="29825" spans="24:25">
      <c r="X29825" s="19"/>
      <c r="Y29825" s="20"/>
    </row>
    <row r="29826" spans="24:25">
      <c r="X29826" s="19"/>
      <c r="Y29826" s="20"/>
    </row>
    <row r="29827" spans="24:25">
      <c r="X29827" s="19"/>
      <c r="Y29827" s="20"/>
    </row>
    <row r="29828" spans="24:25">
      <c r="X29828" s="19"/>
      <c r="Y29828" s="20"/>
    </row>
    <row r="29829" spans="24:25">
      <c r="X29829" s="19"/>
      <c r="Y29829" s="20"/>
    </row>
    <row r="29830" spans="24:25">
      <c r="X29830" s="19"/>
      <c r="Y29830" s="20"/>
    </row>
    <row r="29831" spans="24:25">
      <c r="X29831" s="19"/>
      <c r="Y29831" s="20"/>
    </row>
    <row r="29832" spans="24:25">
      <c r="X29832" s="19"/>
      <c r="Y29832" s="20"/>
    </row>
    <row r="29833" spans="24:25">
      <c r="X29833" s="19"/>
      <c r="Y29833" s="20"/>
    </row>
    <row r="29834" spans="24:25">
      <c r="X29834" s="19"/>
      <c r="Y29834" s="20"/>
    </row>
    <row r="29835" spans="24:25">
      <c r="X29835" s="19"/>
      <c r="Y29835" s="20"/>
    </row>
    <row r="29836" spans="24:25">
      <c r="X29836" s="19"/>
      <c r="Y29836" s="20"/>
    </row>
    <row r="29837" spans="24:25">
      <c r="X29837" s="19"/>
      <c r="Y29837" s="20"/>
    </row>
    <row r="29838" spans="24:25">
      <c r="X29838" s="19"/>
      <c r="Y29838" s="20"/>
    </row>
    <row r="29839" spans="24:25">
      <c r="X29839" s="19"/>
      <c r="Y29839" s="20"/>
    </row>
    <row r="29840" spans="24:25">
      <c r="X29840" s="19"/>
      <c r="Y29840" s="20"/>
    </row>
    <row r="29841" spans="24:25">
      <c r="X29841" s="19"/>
      <c r="Y29841" s="20"/>
    </row>
    <row r="29842" spans="24:25">
      <c r="X29842" s="19"/>
      <c r="Y29842" s="20"/>
    </row>
    <row r="29843" spans="24:25">
      <c r="X29843" s="19"/>
      <c r="Y29843" s="20"/>
    </row>
    <row r="29844" spans="24:25">
      <c r="X29844" s="19"/>
      <c r="Y29844" s="20"/>
    </row>
    <row r="29845" spans="24:25">
      <c r="X29845" s="19"/>
      <c r="Y29845" s="20"/>
    </row>
    <row r="29846" spans="24:25">
      <c r="X29846" s="19"/>
      <c r="Y29846" s="20"/>
    </row>
    <row r="29847" spans="24:25">
      <c r="X29847" s="19"/>
      <c r="Y29847" s="20"/>
    </row>
    <row r="29848" spans="24:25">
      <c r="X29848" s="19"/>
      <c r="Y29848" s="20"/>
    </row>
    <row r="29849" spans="24:25">
      <c r="X29849" s="19"/>
      <c r="Y29849" s="20"/>
    </row>
    <row r="29850" spans="24:25">
      <c r="X29850" s="19"/>
      <c r="Y29850" s="20"/>
    </row>
    <row r="29851" spans="24:25">
      <c r="X29851" s="19"/>
      <c r="Y29851" s="20"/>
    </row>
    <row r="29852" spans="24:25">
      <c r="X29852" s="19"/>
      <c r="Y29852" s="20"/>
    </row>
    <row r="29853" spans="24:25">
      <c r="X29853" s="19"/>
      <c r="Y29853" s="20"/>
    </row>
    <row r="29854" spans="24:25">
      <c r="X29854" s="19"/>
      <c r="Y29854" s="20"/>
    </row>
    <row r="29855" spans="24:25">
      <c r="X29855" s="19"/>
      <c r="Y29855" s="20"/>
    </row>
    <row r="29856" spans="24:25">
      <c r="X29856" s="19"/>
      <c r="Y29856" s="20"/>
    </row>
    <row r="29857" spans="24:25">
      <c r="X29857" s="19"/>
      <c r="Y29857" s="20"/>
    </row>
    <row r="29858" spans="24:25">
      <c r="X29858" s="19"/>
      <c r="Y29858" s="20"/>
    </row>
    <row r="29859" spans="24:25">
      <c r="X29859" s="19"/>
      <c r="Y29859" s="20"/>
    </row>
    <row r="29860" spans="24:25">
      <c r="X29860" s="19"/>
      <c r="Y29860" s="20"/>
    </row>
    <row r="29861" spans="24:25">
      <c r="X29861" s="19"/>
      <c r="Y29861" s="20"/>
    </row>
    <row r="29862" spans="24:25">
      <c r="X29862" s="19"/>
      <c r="Y29862" s="20"/>
    </row>
    <row r="29863" spans="24:25">
      <c r="X29863" s="19"/>
      <c r="Y29863" s="20"/>
    </row>
    <row r="29864" spans="24:25">
      <c r="X29864" s="19"/>
      <c r="Y29864" s="20"/>
    </row>
    <row r="29865" spans="24:25">
      <c r="X29865" s="19"/>
      <c r="Y29865" s="20"/>
    </row>
    <row r="29866" spans="24:25">
      <c r="X29866" s="19"/>
      <c r="Y29866" s="20"/>
    </row>
    <row r="29867" spans="24:25">
      <c r="X29867" s="19"/>
      <c r="Y29867" s="20"/>
    </row>
    <row r="29868" spans="24:25">
      <c r="X29868" s="19"/>
      <c r="Y29868" s="20"/>
    </row>
    <row r="29869" spans="24:25">
      <c r="X29869" s="19"/>
      <c r="Y29869" s="20"/>
    </row>
    <row r="29870" spans="24:25">
      <c r="X29870" s="19"/>
      <c r="Y29870" s="20"/>
    </row>
    <row r="29871" spans="24:25">
      <c r="X29871" s="19"/>
      <c r="Y29871" s="20"/>
    </row>
    <row r="29872" spans="24:25">
      <c r="X29872" s="19"/>
      <c r="Y29872" s="20"/>
    </row>
    <row r="29873" spans="24:25">
      <c r="X29873" s="19"/>
      <c r="Y29873" s="20"/>
    </row>
    <row r="29874" spans="24:25">
      <c r="X29874" s="19"/>
      <c r="Y29874" s="20"/>
    </row>
    <row r="29875" spans="24:25">
      <c r="X29875" s="19"/>
      <c r="Y29875" s="20"/>
    </row>
    <row r="29876" spans="24:25">
      <c r="X29876" s="19"/>
      <c r="Y29876" s="20"/>
    </row>
    <row r="29877" spans="24:25">
      <c r="X29877" s="19"/>
      <c r="Y29877" s="20"/>
    </row>
    <row r="29878" spans="24:25">
      <c r="X29878" s="19"/>
      <c r="Y29878" s="20"/>
    </row>
    <row r="29879" spans="24:25">
      <c r="X29879" s="19"/>
      <c r="Y29879" s="20"/>
    </row>
    <row r="29880" spans="24:25">
      <c r="X29880" s="19"/>
      <c r="Y29880" s="20"/>
    </row>
    <row r="29881" spans="24:25">
      <c r="X29881" s="19"/>
      <c r="Y29881" s="20"/>
    </row>
    <row r="29882" spans="24:25">
      <c r="X29882" s="19"/>
      <c r="Y29882" s="20"/>
    </row>
    <row r="29883" spans="24:25">
      <c r="X29883" s="19"/>
      <c r="Y29883" s="20"/>
    </row>
    <row r="29884" spans="24:25">
      <c r="X29884" s="19"/>
      <c r="Y29884" s="20"/>
    </row>
    <row r="29885" spans="24:25">
      <c r="X29885" s="19"/>
      <c r="Y29885" s="20"/>
    </row>
    <row r="29886" spans="24:25">
      <c r="X29886" s="19"/>
      <c r="Y29886" s="20"/>
    </row>
    <row r="29887" spans="24:25">
      <c r="X29887" s="19"/>
      <c r="Y29887" s="20"/>
    </row>
    <row r="29888" spans="24:25">
      <c r="X29888" s="19"/>
      <c r="Y29888" s="20"/>
    </row>
    <row r="29889" spans="24:25">
      <c r="X29889" s="19"/>
      <c r="Y29889" s="20"/>
    </row>
    <row r="29890" spans="24:25">
      <c r="X29890" s="19"/>
      <c r="Y29890" s="20"/>
    </row>
    <row r="29891" spans="24:25">
      <c r="X29891" s="19"/>
      <c r="Y29891" s="20"/>
    </row>
    <row r="29892" spans="24:25">
      <c r="X29892" s="19"/>
      <c r="Y29892" s="20"/>
    </row>
    <row r="29893" spans="24:25">
      <c r="X29893" s="19"/>
      <c r="Y29893" s="20"/>
    </row>
    <row r="29894" spans="24:25">
      <c r="X29894" s="19"/>
      <c r="Y29894" s="20"/>
    </row>
    <row r="29895" spans="24:25">
      <c r="X29895" s="19"/>
      <c r="Y29895" s="20"/>
    </row>
    <row r="29896" spans="24:25">
      <c r="X29896" s="19"/>
      <c r="Y29896" s="20"/>
    </row>
    <row r="29897" spans="24:25">
      <c r="X29897" s="19"/>
      <c r="Y29897" s="20"/>
    </row>
    <row r="29898" spans="24:25">
      <c r="X29898" s="19"/>
      <c r="Y29898" s="20"/>
    </row>
    <row r="29899" spans="24:25">
      <c r="X29899" s="19"/>
      <c r="Y29899" s="20"/>
    </row>
    <row r="29900" spans="24:25">
      <c r="X29900" s="19"/>
      <c r="Y29900" s="20"/>
    </row>
    <row r="29901" spans="24:25">
      <c r="X29901" s="19"/>
      <c r="Y29901" s="20"/>
    </row>
    <row r="29902" spans="24:25">
      <c r="X29902" s="19"/>
      <c r="Y29902" s="20"/>
    </row>
    <row r="29903" spans="24:25">
      <c r="X29903" s="19"/>
      <c r="Y29903" s="20"/>
    </row>
    <row r="29904" spans="24:25">
      <c r="X29904" s="19"/>
      <c r="Y29904" s="20"/>
    </row>
    <row r="29905" spans="24:25">
      <c r="X29905" s="19"/>
      <c r="Y29905" s="20"/>
    </row>
    <row r="29906" spans="24:25">
      <c r="X29906" s="19"/>
      <c r="Y29906" s="20"/>
    </row>
    <row r="29907" spans="24:25">
      <c r="X29907" s="19"/>
      <c r="Y29907" s="20"/>
    </row>
    <row r="29908" spans="24:25">
      <c r="X29908" s="19"/>
      <c r="Y29908" s="20"/>
    </row>
    <row r="29909" spans="24:25">
      <c r="X29909" s="19"/>
      <c r="Y29909" s="20"/>
    </row>
    <row r="29910" spans="24:25">
      <c r="X29910" s="19"/>
      <c r="Y29910" s="20"/>
    </row>
    <row r="29911" spans="24:25">
      <c r="X29911" s="19"/>
      <c r="Y29911" s="20"/>
    </row>
    <row r="29912" spans="24:25">
      <c r="X29912" s="19"/>
      <c r="Y29912" s="20"/>
    </row>
    <row r="29913" spans="24:25">
      <c r="X29913" s="19"/>
      <c r="Y29913" s="20"/>
    </row>
    <row r="29914" spans="24:25">
      <c r="X29914" s="19"/>
      <c r="Y29914" s="20"/>
    </row>
    <row r="29915" spans="24:25">
      <c r="X29915" s="19"/>
      <c r="Y29915" s="20"/>
    </row>
    <row r="29916" spans="24:25">
      <c r="X29916" s="19"/>
      <c r="Y29916" s="20"/>
    </row>
    <row r="29917" spans="24:25">
      <c r="X29917" s="19"/>
      <c r="Y29917" s="20"/>
    </row>
    <row r="29918" spans="24:25">
      <c r="X29918" s="19"/>
      <c r="Y29918" s="20"/>
    </row>
    <row r="29919" spans="24:25">
      <c r="X29919" s="19"/>
      <c r="Y29919" s="20"/>
    </row>
    <row r="29920" spans="24:25">
      <c r="X29920" s="19"/>
      <c r="Y29920" s="20"/>
    </row>
    <row r="29921" spans="24:25">
      <c r="X29921" s="19"/>
      <c r="Y29921" s="20"/>
    </row>
    <row r="29922" spans="24:25">
      <c r="X29922" s="19"/>
      <c r="Y29922" s="20"/>
    </row>
    <row r="29923" spans="24:25">
      <c r="X29923" s="19"/>
      <c r="Y29923" s="20"/>
    </row>
    <row r="29924" spans="24:25">
      <c r="X29924" s="19"/>
      <c r="Y29924" s="20"/>
    </row>
    <row r="29925" spans="24:25">
      <c r="X29925" s="19"/>
      <c r="Y29925" s="20"/>
    </row>
    <row r="29926" spans="24:25">
      <c r="X29926" s="19"/>
      <c r="Y29926" s="20"/>
    </row>
    <row r="29927" spans="24:25">
      <c r="X29927" s="19"/>
      <c r="Y29927" s="20"/>
    </row>
    <row r="29928" spans="24:25">
      <c r="X29928" s="19"/>
      <c r="Y29928" s="20"/>
    </row>
    <row r="29929" spans="24:25">
      <c r="X29929" s="19"/>
      <c r="Y29929" s="20"/>
    </row>
    <row r="29930" spans="24:25">
      <c r="X29930" s="19"/>
      <c r="Y29930" s="20"/>
    </row>
    <row r="29931" spans="24:25">
      <c r="X29931" s="19"/>
      <c r="Y29931" s="20"/>
    </row>
    <row r="29932" spans="24:25">
      <c r="X29932" s="19"/>
      <c r="Y29932" s="20"/>
    </row>
    <row r="29933" spans="24:25">
      <c r="X29933" s="19"/>
      <c r="Y29933" s="20"/>
    </row>
    <row r="29934" spans="24:25">
      <c r="X29934" s="19"/>
      <c r="Y29934" s="20"/>
    </row>
    <row r="29935" spans="24:25">
      <c r="X29935" s="19"/>
      <c r="Y29935" s="20"/>
    </row>
    <row r="29936" spans="24:25">
      <c r="X29936" s="19"/>
      <c r="Y29936" s="20"/>
    </row>
    <row r="29937" spans="24:25">
      <c r="X29937" s="19"/>
      <c r="Y29937" s="20"/>
    </row>
    <row r="29938" spans="24:25">
      <c r="X29938" s="19"/>
      <c r="Y29938" s="20"/>
    </row>
    <row r="29939" spans="24:25">
      <c r="X29939" s="19"/>
      <c r="Y29939" s="20"/>
    </row>
    <row r="29940" spans="24:25">
      <c r="X29940" s="19"/>
      <c r="Y29940" s="20"/>
    </row>
    <row r="29941" spans="24:25">
      <c r="X29941" s="19"/>
      <c r="Y29941" s="20"/>
    </row>
    <row r="29942" spans="24:25">
      <c r="X29942" s="19"/>
      <c r="Y29942" s="20"/>
    </row>
    <row r="29943" spans="24:25">
      <c r="X29943" s="19"/>
      <c r="Y29943" s="20"/>
    </row>
    <row r="29944" spans="24:25">
      <c r="X29944" s="19"/>
      <c r="Y29944" s="20"/>
    </row>
    <row r="29945" spans="24:25">
      <c r="X29945" s="19"/>
      <c r="Y29945" s="20"/>
    </row>
    <row r="29946" spans="24:25">
      <c r="X29946" s="19"/>
      <c r="Y29946" s="20"/>
    </row>
    <row r="29947" spans="24:25">
      <c r="X29947" s="19"/>
      <c r="Y29947" s="20"/>
    </row>
    <row r="29948" spans="24:25">
      <c r="X29948" s="19"/>
      <c r="Y29948" s="20"/>
    </row>
    <row r="29949" spans="24:25">
      <c r="X29949" s="19"/>
      <c r="Y29949" s="20"/>
    </row>
    <row r="29950" spans="24:25">
      <c r="X29950" s="19"/>
      <c r="Y29950" s="20"/>
    </row>
    <row r="29951" spans="24:25">
      <c r="X29951" s="19"/>
      <c r="Y29951" s="20"/>
    </row>
    <row r="29952" spans="24:25">
      <c r="X29952" s="19"/>
      <c r="Y29952" s="20"/>
    </row>
    <row r="29953" spans="24:25">
      <c r="X29953" s="19"/>
      <c r="Y29953" s="20"/>
    </row>
    <row r="29954" spans="24:25">
      <c r="X29954" s="19"/>
      <c r="Y29954" s="20"/>
    </row>
    <row r="29955" spans="24:25">
      <c r="X29955" s="19"/>
      <c r="Y29955" s="20"/>
    </row>
    <row r="29956" spans="24:25">
      <c r="X29956" s="19"/>
      <c r="Y29956" s="20"/>
    </row>
    <row r="29957" spans="24:25">
      <c r="X29957" s="19"/>
      <c r="Y29957" s="20"/>
    </row>
    <row r="29958" spans="24:25">
      <c r="X29958" s="19"/>
      <c r="Y29958" s="20"/>
    </row>
    <row r="29959" spans="24:25">
      <c r="X29959" s="19"/>
      <c r="Y29959" s="20"/>
    </row>
    <row r="29960" spans="24:25">
      <c r="X29960" s="19"/>
      <c r="Y29960" s="20"/>
    </row>
    <row r="29961" spans="24:25">
      <c r="X29961" s="19"/>
      <c r="Y29961" s="20"/>
    </row>
    <row r="29962" spans="24:25">
      <c r="X29962" s="19"/>
      <c r="Y29962" s="20"/>
    </row>
    <row r="29963" spans="24:25">
      <c r="X29963" s="19"/>
      <c r="Y29963" s="20"/>
    </row>
    <row r="29964" spans="24:25">
      <c r="X29964" s="19"/>
      <c r="Y29964" s="20"/>
    </row>
    <row r="29965" spans="24:25">
      <c r="X29965" s="19"/>
      <c r="Y29965" s="20"/>
    </row>
    <row r="29966" spans="24:25">
      <c r="X29966" s="19"/>
      <c r="Y29966" s="20"/>
    </row>
    <row r="29967" spans="24:25">
      <c r="X29967" s="19"/>
      <c r="Y29967" s="20"/>
    </row>
    <row r="29968" spans="24:25">
      <c r="X29968" s="19"/>
      <c r="Y29968" s="20"/>
    </row>
    <row r="29969" spans="24:25">
      <c r="X29969" s="19"/>
      <c r="Y29969" s="20"/>
    </row>
    <row r="29970" spans="24:25">
      <c r="X29970" s="19"/>
      <c r="Y29970" s="20"/>
    </row>
    <row r="29971" spans="24:25">
      <c r="X29971" s="19"/>
      <c r="Y29971" s="20"/>
    </row>
    <row r="29972" spans="24:25">
      <c r="X29972" s="19"/>
      <c r="Y29972" s="20"/>
    </row>
    <row r="29973" spans="24:25">
      <c r="X29973" s="19"/>
      <c r="Y29973" s="20"/>
    </row>
    <row r="29974" spans="24:25">
      <c r="X29974" s="19"/>
      <c r="Y29974" s="20"/>
    </row>
    <row r="29975" spans="24:25">
      <c r="X29975" s="19"/>
      <c r="Y29975" s="20"/>
    </row>
    <row r="29976" spans="24:25">
      <c r="X29976" s="19"/>
      <c r="Y29976" s="20"/>
    </row>
    <row r="29977" spans="24:25">
      <c r="X29977" s="19"/>
      <c r="Y29977" s="20"/>
    </row>
    <row r="29978" spans="24:25">
      <c r="X29978" s="19"/>
      <c r="Y29978" s="20"/>
    </row>
    <row r="29979" spans="24:25">
      <c r="X29979" s="19"/>
      <c r="Y29979" s="20"/>
    </row>
    <row r="29980" spans="24:25">
      <c r="X29980" s="19"/>
      <c r="Y29980" s="20"/>
    </row>
    <row r="29981" spans="24:25">
      <c r="X29981" s="19"/>
      <c r="Y29981" s="20"/>
    </row>
    <row r="29982" spans="24:25">
      <c r="X29982" s="19"/>
      <c r="Y29982" s="20"/>
    </row>
    <row r="29983" spans="24:25">
      <c r="X29983" s="19"/>
      <c r="Y29983" s="20"/>
    </row>
    <row r="29984" spans="24:25">
      <c r="X29984" s="19"/>
      <c r="Y29984" s="20"/>
    </row>
    <row r="29985" spans="24:25">
      <c r="X29985" s="19"/>
      <c r="Y29985" s="20"/>
    </row>
    <row r="29986" spans="24:25">
      <c r="X29986" s="19"/>
      <c r="Y29986" s="20"/>
    </row>
    <row r="29987" spans="24:25">
      <c r="X29987" s="19"/>
      <c r="Y29987" s="20"/>
    </row>
    <row r="29988" spans="24:25">
      <c r="X29988" s="19"/>
      <c r="Y29988" s="20"/>
    </row>
    <row r="29989" spans="24:25">
      <c r="X29989" s="19"/>
      <c r="Y29989" s="20"/>
    </row>
    <row r="29990" spans="24:25">
      <c r="X29990" s="19"/>
      <c r="Y29990" s="20"/>
    </row>
    <row r="29991" spans="24:25">
      <c r="X29991" s="19"/>
      <c r="Y29991" s="20"/>
    </row>
    <row r="29992" spans="24:25">
      <c r="X29992" s="19"/>
      <c r="Y29992" s="20"/>
    </row>
    <row r="29993" spans="24:25">
      <c r="X29993" s="19"/>
      <c r="Y29993" s="20"/>
    </row>
    <row r="29994" spans="24:25">
      <c r="X29994" s="19"/>
      <c r="Y29994" s="20"/>
    </row>
    <row r="29995" spans="24:25">
      <c r="X29995" s="19"/>
      <c r="Y29995" s="20"/>
    </row>
    <row r="29996" spans="24:25">
      <c r="X29996" s="19"/>
      <c r="Y29996" s="20"/>
    </row>
    <row r="29997" spans="24:25">
      <c r="X29997" s="19"/>
      <c r="Y29997" s="20"/>
    </row>
    <row r="29998" spans="24:25">
      <c r="X29998" s="19"/>
      <c r="Y29998" s="20"/>
    </row>
    <row r="29999" spans="24:25">
      <c r="X29999" s="19"/>
      <c r="Y29999" s="20"/>
    </row>
    <row r="30000" spans="24:25">
      <c r="X30000" s="19"/>
      <c r="Y30000" s="20"/>
    </row>
    <row r="30001" spans="24:25">
      <c r="X30001" s="19"/>
      <c r="Y30001" s="20"/>
    </row>
    <row r="30002" spans="24:25">
      <c r="X30002" s="19"/>
      <c r="Y30002" s="20"/>
    </row>
    <row r="30003" spans="24:25">
      <c r="X30003" s="19"/>
      <c r="Y30003" s="20"/>
    </row>
    <row r="30004" spans="24:25">
      <c r="X30004" s="19"/>
      <c r="Y30004" s="20"/>
    </row>
    <row r="30005" spans="24:25">
      <c r="X30005" s="19"/>
      <c r="Y30005" s="20"/>
    </row>
    <row r="30006" spans="24:25">
      <c r="X30006" s="19"/>
      <c r="Y30006" s="20"/>
    </row>
    <row r="30007" spans="24:25">
      <c r="X30007" s="19"/>
      <c r="Y30007" s="20"/>
    </row>
    <row r="30008" spans="24:25">
      <c r="X30008" s="19"/>
      <c r="Y30008" s="20"/>
    </row>
    <row r="30009" spans="24:25">
      <c r="X30009" s="19"/>
      <c r="Y30009" s="20"/>
    </row>
    <row r="30010" spans="24:25">
      <c r="X30010" s="19"/>
      <c r="Y30010" s="20"/>
    </row>
    <row r="30011" spans="24:25">
      <c r="X30011" s="19"/>
      <c r="Y30011" s="20"/>
    </row>
    <row r="30012" spans="24:25">
      <c r="X30012" s="19"/>
      <c r="Y30012" s="20"/>
    </row>
    <row r="30013" spans="24:25">
      <c r="X30013" s="19"/>
      <c r="Y30013" s="20"/>
    </row>
    <row r="30014" spans="24:25">
      <c r="X30014" s="19"/>
      <c r="Y30014" s="20"/>
    </row>
    <row r="30015" spans="24:25">
      <c r="X30015" s="19"/>
      <c r="Y30015" s="20"/>
    </row>
    <row r="30016" spans="24:25">
      <c r="X30016" s="19"/>
      <c r="Y30016" s="20"/>
    </row>
    <row r="30017" spans="24:25">
      <c r="X30017" s="19"/>
      <c r="Y30017" s="20"/>
    </row>
    <row r="30018" spans="24:25">
      <c r="X30018" s="19"/>
      <c r="Y30018" s="20"/>
    </row>
    <row r="30019" spans="24:25">
      <c r="X30019" s="19"/>
      <c r="Y30019" s="20"/>
    </row>
    <row r="30020" spans="24:25">
      <c r="X30020" s="19"/>
      <c r="Y30020" s="20"/>
    </row>
    <row r="30021" spans="24:25">
      <c r="X30021" s="19"/>
      <c r="Y30021" s="20"/>
    </row>
    <row r="30022" spans="24:25">
      <c r="X30022" s="19"/>
      <c r="Y30022" s="20"/>
    </row>
    <row r="30023" spans="24:25">
      <c r="X30023" s="19"/>
      <c r="Y30023" s="20"/>
    </row>
    <row r="30024" spans="24:25">
      <c r="X30024" s="19"/>
      <c r="Y30024" s="20"/>
    </row>
    <row r="30025" spans="24:25">
      <c r="X30025" s="19"/>
      <c r="Y30025" s="20"/>
    </row>
    <row r="30026" spans="24:25">
      <c r="X30026" s="19"/>
      <c r="Y30026" s="20"/>
    </row>
    <row r="30027" spans="24:25">
      <c r="X30027" s="19"/>
      <c r="Y30027" s="20"/>
    </row>
    <row r="30028" spans="24:25">
      <c r="X30028" s="19"/>
      <c r="Y30028" s="20"/>
    </row>
    <row r="30029" spans="24:25">
      <c r="X30029" s="19"/>
      <c r="Y30029" s="20"/>
    </row>
    <row r="30030" spans="24:25">
      <c r="X30030" s="19"/>
      <c r="Y30030" s="20"/>
    </row>
    <row r="30031" spans="24:25">
      <c r="X30031" s="19"/>
      <c r="Y30031" s="20"/>
    </row>
    <row r="30032" spans="24:25">
      <c r="X30032" s="19"/>
      <c r="Y30032" s="20"/>
    </row>
    <row r="30033" spans="24:25">
      <c r="X30033" s="19"/>
      <c r="Y30033" s="20"/>
    </row>
    <row r="30034" spans="24:25">
      <c r="X30034" s="19"/>
      <c r="Y30034" s="20"/>
    </row>
    <row r="30035" spans="24:25">
      <c r="X30035" s="19"/>
      <c r="Y30035" s="20"/>
    </row>
    <row r="30036" spans="24:25">
      <c r="X30036" s="19"/>
      <c r="Y30036" s="20"/>
    </row>
    <row r="30037" spans="24:25">
      <c r="X30037" s="19"/>
      <c r="Y30037" s="20"/>
    </row>
    <row r="30038" spans="24:25">
      <c r="X30038" s="19"/>
      <c r="Y30038" s="20"/>
    </row>
    <row r="30039" spans="24:25">
      <c r="X30039" s="19"/>
      <c r="Y30039" s="20"/>
    </row>
    <row r="30040" spans="24:25">
      <c r="X30040" s="19"/>
      <c r="Y30040" s="20"/>
    </row>
    <row r="30041" spans="24:25">
      <c r="X30041" s="19"/>
      <c r="Y30041" s="20"/>
    </row>
    <row r="30042" spans="24:25">
      <c r="X30042" s="19"/>
      <c r="Y30042" s="20"/>
    </row>
    <row r="30043" spans="24:25">
      <c r="X30043" s="19"/>
      <c r="Y30043" s="20"/>
    </row>
    <row r="30044" spans="24:25">
      <c r="X30044" s="19"/>
      <c r="Y30044" s="20"/>
    </row>
    <row r="30045" spans="24:25">
      <c r="X30045" s="19"/>
      <c r="Y30045" s="20"/>
    </row>
    <row r="30046" spans="24:25">
      <c r="X30046" s="19"/>
      <c r="Y30046" s="20"/>
    </row>
    <row r="30047" spans="24:25">
      <c r="X30047" s="19"/>
      <c r="Y30047" s="20"/>
    </row>
    <row r="30048" spans="24:25">
      <c r="X30048" s="19"/>
      <c r="Y30048" s="20"/>
    </row>
    <row r="30049" spans="24:25">
      <c r="X30049" s="19"/>
      <c r="Y30049" s="20"/>
    </row>
    <row r="30050" spans="24:25">
      <c r="X30050" s="19"/>
      <c r="Y30050" s="20"/>
    </row>
    <row r="30051" spans="24:25">
      <c r="X30051" s="19"/>
      <c r="Y30051" s="20"/>
    </row>
    <row r="30052" spans="24:25">
      <c r="X30052" s="19"/>
      <c r="Y30052" s="20"/>
    </row>
    <row r="30053" spans="24:25">
      <c r="X30053" s="19"/>
      <c r="Y30053" s="20"/>
    </row>
    <row r="30054" spans="24:25">
      <c r="X30054" s="19"/>
      <c r="Y30054" s="20"/>
    </row>
    <row r="30055" spans="24:25">
      <c r="X30055" s="19"/>
      <c r="Y30055" s="20"/>
    </row>
    <row r="30056" spans="24:25">
      <c r="X30056" s="19"/>
      <c r="Y30056" s="20"/>
    </row>
    <row r="30057" spans="24:25">
      <c r="X30057" s="19"/>
      <c r="Y30057" s="20"/>
    </row>
    <row r="30058" spans="24:25">
      <c r="X30058" s="19"/>
      <c r="Y30058" s="20"/>
    </row>
    <row r="30059" spans="24:25">
      <c r="X30059" s="19"/>
      <c r="Y30059" s="20"/>
    </row>
    <row r="30060" spans="24:25">
      <c r="X30060" s="19"/>
      <c r="Y30060" s="20"/>
    </row>
    <row r="30061" spans="24:25">
      <c r="X30061" s="19"/>
      <c r="Y30061" s="20"/>
    </row>
    <row r="30062" spans="24:25">
      <c r="X30062" s="19"/>
      <c r="Y30062" s="20"/>
    </row>
    <row r="30063" spans="24:25">
      <c r="X30063" s="19"/>
      <c r="Y30063" s="20"/>
    </row>
    <row r="30064" spans="24:25">
      <c r="X30064" s="19"/>
      <c r="Y30064" s="20"/>
    </row>
    <row r="30065" spans="24:25">
      <c r="X30065" s="19"/>
      <c r="Y30065" s="20"/>
    </row>
    <row r="30066" spans="24:25">
      <c r="X30066" s="19"/>
      <c r="Y30066" s="20"/>
    </row>
    <row r="30067" spans="24:25">
      <c r="X30067" s="19"/>
      <c r="Y30067" s="20"/>
    </row>
    <row r="30068" spans="24:25">
      <c r="X30068" s="19"/>
      <c r="Y30068" s="20"/>
    </row>
    <row r="30069" spans="24:25">
      <c r="X30069" s="19"/>
      <c r="Y30069" s="20"/>
    </row>
    <row r="30070" spans="24:25">
      <c r="X30070" s="19"/>
      <c r="Y30070" s="20"/>
    </row>
    <row r="30071" spans="24:25">
      <c r="X30071" s="19"/>
      <c r="Y30071" s="20"/>
    </row>
    <row r="30072" spans="24:25">
      <c r="X30072" s="19"/>
      <c r="Y30072" s="20"/>
    </row>
    <row r="30073" spans="24:25">
      <c r="X30073" s="19"/>
      <c r="Y30073" s="20"/>
    </row>
    <row r="30074" spans="24:25">
      <c r="X30074" s="19"/>
      <c r="Y30074" s="20"/>
    </row>
    <row r="30075" spans="24:25">
      <c r="X30075" s="19"/>
      <c r="Y30075" s="20"/>
    </row>
    <row r="30076" spans="24:25">
      <c r="X30076" s="19"/>
      <c r="Y30076" s="20"/>
    </row>
    <row r="30077" spans="24:25">
      <c r="X30077" s="19"/>
      <c r="Y30077" s="20"/>
    </row>
    <row r="30078" spans="24:25">
      <c r="X30078" s="19"/>
      <c r="Y30078" s="20"/>
    </row>
    <row r="30079" spans="24:25">
      <c r="X30079" s="19"/>
      <c r="Y30079" s="20"/>
    </row>
    <row r="30080" spans="24:25">
      <c r="X30080" s="19"/>
      <c r="Y30080" s="20"/>
    </row>
    <row r="30081" spans="24:25">
      <c r="X30081" s="19"/>
      <c r="Y30081" s="20"/>
    </row>
    <row r="30082" spans="24:25">
      <c r="X30082" s="19"/>
      <c r="Y30082" s="20"/>
    </row>
    <row r="30083" spans="24:25">
      <c r="X30083" s="19"/>
      <c r="Y30083" s="20"/>
    </row>
    <row r="30084" spans="24:25">
      <c r="X30084" s="19"/>
      <c r="Y30084" s="20"/>
    </row>
    <row r="30085" spans="24:25">
      <c r="X30085" s="19"/>
      <c r="Y30085" s="20"/>
    </row>
    <row r="30086" spans="24:25">
      <c r="X30086" s="19"/>
      <c r="Y30086" s="20"/>
    </row>
    <row r="30087" spans="24:25">
      <c r="X30087" s="19"/>
      <c r="Y30087" s="20"/>
    </row>
    <row r="30088" spans="24:25">
      <c r="X30088" s="19"/>
      <c r="Y30088" s="20"/>
    </row>
    <row r="30089" spans="24:25">
      <c r="X30089" s="19"/>
      <c r="Y30089" s="20"/>
    </row>
    <row r="30090" spans="24:25">
      <c r="X30090" s="19"/>
      <c r="Y30090" s="20"/>
    </row>
    <row r="30091" spans="24:25">
      <c r="X30091" s="19"/>
      <c r="Y30091" s="20"/>
    </row>
    <row r="30092" spans="24:25">
      <c r="X30092" s="19"/>
      <c r="Y30092" s="20"/>
    </row>
    <row r="30093" spans="24:25">
      <c r="X30093" s="19"/>
      <c r="Y30093" s="20"/>
    </row>
    <row r="30094" spans="24:25">
      <c r="X30094" s="19"/>
      <c r="Y30094" s="20"/>
    </row>
    <row r="30095" spans="24:25">
      <c r="X30095" s="19"/>
      <c r="Y30095" s="20"/>
    </row>
    <row r="30096" spans="24:25">
      <c r="X30096" s="19"/>
      <c r="Y30096" s="20"/>
    </row>
    <row r="30097" spans="24:25">
      <c r="X30097" s="19"/>
      <c r="Y30097" s="20"/>
    </row>
    <row r="30098" spans="24:25">
      <c r="X30098" s="19"/>
      <c r="Y30098" s="20"/>
    </row>
    <row r="30099" spans="24:25">
      <c r="X30099" s="19"/>
      <c r="Y30099" s="20"/>
    </row>
    <row r="30100" spans="24:25">
      <c r="X30100" s="19"/>
      <c r="Y30100" s="20"/>
    </row>
    <row r="30101" spans="24:25">
      <c r="X30101" s="19"/>
      <c r="Y30101" s="20"/>
    </row>
    <row r="30102" spans="24:25">
      <c r="X30102" s="19"/>
      <c r="Y30102" s="20"/>
    </row>
    <row r="30103" spans="24:25">
      <c r="X30103" s="19"/>
      <c r="Y30103" s="20"/>
    </row>
    <row r="30104" spans="24:25">
      <c r="X30104" s="19"/>
      <c r="Y30104" s="20"/>
    </row>
    <row r="30105" spans="24:25">
      <c r="X30105" s="19"/>
      <c r="Y30105" s="20"/>
    </row>
    <row r="30106" spans="24:25">
      <c r="X30106" s="19"/>
      <c r="Y30106" s="20"/>
    </row>
    <row r="30107" spans="24:25">
      <c r="X30107" s="19"/>
      <c r="Y30107" s="20"/>
    </row>
    <row r="30108" spans="24:25">
      <c r="X30108" s="19"/>
      <c r="Y30108" s="20"/>
    </row>
    <row r="30109" spans="24:25">
      <c r="X30109" s="19"/>
      <c r="Y30109" s="20"/>
    </row>
    <row r="30110" spans="24:25">
      <c r="X30110" s="19"/>
      <c r="Y30110" s="20"/>
    </row>
    <row r="30111" spans="24:25">
      <c r="X30111" s="19"/>
      <c r="Y30111" s="20"/>
    </row>
    <row r="30112" spans="24:25">
      <c r="X30112" s="19"/>
      <c r="Y30112" s="20"/>
    </row>
    <row r="30113" spans="24:25">
      <c r="X30113" s="19"/>
      <c r="Y30113" s="20"/>
    </row>
    <row r="30114" spans="24:25">
      <c r="X30114" s="19"/>
      <c r="Y30114" s="20"/>
    </row>
    <row r="30115" spans="24:25">
      <c r="X30115" s="19"/>
      <c r="Y30115" s="20"/>
    </row>
    <row r="30116" spans="24:25">
      <c r="X30116" s="19"/>
      <c r="Y30116" s="20"/>
    </row>
    <row r="30117" spans="24:25">
      <c r="X30117" s="19"/>
      <c r="Y30117" s="20"/>
    </row>
    <row r="30118" spans="24:25">
      <c r="X30118" s="19"/>
      <c r="Y30118" s="20"/>
    </row>
    <row r="30119" spans="24:25">
      <c r="X30119" s="19"/>
      <c r="Y30119" s="20"/>
    </row>
    <row r="30120" spans="24:25">
      <c r="X30120" s="19"/>
      <c r="Y30120" s="20"/>
    </row>
    <row r="30121" spans="24:25">
      <c r="X30121" s="19"/>
      <c r="Y30121" s="20"/>
    </row>
    <row r="30122" spans="24:25">
      <c r="X30122" s="19"/>
      <c r="Y30122" s="20"/>
    </row>
    <row r="30123" spans="24:25">
      <c r="X30123" s="19"/>
      <c r="Y30123" s="20"/>
    </row>
    <row r="30124" spans="24:25">
      <c r="X30124" s="19"/>
      <c r="Y30124" s="20"/>
    </row>
    <row r="30125" spans="24:25">
      <c r="X30125" s="19"/>
      <c r="Y30125" s="20"/>
    </row>
    <row r="30126" spans="24:25">
      <c r="X30126" s="19"/>
      <c r="Y30126" s="20"/>
    </row>
    <row r="30127" spans="24:25">
      <c r="X30127" s="19"/>
      <c r="Y30127" s="20"/>
    </row>
    <row r="30128" spans="24:25">
      <c r="X30128" s="19"/>
      <c r="Y30128" s="20"/>
    </row>
    <row r="30129" spans="24:25">
      <c r="X30129" s="19"/>
      <c r="Y30129" s="20"/>
    </row>
    <row r="30130" spans="24:25">
      <c r="X30130" s="19"/>
      <c r="Y30130" s="20"/>
    </row>
    <row r="30131" spans="24:25">
      <c r="X30131" s="19"/>
      <c r="Y30131" s="20"/>
    </row>
    <row r="30132" spans="24:25">
      <c r="X30132" s="19"/>
      <c r="Y30132" s="20"/>
    </row>
    <row r="30133" spans="24:25">
      <c r="X30133" s="19"/>
      <c r="Y30133" s="20"/>
    </row>
    <row r="30134" spans="24:25">
      <c r="X30134" s="19"/>
      <c r="Y30134" s="20"/>
    </row>
    <row r="30135" spans="24:25">
      <c r="X30135" s="19"/>
      <c r="Y30135" s="20"/>
    </row>
    <row r="30136" spans="24:25">
      <c r="X30136" s="19"/>
      <c r="Y30136" s="20"/>
    </row>
    <row r="30137" spans="24:25">
      <c r="X30137" s="19"/>
      <c r="Y30137" s="20"/>
    </row>
    <row r="30138" spans="24:25">
      <c r="X30138" s="19"/>
      <c r="Y30138" s="20"/>
    </row>
    <row r="30139" spans="24:25">
      <c r="X30139" s="19"/>
      <c r="Y30139" s="20"/>
    </row>
    <row r="30140" spans="24:25">
      <c r="X30140" s="19"/>
      <c r="Y30140" s="20"/>
    </row>
    <row r="30141" spans="24:25">
      <c r="X30141" s="19"/>
      <c r="Y30141" s="20"/>
    </row>
    <row r="30142" spans="24:25">
      <c r="X30142" s="19"/>
      <c r="Y30142" s="20"/>
    </row>
    <row r="30143" spans="24:25">
      <c r="X30143" s="19"/>
      <c r="Y30143" s="20"/>
    </row>
    <row r="30144" spans="24:25">
      <c r="X30144" s="19"/>
      <c r="Y30144" s="20"/>
    </row>
    <row r="30145" spans="24:25">
      <c r="X30145" s="19"/>
      <c r="Y30145" s="20"/>
    </row>
    <row r="30146" spans="24:25">
      <c r="X30146" s="19"/>
      <c r="Y30146" s="20"/>
    </row>
    <row r="30147" spans="24:25">
      <c r="X30147" s="19"/>
      <c r="Y30147" s="20"/>
    </row>
    <row r="30148" spans="24:25">
      <c r="X30148" s="19"/>
      <c r="Y30148" s="20"/>
    </row>
    <row r="30149" spans="24:25">
      <c r="X30149" s="19"/>
      <c r="Y30149" s="20"/>
    </row>
    <row r="30150" spans="24:25">
      <c r="X30150" s="19"/>
      <c r="Y30150" s="20"/>
    </row>
    <row r="30151" spans="24:25">
      <c r="X30151" s="19"/>
      <c r="Y30151" s="20"/>
    </row>
    <row r="30152" spans="24:25">
      <c r="X30152" s="19"/>
      <c r="Y30152" s="20"/>
    </row>
    <row r="30153" spans="24:25">
      <c r="X30153" s="19"/>
      <c r="Y30153" s="20"/>
    </row>
    <row r="30154" spans="24:25">
      <c r="X30154" s="19"/>
      <c r="Y30154" s="20"/>
    </row>
    <row r="30155" spans="24:25">
      <c r="X30155" s="19"/>
      <c r="Y30155" s="20"/>
    </row>
    <row r="30156" spans="24:25">
      <c r="X30156" s="19"/>
      <c r="Y30156" s="20"/>
    </row>
    <row r="30157" spans="24:25">
      <c r="X30157" s="19"/>
      <c r="Y30157" s="20"/>
    </row>
    <row r="30158" spans="24:25">
      <c r="X30158" s="19"/>
      <c r="Y30158" s="20"/>
    </row>
    <row r="30159" spans="24:25">
      <c r="X30159" s="19"/>
      <c r="Y30159" s="20"/>
    </row>
    <row r="30160" spans="24:25">
      <c r="X30160" s="19"/>
      <c r="Y30160" s="20"/>
    </row>
    <row r="30161" spans="24:25">
      <c r="X30161" s="19"/>
      <c r="Y30161" s="20"/>
    </row>
    <row r="30162" spans="24:25">
      <c r="X30162" s="19"/>
      <c r="Y30162" s="20"/>
    </row>
    <row r="30163" spans="24:25">
      <c r="X30163" s="19"/>
      <c r="Y30163" s="20"/>
    </row>
    <row r="30164" spans="24:25">
      <c r="X30164" s="19"/>
      <c r="Y30164" s="20"/>
    </row>
    <row r="30165" spans="24:25">
      <c r="X30165" s="19"/>
      <c r="Y30165" s="20"/>
    </row>
    <row r="30166" spans="24:25">
      <c r="X30166" s="19"/>
      <c r="Y30166" s="20"/>
    </row>
    <row r="30167" spans="24:25">
      <c r="X30167" s="19"/>
      <c r="Y30167" s="20"/>
    </row>
    <row r="30168" spans="24:25">
      <c r="X30168" s="19"/>
      <c r="Y30168" s="20"/>
    </row>
    <row r="30169" spans="24:25">
      <c r="X30169" s="19"/>
      <c r="Y30169" s="20"/>
    </row>
    <row r="30170" spans="24:25">
      <c r="X30170" s="19"/>
      <c r="Y30170" s="20"/>
    </row>
    <row r="30171" spans="24:25">
      <c r="X30171" s="19"/>
      <c r="Y30171" s="20"/>
    </row>
    <row r="30172" spans="24:25">
      <c r="X30172" s="19"/>
      <c r="Y30172" s="20"/>
    </row>
    <row r="30173" spans="24:25">
      <c r="X30173" s="19"/>
      <c r="Y30173" s="20"/>
    </row>
    <row r="30174" spans="24:25">
      <c r="X30174" s="19"/>
      <c r="Y30174" s="20"/>
    </row>
    <row r="30175" spans="24:25">
      <c r="X30175" s="19"/>
      <c r="Y30175" s="20"/>
    </row>
    <row r="30176" spans="24:25">
      <c r="X30176" s="19"/>
      <c r="Y30176" s="20"/>
    </row>
    <row r="30177" spans="24:25">
      <c r="X30177" s="19"/>
      <c r="Y30177" s="20"/>
    </row>
    <row r="30178" spans="24:25">
      <c r="X30178" s="19"/>
      <c r="Y30178" s="20"/>
    </row>
    <row r="30179" spans="24:25">
      <c r="X30179" s="19"/>
      <c r="Y30179" s="20"/>
    </row>
    <row r="30180" spans="24:25">
      <c r="X30180" s="19"/>
      <c r="Y30180" s="20"/>
    </row>
    <row r="30181" spans="24:25">
      <c r="X30181" s="19"/>
      <c r="Y30181" s="20"/>
    </row>
    <row r="30182" spans="24:25">
      <c r="X30182" s="19"/>
      <c r="Y30182" s="20"/>
    </row>
    <row r="30183" spans="24:25">
      <c r="X30183" s="19"/>
      <c r="Y30183" s="20"/>
    </row>
    <row r="30184" spans="24:25">
      <c r="X30184" s="19"/>
      <c r="Y30184" s="20"/>
    </row>
    <row r="30185" spans="24:25">
      <c r="X30185" s="19"/>
      <c r="Y30185" s="20"/>
    </row>
    <row r="30186" spans="24:25">
      <c r="X30186" s="19"/>
      <c r="Y30186" s="20"/>
    </row>
    <row r="30187" spans="24:25">
      <c r="X30187" s="19"/>
      <c r="Y30187" s="20"/>
    </row>
    <row r="30188" spans="24:25">
      <c r="X30188" s="19"/>
      <c r="Y30188" s="20"/>
    </row>
    <row r="30189" spans="24:25">
      <c r="X30189" s="19"/>
      <c r="Y30189" s="20"/>
    </row>
    <row r="30190" spans="24:25">
      <c r="X30190" s="19"/>
      <c r="Y30190" s="20"/>
    </row>
    <row r="30191" spans="24:25">
      <c r="X30191" s="19"/>
      <c r="Y30191" s="20"/>
    </row>
    <row r="30192" spans="24:25">
      <c r="X30192" s="19"/>
      <c r="Y30192" s="20"/>
    </row>
    <row r="30193" spans="24:25">
      <c r="X30193" s="19"/>
      <c r="Y30193" s="20"/>
    </row>
    <row r="30194" spans="24:25">
      <c r="X30194" s="19"/>
      <c r="Y30194" s="20"/>
    </row>
    <row r="30195" spans="24:25">
      <c r="X30195" s="19"/>
      <c r="Y30195" s="20"/>
    </row>
    <row r="30196" spans="24:25">
      <c r="X30196" s="19"/>
      <c r="Y30196" s="20"/>
    </row>
    <row r="30197" spans="24:25">
      <c r="X30197" s="19"/>
      <c r="Y30197" s="20"/>
    </row>
    <row r="30198" spans="24:25">
      <c r="X30198" s="19"/>
      <c r="Y30198" s="20"/>
    </row>
    <row r="30199" spans="24:25">
      <c r="X30199" s="19"/>
      <c r="Y30199" s="20"/>
    </row>
    <row r="30200" spans="24:25">
      <c r="X30200" s="19"/>
      <c r="Y30200" s="20"/>
    </row>
    <row r="30201" spans="24:25">
      <c r="X30201" s="19"/>
      <c r="Y30201" s="20"/>
    </row>
    <row r="30202" spans="24:25">
      <c r="X30202" s="19"/>
      <c r="Y30202" s="20"/>
    </row>
    <row r="30203" spans="24:25">
      <c r="X30203" s="19"/>
      <c r="Y30203" s="20"/>
    </row>
    <row r="30204" spans="24:25">
      <c r="X30204" s="19"/>
      <c r="Y30204" s="20"/>
    </row>
    <row r="30205" spans="24:25">
      <c r="X30205" s="19"/>
      <c r="Y30205" s="20"/>
    </row>
    <row r="30206" spans="24:25">
      <c r="X30206" s="19"/>
      <c r="Y30206" s="20"/>
    </row>
    <row r="30207" spans="24:25">
      <c r="X30207" s="19"/>
      <c r="Y30207" s="20"/>
    </row>
    <row r="30208" spans="24:25">
      <c r="X30208" s="19"/>
      <c r="Y30208" s="20"/>
    </row>
    <row r="30209" spans="24:25">
      <c r="X30209" s="19"/>
      <c r="Y30209" s="20"/>
    </row>
    <row r="30210" spans="24:25">
      <c r="X30210" s="19"/>
      <c r="Y30210" s="20"/>
    </row>
    <row r="30211" spans="24:25">
      <c r="X30211" s="19"/>
      <c r="Y30211" s="20"/>
    </row>
    <row r="30212" spans="24:25">
      <c r="X30212" s="19"/>
      <c r="Y30212" s="20"/>
    </row>
    <row r="30213" spans="24:25">
      <c r="X30213" s="19"/>
      <c r="Y30213" s="20"/>
    </row>
    <row r="30214" spans="24:25">
      <c r="X30214" s="19"/>
      <c r="Y30214" s="20"/>
    </row>
    <row r="30215" spans="24:25">
      <c r="X30215" s="19"/>
      <c r="Y30215" s="20"/>
    </row>
    <row r="30216" spans="24:25">
      <c r="X30216" s="19"/>
      <c r="Y30216" s="20"/>
    </row>
    <row r="30217" spans="24:25">
      <c r="X30217" s="19"/>
      <c r="Y30217" s="20"/>
    </row>
    <row r="30218" spans="24:25">
      <c r="X30218" s="19"/>
      <c r="Y30218" s="20"/>
    </row>
    <row r="30219" spans="24:25">
      <c r="X30219" s="19"/>
      <c r="Y30219" s="20"/>
    </row>
    <row r="30220" spans="24:25">
      <c r="X30220" s="19"/>
      <c r="Y30220" s="20"/>
    </row>
    <row r="30221" spans="24:25">
      <c r="X30221" s="19"/>
      <c r="Y30221" s="20"/>
    </row>
    <row r="30222" spans="24:25">
      <c r="X30222" s="19"/>
      <c r="Y30222" s="20"/>
    </row>
    <row r="30223" spans="24:25">
      <c r="X30223" s="19"/>
      <c r="Y30223" s="20"/>
    </row>
    <row r="30224" spans="24:25">
      <c r="X30224" s="19"/>
      <c r="Y30224" s="20"/>
    </row>
    <row r="30225" spans="24:25">
      <c r="X30225" s="19"/>
      <c r="Y30225" s="20"/>
    </row>
    <row r="30226" spans="24:25">
      <c r="X30226" s="19"/>
      <c r="Y30226" s="20"/>
    </row>
    <row r="30227" spans="24:25">
      <c r="X30227" s="19"/>
      <c r="Y30227" s="20"/>
    </row>
    <row r="30228" spans="24:25">
      <c r="X30228" s="19"/>
      <c r="Y30228" s="20"/>
    </row>
    <row r="30229" spans="24:25">
      <c r="X30229" s="19"/>
      <c r="Y30229" s="20"/>
    </row>
    <row r="30230" spans="24:25">
      <c r="X30230" s="19"/>
      <c r="Y30230" s="20"/>
    </row>
    <row r="30231" spans="24:25">
      <c r="X30231" s="19"/>
      <c r="Y30231" s="20"/>
    </row>
    <row r="30232" spans="24:25">
      <c r="X30232" s="19"/>
      <c r="Y30232" s="20"/>
    </row>
    <row r="30233" spans="24:25">
      <c r="X30233" s="19"/>
      <c r="Y30233" s="20"/>
    </row>
    <row r="30234" spans="24:25">
      <c r="X30234" s="19"/>
      <c r="Y30234" s="20"/>
    </row>
    <row r="30235" spans="24:25">
      <c r="X30235" s="19"/>
      <c r="Y30235" s="20"/>
    </row>
    <row r="30236" spans="24:25">
      <c r="X30236" s="19"/>
      <c r="Y30236" s="20"/>
    </row>
    <row r="30237" spans="24:25">
      <c r="X30237" s="19"/>
      <c r="Y30237" s="20"/>
    </row>
    <row r="30238" spans="24:25">
      <c r="X30238" s="19"/>
      <c r="Y30238" s="20"/>
    </row>
    <row r="30239" spans="24:25">
      <c r="X30239" s="19"/>
      <c r="Y30239" s="20"/>
    </row>
    <row r="30240" spans="24:25">
      <c r="X30240" s="19"/>
      <c r="Y30240" s="20"/>
    </row>
    <row r="30241" spans="24:25">
      <c r="X30241" s="19"/>
      <c r="Y30241" s="20"/>
    </row>
    <row r="30242" spans="24:25">
      <c r="X30242" s="19"/>
      <c r="Y30242" s="20"/>
    </row>
    <row r="30243" spans="24:25">
      <c r="X30243" s="19"/>
      <c r="Y30243" s="20"/>
    </row>
    <row r="30244" spans="24:25">
      <c r="X30244" s="19"/>
      <c r="Y30244" s="20"/>
    </row>
    <row r="30245" spans="24:25">
      <c r="X30245" s="19"/>
      <c r="Y30245" s="20"/>
    </row>
    <row r="30246" spans="24:25">
      <c r="X30246" s="19"/>
      <c r="Y30246" s="20"/>
    </row>
    <row r="30247" spans="24:25">
      <c r="X30247" s="19"/>
      <c r="Y30247" s="20"/>
    </row>
    <row r="30248" spans="24:25">
      <c r="X30248" s="19"/>
      <c r="Y30248" s="20"/>
    </row>
    <row r="30249" spans="24:25">
      <c r="X30249" s="19"/>
      <c r="Y30249" s="20"/>
    </row>
    <row r="30250" spans="24:25">
      <c r="X30250" s="19"/>
      <c r="Y30250" s="20"/>
    </row>
    <row r="30251" spans="24:25">
      <c r="X30251" s="19"/>
      <c r="Y30251" s="20"/>
    </row>
    <row r="30252" spans="24:25">
      <c r="X30252" s="19"/>
      <c r="Y30252" s="20"/>
    </row>
    <row r="30253" spans="24:25">
      <c r="X30253" s="19"/>
      <c r="Y30253" s="20"/>
    </row>
    <row r="30254" spans="24:25">
      <c r="X30254" s="19"/>
      <c r="Y30254" s="20"/>
    </row>
    <row r="30255" spans="24:25">
      <c r="X30255" s="19"/>
      <c r="Y30255" s="20"/>
    </row>
    <row r="30256" spans="24:25">
      <c r="X30256" s="19"/>
      <c r="Y30256" s="20"/>
    </row>
    <row r="30257" spans="24:25">
      <c r="X30257" s="19"/>
      <c r="Y30257" s="20"/>
    </row>
    <row r="30258" spans="24:25">
      <c r="X30258" s="19"/>
      <c r="Y30258" s="20"/>
    </row>
    <row r="30259" spans="24:25">
      <c r="X30259" s="19"/>
      <c r="Y30259" s="20"/>
    </row>
    <row r="30260" spans="24:25">
      <c r="X30260" s="19"/>
      <c r="Y30260" s="20"/>
    </row>
    <row r="30261" spans="24:25">
      <c r="X30261" s="19"/>
      <c r="Y30261" s="20"/>
    </row>
    <row r="30262" spans="24:25">
      <c r="X30262" s="19"/>
      <c r="Y30262" s="20"/>
    </row>
    <row r="30263" spans="24:25">
      <c r="X30263" s="19"/>
      <c r="Y30263" s="20"/>
    </row>
    <row r="30264" spans="24:25">
      <c r="X30264" s="19"/>
      <c r="Y30264" s="20"/>
    </row>
    <row r="30265" spans="24:25">
      <c r="X30265" s="19"/>
      <c r="Y30265" s="20"/>
    </row>
    <row r="30266" spans="24:25">
      <c r="X30266" s="19"/>
      <c r="Y30266" s="20"/>
    </row>
    <row r="30267" spans="24:25">
      <c r="X30267" s="19"/>
      <c r="Y30267" s="20"/>
    </row>
    <row r="30268" spans="24:25">
      <c r="X30268" s="19"/>
      <c r="Y30268" s="20"/>
    </row>
    <row r="30269" spans="24:25">
      <c r="X30269" s="19"/>
      <c r="Y30269" s="20"/>
    </row>
    <row r="30270" spans="24:25">
      <c r="X30270" s="19"/>
      <c r="Y30270" s="20"/>
    </row>
    <row r="30271" spans="24:25">
      <c r="X30271" s="19"/>
      <c r="Y30271" s="20"/>
    </row>
    <row r="30272" spans="24:25">
      <c r="X30272" s="19"/>
      <c r="Y30272" s="20"/>
    </row>
    <row r="30273" spans="24:25">
      <c r="X30273" s="19"/>
      <c r="Y30273" s="20"/>
    </row>
    <row r="30274" spans="24:25">
      <c r="X30274" s="19"/>
      <c r="Y30274" s="20"/>
    </row>
    <row r="30275" spans="24:25">
      <c r="X30275" s="19"/>
      <c r="Y30275" s="20"/>
    </row>
    <row r="30276" spans="24:25">
      <c r="X30276" s="19"/>
      <c r="Y30276" s="20"/>
    </row>
    <row r="30277" spans="24:25">
      <c r="X30277" s="19"/>
      <c r="Y30277" s="20"/>
    </row>
    <row r="30278" spans="24:25">
      <c r="X30278" s="19"/>
      <c r="Y30278" s="20"/>
    </row>
    <row r="30279" spans="24:25">
      <c r="X30279" s="19"/>
      <c r="Y30279" s="20"/>
    </row>
    <row r="30280" spans="24:25">
      <c r="X30280" s="19"/>
      <c r="Y30280" s="20"/>
    </row>
    <row r="30281" spans="24:25">
      <c r="X30281" s="19"/>
      <c r="Y30281" s="20"/>
    </row>
    <row r="30282" spans="24:25">
      <c r="X30282" s="19"/>
      <c r="Y30282" s="20"/>
    </row>
    <row r="30283" spans="24:25">
      <c r="X30283" s="19"/>
      <c r="Y30283" s="20"/>
    </row>
    <row r="30284" spans="24:25">
      <c r="X30284" s="19"/>
      <c r="Y30284" s="20"/>
    </row>
    <row r="30285" spans="24:25">
      <c r="X30285" s="19"/>
      <c r="Y30285" s="20"/>
    </row>
    <row r="30286" spans="24:25">
      <c r="X30286" s="19"/>
      <c r="Y30286" s="20"/>
    </row>
    <row r="30287" spans="24:25">
      <c r="X30287" s="19"/>
      <c r="Y30287" s="20"/>
    </row>
    <row r="30288" spans="24:25">
      <c r="X30288" s="19"/>
      <c r="Y30288" s="20"/>
    </row>
    <row r="30289" spans="24:25">
      <c r="X30289" s="19"/>
      <c r="Y30289" s="20"/>
    </row>
    <row r="30290" spans="24:25">
      <c r="X30290" s="19"/>
      <c r="Y30290" s="20"/>
    </row>
    <row r="30291" spans="24:25">
      <c r="X30291" s="19"/>
      <c r="Y30291" s="20"/>
    </row>
    <row r="30292" spans="24:25">
      <c r="X30292" s="19"/>
      <c r="Y30292" s="20"/>
    </row>
    <row r="30293" spans="24:25">
      <c r="X30293" s="19"/>
      <c r="Y30293" s="20"/>
    </row>
    <row r="30294" spans="24:25">
      <c r="X30294" s="19"/>
      <c r="Y30294" s="20"/>
    </row>
    <row r="30295" spans="24:25">
      <c r="X30295" s="19"/>
      <c r="Y30295" s="20"/>
    </row>
    <row r="30296" spans="24:25">
      <c r="X30296" s="19"/>
      <c r="Y30296" s="20"/>
    </row>
    <row r="30297" spans="24:25">
      <c r="X30297" s="19"/>
      <c r="Y30297" s="20"/>
    </row>
    <row r="30298" spans="24:25">
      <c r="X30298" s="19"/>
      <c r="Y30298" s="20"/>
    </row>
    <row r="30299" spans="24:25">
      <c r="X30299" s="19"/>
      <c r="Y30299" s="20"/>
    </row>
    <row r="30300" spans="24:25">
      <c r="X30300" s="19"/>
      <c r="Y30300" s="20"/>
    </row>
    <row r="30301" spans="24:25">
      <c r="X30301" s="19"/>
      <c r="Y30301" s="20"/>
    </row>
    <row r="30302" spans="24:25">
      <c r="X30302" s="19"/>
      <c r="Y30302" s="20"/>
    </row>
    <row r="30303" spans="24:25">
      <c r="X30303" s="19"/>
      <c r="Y30303" s="20"/>
    </row>
    <row r="30304" spans="24:25">
      <c r="X30304" s="19"/>
      <c r="Y30304" s="20"/>
    </row>
    <row r="30305" spans="24:25">
      <c r="X30305" s="19"/>
      <c r="Y30305" s="20"/>
    </row>
    <row r="30306" spans="24:25">
      <c r="X30306" s="19"/>
      <c r="Y30306" s="20"/>
    </row>
    <row r="30307" spans="24:25">
      <c r="X30307" s="19"/>
      <c r="Y30307" s="20"/>
    </row>
    <row r="30308" spans="24:25">
      <c r="X30308" s="19"/>
      <c r="Y30308" s="20"/>
    </row>
    <row r="30309" spans="24:25">
      <c r="X30309" s="19"/>
      <c r="Y30309" s="20"/>
    </row>
    <row r="30310" spans="24:25">
      <c r="X30310" s="19"/>
      <c r="Y30310" s="20"/>
    </row>
    <row r="30311" spans="24:25">
      <c r="X30311" s="19"/>
      <c r="Y30311" s="20"/>
    </row>
    <row r="30312" spans="24:25">
      <c r="X30312" s="19"/>
      <c r="Y30312" s="20"/>
    </row>
    <row r="30313" spans="24:25">
      <c r="X30313" s="19"/>
      <c r="Y30313" s="20"/>
    </row>
    <row r="30314" spans="24:25">
      <c r="X30314" s="19"/>
      <c r="Y30314" s="20"/>
    </row>
    <row r="30315" spans="24:25">
      <c r="X30315" s="19"/>
      <c r="Y30315" s="20"/>
    </row>
    <row r="30316" spans="24:25">
      <c r="X30316" s="19"/>
      <c r="Y30316" s="20"/>
    </row>
    <row r="30317" spans="24:25">
      <c r="X30317" s="19"/>
      <c r="Y30317" s="20"/>
    </row>
    <row r="30318" spans="24:25">
      <c r="X30318" s="19"/>
      <c r="Y30318" s="20"/>
    </row>
    <row r="30319" spans="24:25">
      <c r="X30319" s="19"/>
      <c r="Y30319" s="20"/>
    </row>
    <row r="30320" spans="24:25">
      <c r="X30320" s="19"/>
      <c r="Y30320" s="20"/>
    </row>
    <row r="30321" spans="24:25">
      <c r="X30321" s="19"/>
      <c r="Y30321" s="20"/>
    </row>
    <row r="30322" spans="24:25">
      <c r="X30322" s="19"/>
      <c r="Y30322" s="20"/>
    </row>
    <row r="30323" spans="24:25">
      <c r="X30323" s="19"/>
      <c r="Y30323" s="20"/>
    </row>
    <row r="30324" spans="24:25">
      <c r="X30324" s="19"/>
      <c r="Y30324" s="20"/>
    </row>
    <row r="30325" spans="24:25">
      <c r="X30325" s="19"/>
      <c r="Y30325" s="20"/>
    </row>
    <row r="30326" spans="24:25">
      <c r="X30326" s="19"/>
      <c r="Y30326" s="20"/>
    </row>
    <row r="30327" spans="24:25">
      <c r="X30327" s="19"/>
      <c r="Y30327" s="20"/>
    </row>
    <row r="30328" spans="24:25">
      <c r="X30328" s="19"/>
      <c r="Y30328" s="20"/>
    </row>
    <row r="30329" spans="24:25">
      <c r="X30329" s="19"/>
      <c r="Y30329" s="20"/>
    </row>
    <row r="30330" spans="24:25">
      <c r="X30330" s="19"/>
      <c r="Y30330" s="20"/>
    </row>
    <row r="30331" spans="24:25">
      <c r="X30331" s="19"/>
      <c r="Y30331" s="20"/>
    </row>
    <row r="30332" spans="24:25">
      <c r="X30332" s="19"/>
      <c r="Y30332" s="20"/>
    </row>
    <row r="30333" spans="24:25">
      <c r="X30333" s="19"/>
      <c r="Y30333" s="20"/>
    </row>
    <row r="30334" spans="24:25">
      <c r="X30334" s="19"/>
      <c r="Y30334" s="20"/>
    </row>
    <row r="30335" spans="24:25">
      <c r="X30335" s="19"/>
      <c r="Y30335" s="20"/>
    </row>
    <row r="30336" spans="24:25">
      <c r="X30336" s="19"/>
      <c r="Y30336" s="20"/>
    </row>
    <row r="30337" spans="24:25">
      <c r="X30337" s="19"/>
      <c r="Y30337" s="20"/>
    </row>
    <row r="30338" spans="24:25">
      <c r="X30338" s="19"/>
      <c r="Y30338" s="20"/>
    </row>
    <row r="30339" spans="24:25">
      <c r="X30339" s="19"/>
      <c r="Y30339" s="20"/>
    </row>
    <row r="30340" spans="24:25">
      <c r="X30340" s="19"/>
      <c r="Y30340" s="20"/>
    </row>
    <row r="30341" spans="24:25">
      <c r="X30341" s="19"/>
      <c r="Y30341" s="20"/>
    </row>
    <row r="30342" spans="24:25">
      <c r="X30342" s="19"/>
      <c r="Y30342" s="20"/>
    </row>
    <row r="30343" spans="24:25">
      <c r="X30343" s="19"/>
      <c r="Y30343" s="20"/>
    </row>
    <row r="30344" spans="24:25">
      <c r="X30344" s="19"/>
      <c r="Y30344" s="20"/>
    </row>
    <row r="30345" spans="24:25">
      <c r="X30345" s="19"/>
      <c r="Y30345" s="20"/>
    </row>
    <row r="30346" spans="24:25">
      <c r="X30346" s="19"/>
      <c r="Y30346" s="20"/>
    </row>
    <row r="30347" spans="24:25">
      <c r="X30347" s="19"/>
      <c r="Y30347" s="20"/>
    </row>
    <row r="30348" spans="24:25">
      <c r="X30348" s="19"/>
      <c r="Y30348" s="20"/>
    </row>
    <row r="30349" spans="24:25">
      <c r="X30349" s="19"/>
      <c r="Y30349" s="20"/>
    </row>
    <row r="30350" spans="24:25">
      <c r="X30350" s="19"/>
      <c r="Y30350" s="20"/>
    </row>
    <row r="30351" spans="24:25">
      <c r="X30351" s="19"/>
      <c r="Y30351" s="20"/>
    </row>
    <row r="30352" spans="24:25">
      <c r="X30352" s="19"/>
      <c r="Y30352" s="20"/>
    </row>
    <row r="30353" spans="24:25">
      <c r="X30353" s="19"/>
      <c r="Y30353" s="20"/>
    </row>
    <row r="30354" spans="24:25">
      <c r="X30354" s="19"/>
      <c r="Y30354" s="20"/>
    </row>
    <row r="30355" spans="24:25">
      <c r="X30355" s="19"/>
      <c r="Y30355" s="20"/>
    </row>
    <row r="30356" spans="24:25">
      <c r="X30356" s="19"/>
      <c r="Y30356" s="20"/>
    </row>
    <row r="30357" spans="24:25">
      <c r="X30357" s="19"/>
      <c r="Y30357" s="20"/>
    </row>
    <row r="30358" spans="24:25">
      <c r="X30358" s="19"/>
      <c r="Y30358" s="20"/>
    </row>
    <row r="30359" spans="24:25">
      <c r="X30359" s="19"/>
      <c r="Y30359" s="20"/>
    </row>
    <row r="30360" spans="24:25">
      <c r="X30360" s="19"/>
      <c r="Y30360" s="20"/>
    </row>
    <row r="30361" spans="24:25">
      <c r="X30361" s="19"/>
      <c r="Y30361" s="20"/>
    </row>
    <row r="30362" spans="24:25">
      <c r="X30362" s="19"/>
      <c r="Y30362" s="20"/>
    </row>
    <row r="30363" spans="24:25">
      <c r="X30363" s="19"/>
      <c r="Y30363" s="20"/>
    </row>
    <row r="30364" spans="24:25">
      <c r="X30364" s="19"/>
      <c r="Y30364" s="20"/>
    </row>
    <row r="30365" spans="24:25">
      <c r="X30365" s="19"/>
      <c r="Y30365" s="20"/>
    </row>
    <row r="30366" spans="24:25">
      <c r="X30366" s="19"/>
      <c r="Y30366" s="20"/>
    </row>
    <row r="30367" spans="24:25">
      <c r="X30367" s="19"/>
      <c r="Y30367" s="20"/>
    </row>
    <row r="30368" spans="24:25">
      <c r="X30368" s="19"/>
      <c r="Y30368" s="20"/>
    </row>
    <row r="30369" spans="24:25">
      <c r="X30369" s="19"/>
      <c r="Y30369" s="20"/>
    </row>
    <row r="30370" spans="24:25">
      <c r="X30370" s="19"/>
      <c r="Y30370" s="20"/>
    </row>
    <row r="30371" spans="24:25">
      <c r="X30371" s="19"/>
      <c r="Y30371" s="20"/>
    </row>
    <row r="30372" spans="24:25">
      <c r="X30372" s="19"/>
      <c r="Y30372" s="20"/>
    </row>
    <row r="30373" spans="24:25">
      <c r="X30373" s="19"/>
      <c r="Y30373" s="20"/>
    </row>
    <row r="30374" spans="24:25">
      <c r="X30374" s="19"/>
      <c r="Y30374" s="20"/>
    </row>
    <row r="30375" spans="24:25">
      <c r="X30375" s="19"/>
      <c r="Y30375" s="20"/>
    </row>
    <row r="30376" spans="24:25">
      <c r="X30376" s="19"/>
      <c r="Y30376" s="20"/>
    </row>
    <row r="30377" spans="24:25">
      <c r="X30377" s="19"/>
      <c r="Y30377" s="20"/>
    </row>
    <row r="30378" spans="24:25">
      <c r="X30378" s="19"/>
      <c r="Y30378" s="20"/>
    </row>
    <row r="30379" spans="24:25">
      <c r="X30379" s="19"/>
      <c r="Y30379" s="20"/>
    </row>
    <row r="30380" spans="24:25">
      <c r="X30380" s="19"/>
      <c r="Y30380" s="20"/>
    </row>
    <row r="30381" spans="24:25">
      <c r="X30381" s="19"/>
      <c r="Y30381" s="20"/>
    </row>
    <row r="30382" spans="24:25">
      <c r="X30382" s="19"/>
      <c r="Y30382" s="20"/>
    </row>
    <row r="30383" spans="24:25">
      <c r="X30383" s="19"/>
      <c r="Y30383" s="20"/>
    </row>
    <row r="30384" spans="24:25">
      <c r="X30384" s="19"/>
      <c r="Y30384" s="20"/>
    </row>
    <row r="30385" spans="24:25">
      <c r="X30385" s="19"/>
      <c r="Y30385" s="20"/>
    </row>
    <row r="30386" spans="24:25">
      <c r="X30386" s="19"/>
      <c r="Y30386" s="20"/>
    </row>
    <row r="30387" spans="24:25">
      <c r="X30387" s="19"/>
      <c r="Y30387" s="20"/>
    </row>
    <row r="30388" spans="24:25">
      <c r="X30388" s="19"/>
      <c r="Y30388" s="20"/>
    </row>
    <row r="30389" spans="24:25">
      <c r="X30389" s="19"/>
      <c r="Y30389" s="20"/>
    </row>
    <row r="30390" spans="24:25">
      <c r="X30390" s="19"/>
      <c r="Y30390" s="20"/>
    </row>
    <row r="30391" spans="24:25">
      <c r="X30391" s="19"/>
      <c r="Y30391" s="20"/>
    </row>
    <row r="30392" spans="24:25">
      <c r="X30392" s="19"/>
      <c r="Y30392" s="20"/>
    </row>
    <row r="30393" spans="24:25">
      <c r="X30393" s="19"/>
      <c r="Y30393" s="20"/>
    </row>
    <row r="30394" spans="24:25">
      <c r="X30394" s="19"/>
      <c r="Y30394" s="20"/>
    </row>
    <row r="30395" spans="24:25">
      <c r="X30395" s="19"/>
      <c r="Y30395" s="20"/>
    </row>
    <row r="30396" spans="24:25">
      <c r="X30396" s="19"/>
      <c r="Y30396" s="20"/>
    </row>
    <row r="30397" spans="24:25">
      <c r="X30397" s="19"/>
      <c r="Y30397" s="20"/>
    </row>
    <row r="30398" spans="24:25">
      <c r="X30398" s="19"/>
      <c r="Y30398" s="20"/>
    </row>
    <row r="30399" spans="24:25">
      <c r="X30399" s="19"/>
      <c r="Y30399" s="20"/>
    </row>
    <row r="30400" spans="24:25">
      <c r="X30400" s="19"/>
      <c r="Y30400" s="20"/>
    </row>
    <row r="30401" spans="24:25">
      <c r="X30401" s="19"/>
      <c r="Y30401" s="20"/>
    </row>
    <row r="30402" spans="24:25">
      <c r="X30402" s="19"/>
      <c r="Y30402" s="20"/>
    </row>
    <row r="30403" spans="24:25">
      <c r="X30403" s="19"/>
      <c r="Y30403" s="20"/>
    </row>
    <row r="30404" spans="24:25">
      <c r="X30404" s="19"/>
      <c r="Y30404" s="20"/>
    </row>
    <row r="30405" spans="24:25">
      <c r="X30405" s="19"/>
      <c r="Y30405" s="20"/>
    </row>
    <row r="30406" spans="24:25">
      <c r="X30406" s="19"/>
      <c r="Y30406" s="20"/>
    </row>
    <row r="30407" spans="24:25">
      <c r="X30407" s="19"/>
      <c r="Y30407" s="20"/>
    </row>
    <row r="30408" spans="24:25">
      <c r="X30408" s="19"/>
      <c r="Y30408" s="20"/>
    </row>
    <row r="30409" spans="24:25">
      <c r="X30409" s="19"/>
      <c r="Y30409" s="20"/>
    </row>
    <row r="30410" spans="24:25">
      <c r="X30410" s="19"/>
      <c r="Y30410" s="20"/>
    </row>
    <row r="30411" spans="24:25">
      <c r="X30411" s="19"/>
      <c r="Y30411" s="20"/>
    </row>
    <row r="30412" spans="24:25">
      <c r="X30412" s="19"/>
      <c r="Y30412" s="20"/>
    </row>
    <row r="30413" spans="24:25">
      <c r="X30413" s="19"/>
      <c r="Y30413" s="20"/>
    </row>
    <row r="30414" spans="24:25">
      <c r="X30414" s="19"/>
      <c r="Y30414" s="20"/>
    </row>
    <row r="30415" spans="24:25">
      <c r="X30415" s="19"/>
      <c r="Y30415" s="20"/>
    </row>
    <row r="30416" spans="24:25">
      <c r="X30416" s="19"/>
      <c r="Y30416" s="20"/>
    </row>
    <row r="30417" spans="24:25">
      <c r="X30417" s="19"/>
      <c r="Y30417" s="20"/>
    </row>
    <row r="30418" spans="24:25">
      <c r="X30418" s="19"/>
      <c r="Y30418" s="20"/>
    </row>
    <row r="30419" spans="24:25">
      <c r="X30419" s="19"/>
      <c r="Y30419" s="20"/>
    </row>
    <row r="30420" spans="24:25">
      <c r="X30420" s="19"/>
      <c r="Y30420" s="20"/>
    </row>
    <row r="30421" spans="24:25">
      <c r="X30421" s="19"/>
      <c r="Y30421" s="20"/>
    </row>
    <row r="30422" spans="24:25">
      <c r="X30422" s="19"/>
      <c r="Y30422" s="20"/>
    </row>
    <row r="30423" spans="24:25">
      <c r="X30423" s="19"/>
      <c r="Y30423" s="20"/>
    </row>
    <row r="30424" spans="24:25">
      <c r="X30424" s="19"/>
      <c r="Y30424" s="20"/>
    </row>
    <row r="30425" spans="24:25">
      <c r="X30425" s="19"/>
      <c r="Y30425" s="20"/>
    </row>
    <row r="30426" spans="24:25">
      <c r="X30426" s="19"/>
      <c r="Y30426" s="20"/>
    </row>
    <row r="30427" spans="24:25">
      <c r="X30427" s="19"/>
      <c r="Y30427" s="20"/>
    </row>
    <row r="30428" spans="24:25">
      <c r="X30428" s="19"/>
      <c r="Y30428" s="20"/>
    </row>
    <row r="30429" spans="24:25">
      <c r="X30429" s="19"/>
      <c r="Y30429" s="20"/>
    </row>
    <row r="30430" spans="24:25">
      <c r="X30430" s="19"/>
      <c r="Y30430" s="20"/>
    </row>
    <row r="30431" spans="24:25">
      <c r="X30431" s="19"/>
      <c r="Y30431" s="20"/>
    </row>
    <row r="30432" spans="24:25">
      <c r="X30432" s="19"/>
      <c r="Y30432" s="20"/>
    </row>
    <row r="30433" spans="24:25">
      <c r="X30433" s="19"/>
      <c r="Y30433" s="20"/>
    </row>
    <row r="30434" spans="24:25">
      <c r="X30434" s="19"/>
      <c r="Y30434" s="20"/>
    </row>
    <row r="30435" spans="24:25">
      <c r="X30435" s="19"/>
      <c r="Y30435" s="20"/>
    </row>
    <row r="30436" spans="24:25">
      <c r="X30436" s="19"/>
      <c r="Y30436" s="20"/>
    </row>
    <row r="30437" spans="24:25">
      <c r="X30437" s="19"/>
      <c r="Y30437" s="20"/>
    </row>
    <row r="30438" spans="24:25">
      <c r="X30438" s="19"/>
      <c r="Y30438" s="20"/>
    </row>
    <row r="30439" spans="24:25">
      <c r="X30439" s="19"/>
      <c r="Y30439" s="20"/>
    </row>
    <row r="30440" spans="24:25">
      <c r="X30440" s="19"/>
      <c r="Y30440" s="20"/>
    </row>
    <row r="30441" spans="24:25">
      <c r="X30441" s="19"/>
      <c r="Y30441" s="20"/>
    </row>
    <row r="30442" spans="24:25">
      <c r="X30442" s="19"/>
      <c r="Y30442" s="20"/>
    </row>
    <row r="30443" spans="24:25">
      <c r="X30443" s="19"/>
      <c r="Y30443" s="20"/>
    </row>
    <row r="30444" spans="24:25">
      <c r="X30444" s="19"/>
      <c r="Y30444" s="20"/>
    </row>
    <row r="30445" spans="24:25">
      <c r="X30445" s="19"/>
      <c r="Y30445" s="20"/>
    </row>
    <row r="30446" spans="24:25">
      <c r="X30446" s="19"/>
      <c r="Y30446" s="20"/>
    </row>
    <row r="30447" spans="24:25">
      <c r="X30447" s="19"/>
      <c r="Y30447" s="20"/>
    </row>
    <row r="30448" spans="24:25">
      <c r="X30448" s="19"/>
      <c r="Y30448" s="20"/>
    </row>
    <row r="30449" spans="24:25">
      <c r="X30449" s="19"/>
      <c r="Y30449" s="20"/>
    </row>
    <row r="30450" spans="24:25">
      <c r="X30450" s="19"/>
      <c r="Y30450" s="20"/>
    </row>
    <row r="30451" spans="24:25">
      <c r="X30451" s="19"/>
      <c r="Y30451" s="20"/>
    </row>
    <row r="30452" spans="24:25">
      <c r="X30452" s="19"/>
      <c r="Y30452" s="20"/>
    </row>
    <row r="30453" spans="24:25">
      <c r="X30453" s="19"/>
      <c r="Y30453" s="20"/>
    </row>
    <row r="30454" spans="24:25">
      <c r="X30454" s="19"/>
      <c r="Y30454" s="20"/>
    </row>
    <row r="30455" spans="24:25">
      <c r="X30455" s="19"/>
      <c r="Y30455" s="20"/>
    </row>
    <row r="30456" spans="24:25">
      <c r="X30456" s="19"/>
      <c r="Y30456" s="20"/>
    </row>
    <row r="30457" spans="24:25">
      <c r="X30457" s="19"/>
      <c r="Y30457" s="20"/>
    </row>
    <row r="30458" spans="24:25">
      <c r="X30458" s="19"/>
      <c r="Y30458" s="20"/>
    </row>
    <row r="30459" spans="24:25">
      <c r="X30459" s="19"/>
      <c r="Y30459" s="20"/>
    </row>
    <row r="30460" spans="24:25">
      <c r="X30460" s="19"/>
      <c r="Y30460" s="20"/>
    </row>
    <row r="30461" spans="24:25">
      <c r="X30461" s="19"/>
      <c r="Y30461" s="20"/>
    </row>
    <row r="30462" spans="24:25">
      <c r="X30462" s="19"/>
      <c r="Y30462" s="20"/>
    </row>
    <row r="30463" spans="24:25">
      <c r="X30463" s="19"/>
      <c r="Y30463" s="20"/>
    </row>
    <row r="30464" spans="24:25">
      <c r="X30464" s="19"/>
      <c r="Y30464" s="20"/>
    </row>
    <row r="30465" spans="24:25">
      <c r="X30465" s="19"/>
      <c r="Y30465" s="20"/>
    </row>
    <row r="30466" spans="24:25">
      <c r="X30466" s="19"/>
      <c r="Y30466" s="20"/>
    </row>
    <row r="30467" spans="24:25">
      <c r="X30467" s="19"/>
      <c r="Y30467" s="20"/>
    </row>
    <row r="30468" spans="24:25">
      <c r="X30468" s="19"/>
      <c r="Y30468" s="20"/>
    </row>
    <row r="30469" spans="24:25">
      <c r="X30469" s="19"/>
      <c r="Y30469" s="20"/>
    </row>
    <row r="30470" spans="24:25">
      <c r="X30470" s="19"/>
      <c r="Y30470" s="20"/>
    </row>
    <row r="30471" spans="24:25">
      <c r="X30471" s="19"/>
      <c r="Y30471" s="20"/>
    </row>
    <row r="30472" spans="24:25">
      <c r="X30472" s="19"/>
      <c r="Y30472" s="20"/>
    </row>
    <row r="30473" spans="24:25">
      <c r="X30473" s="19"/>
      <c r="Y30473" s="20"/>
    </row>
    <row r="30474" spans="24:25">
      <c r="X30474" s="19"/>
      <c r="Y30474" s="20"/>
    </row>
    <row r="30475" spans="24:25">
      <c r="X30475" s="19"/>
      <c r="Y30475" s="20"/>
    </row>
    <row r="30476" spans="24:25">
      <c r="X30476" s="19"/>
      <c r="Y30476" s="20"/>
    </row>
    <row r="30477" spans="24:25">
      <c r="X30477" s="19"/>
      <c r="Y30477" s="20"/>
    </row>
    <row r="30478" spans="24:25">
      <c r="X30478" s="19"/>
      <c r="Y30478" s="20"/>
    </row>
    <row r="30479" spans="24:25">
      <c r="X30479" s="19"/>
      <c r="Y30479" s="20"/>
    </row>
    <row r="30480" spans="24:25">
      <c r="X30480" s="19"/>
      <c r="Y30480" s="20"/>
    </row>
    <row r="30481" spans="24:25">
      <c r="X30481" s="19"/>
      <c r="Y30481" s="20"/>
    </row>
    <row r="30482" spans="24:25">
      <c r="X30482" s="19"/>
      <c r="Y30482" s="20"/>
    </row>
    <row r="30483" spans="24:25">
      <c r="X30483" s="19"/>
      <c r="Y30483" s="20"/>
    </row>
    <row r="30484" spans="24:25">
      <c r="X30484" s="19"/>
      <c r="Y30484" s="20"/>
    </row>
    <row r="30485" spans="24:25">
      <c r="X30485" s="19"/>
      <c r="Y30485" s="20"/>
    </row>
    <row r="30486" spans="24:25">
      <c r="X30486" s="19"/>
      <c r="Y30486" s="20"/>
    </row>
    <row r="30487" spans="24:25">
      <c r="X30487" s="19"/>
      <c r="Y30487" s="20"/>
    </row>
    <row r="30488" spans="24:25">
      <c r="X30488" s="19"/>
      <c r="Y30488" s="20"/>
    </row>
    <row r="30489" spans="24:25">
      <c r="X30489" s="19"/>
      <c r="Y30489" s="20"/>
    </row>
    <row r="30490" spans="24:25">
      <c r="X30490" s="19"/>
      <c r="Y30490" s="20"/>
    </row>
    <row r="30491" spans="24:25">
      <c r="X30491" s="19"/>
      <c r="Y30491" s="20"/>
    </row>
    <row r="30492" spans="24:25">
      <c r="X30492" s="19"/>
      <c r="Y30492" s="20"/>
    </row>
    <row r="30493" spans="24:25">
      <c r="X30493" s="19"/>
      <c r="Y30493" s="20"/>
    </row>
    <row r="30494" spans="24:25">
      <c r="X30494" s="19"/>
      <c r="Y30494" s="20"/>
    </row>
    <row r="30495" spans="24:25">
      <c r="X30495" s="19"/>
      <c r="Y30495" s="20"/>
    </row>
    <row r="30496" spans="24:25">
      <c r="X30496" s="19"/>
      <c r="Y30496" s="20"/>
    </row>
    <row r="30497" spans="24:25">
      <c r="X30497" s="19"/>
      <c r="Y30497" s="20"/>
    </row>
    <row r="30498" spans="24:25">
      <c r="X30498" s="19"/>
      <c r="Y30498" s="20"/>
    </row>
    <row r="30499" spans="24:25">
      <c r="X30499" s="19"/>
      <c r="Y30499" s="20"/>
    </row>
    <row r="30500" spans="24:25">
      <c r="X30500" s="19"/>
      <c r="Y30500" s="20"/>
    </row>
    <row r="30501" spans="24:25">
      <c r="X30501" s="19"/>
      <c r="Y30501" s="20"/>
    </row>
    <row r="30502" spans="24:25">
      <c r="X30502" s="19"/>
      <c r="Y30502" s="20"/>
    </row>
    <row r="30503" spans="24:25">
      <c r="X30503" s="19"/>
      <c r="Y30503" s="20"/>
    </row>
    <row r="30504" spans="24:25">
      <c r="X30504" s="19"/>
      <c r="Y30504" s="20"/>
    </row>
    <row r="30505" spans="24:25">
      <c r="X30505" s="19"/>
      <c r="Y30505" s="20"/>
    </row>
    <row r="30506" spans="24:25">
      <c r="X30506" s="19"/>
      <c r="Y30506" s="20"/>
    </row>
    <row r="30507" spans="24:25">
      <c r="X30507" s="19"/>
      <c r="Y30507" s="20"/>
    </row>
    <row r="30508" spans="24:25">
      <c r="X30508" s="19"/>
      <c r="Y30508" s="20"/>
    </row>
    <row r="30509" spans="24:25">
      <c r="X30509" s="19"/>
      <c r="Y30509" s="20"/>
    </row>
    <row r="30510" spans="24:25">
      <c r="X30510" s="19"/>
      <c r="Y30510" s="20"/>
    </row>
    <row r="30511" spans="24:25">
      <c r="X30511" s="19"/>
      <c r="Y30511" s="20"/>
    </row>
    <row r="30512" spans="24:25">
      <c r="X30512" s="19"/>
      <c r="Y30512" s="20"/>
    </row>
    <row r="30513" spans="24:25">
      <c r="X30513" s="19"/>
      <c r="Y30513" s="20"/>
    </row>
    <row r="30514" spans="24:25">
      <c r="X30514" s="19"/>
      <c r="Y30514" s="20"/>
    </row>
    <row r="30515" spans="24:25">
      <c r="X30515" s="19"/>
      <c r="Y30515" s="20"/>
    </row>
    <row r="30516" spans="24:25">
      <c r="X30516" s="19"/>
      <c r="Y30516" s="20"/>
    </row>
    <row r="30517" spans="24:25">
      <c r="X30517" s="19"/>
      <c r="Y30517" s="20"/>
    </row>
    <row r="30518" spans="24:25">
      <c r="X30518" s="19"/>
      <c r="Y30518" s="20"/>
    </row>
    <row r="30519" spans="24:25">
      <c r="X30519" s="19"/>
      <c r="Y30519" s="20"/>
    </row>
    <row r="30520" spans="24:25">
      <c r="X30520" s="19"/>
      <c r="Y30520" s="20"/>
    </row>
    <row r="30521" spans="24:25">
      <c r="X30521" s="19"/>
      <c r="Y30521" s="20"/>
    </row>
    <row r="30522" spans="24:25">
      <c r="X30522" s="19"/>
      <c r="Y30522" s="20"/>
    </row>
    <row r="30523" spans="24:25">
      <c r="X30523" s="19"/>
      <c r="Y30523" s="20"/>
    </row>
    <row r="30524" spans="24:25">
      <c r="X30524" s="19"/>
      <c r="Y30524" s="20"/>
    </row>
    <row r="30525" spans="24:25">
      <c r="X30525" s="19"/>
      <c r="Y30525" s="20"/>
    </row>
    <row r="30526" spans="24:25">
      <c r="X30526" s="19"/>
      <c r="Y30526" s="20"/>
    </row>
    <row r="30527" spans="24:25">
      <c r="X30527" s="19"/>
      <c r="Y30527" s="20"/>
    </row>
    <row r="30528" spans="24:25">
      <c r="X30528" s="19"/>
      <c r="Y30528" s="20"/>
    </row>
    <row r="30529" spans="24:25">
      <c r="X30529" s="19"/>
      <c r="Y30529" s="20"/>
    </row>
    <row r="30530" spans="24:25">
      <c r="X30530" s="19"/>
      <c r="Y30530" s="20"/>
    </row>
    <row r="30531" spans="24:25">
      <c r="X30531" s="19"/>
      <c r="Y30531" s="20"/>
    </row>
    <row r="30532" spans="24:25">
      <c r="X30532" s="19"/>
      <c r="Y30532" s="20"/>
    </row>
    <row r="30533" spans="24:25">
      <c r="X30533" s="19"/>
      <c r="Y30533" s="20"/>
    </row>
    <row r="30534" spans="24:25">
      <c r="X30534" s="19"/>
      <c r="Y30534" s="20"/>
    </row>
    <row r="30535" spans="24:25">
      <c r="X30535" s="19"/>
      <c r="Y30535" s="20"/>
    </row>
    <row r="30536" spans="24:25">
      <c r="X30536" s="19"/>
      <c r="Y30536" s="20"/>
    </row>
    <row r="30537" spans="24:25">
      <c r="X30537" s="19"/>
      <c r="Y30537" s="20"/>
    </row>
    <row r="30538" spans="24:25">
      <c r="X30538" s="19"/>
      <c r="Y30538" s="20"/>
    </row>
    <row r="30539" spans="24:25">
      <c r="X30539" s="19"/>
      <c r="Y30539" s="20"/>
    </row>
    <row r="30540" spans="24:25">
      <c r="X30540" s="19"/>
      <c r="Y30540" s="20"/>
    </row>
    <row r="30541" spans="24:25">
      <c r="X30541" s="19"/>
      <c r="Y30541" s="20"/>
    </row>
    <row r="30542" spans="24:25">
      <c r="X30542" s="19"/>
      <c r="Y30542" s="20"/>
    </row>
    <row r="30543" spans="24:25">
      <c r="X30543" s="19"/>
      <c r="Y30543" s="20"/>
    </row>
    <row r="30544" spans="24:25">
      <c r="X30544" s="19"/>
      <c r="Y30544" s="20"/>
    </row>
    <row r="30545" spans="24:25">
      <c r="X30545" s="19"/>
      <c r="Y30545" s="20"/>
    </row>
    <row r="30546" spans="24:25">
      <c r="X30546" s="19"/>
      <c r="Y30546" s="20"/>
    </row>
    <row r="30547" spans="24:25">
      <c r="X30547" s="19"/>
      <c r="Y30547" s="20"/>
    </row>
    <row r="30548" spans="24:25">
      <c r="X30548" s="19"/>
      <c r="Y30548" s="20"/>
    </row>
    <row r="30549" spans="24:25">
      <c r="X30549" s="19"/>
      <c r="Y30549" s="20"/>
    </row>
    <row r="30550" spans="24:25">
      <c r="X30550" s="19"/>
      <c r="Y30550" s="20"/>
    </row>
    <row r="30551" spans="24:25">
      <c r="X30551" s="19"/>
      <c r="Y30551" s="20"/>
    </row>
    <row r="30552" spans="24:25">
      <c r="X30552" s="19"/>
      <c r="Y30552" s="20"/>
    </row>
    <row r="30553" spans="24:25">
      <c r="X30553" s="19"/>
      <c r="Y30553" s="20"/>
    </row>
    <row r="30554" spans="24:25">
      <c r="X30554" s="19"/>
      <c r="Y30554" s="20"/>
    </row>
    <row r="30555" spans="24:25">
      <c r="X30555" s="19"/>
      <c r="Y30555" s="20"/>
    </row>
    <row r="30556" spans="24:25">
      <c r="X30556" s="19"/>
      <c r="Y30556" s="20"/>
    </row>
    <row r="30557" spans="24:25">
      <c r="X30557" s="19"/>
      <c r="Y30557" s="20"/>
    </row>
    <row r="30558" spans="24:25">
      <c r="X30558" s="19"/>
      <c r="Y30558" s="20"/>
    </row>
    <row r="30559" spans="24:25">
      <c r="X30559" s="19"/>
      <c r="Y30559" s="20"/>
    </row>
    <row r="30560" spans="24:25">
      <c r="X30560" s="19"/>
      <c r="Y30560" s="20"/>
    </row>
    <row r="30561" spans="24:25">
      <c r="X30561" s="19"/>
      <c r="Y30561" s="20"/>
    </row>
    <row r="30562" spans="24:25">
      <c r="X30562" s="19"/>
      <c r="Y30562" s="20"/>
    </row>
    <row r="30563" spans="24:25">
      <c r="X30563" s="19"/>
      <c r="Y30563" s="20"/>
    </row>
    <row r="30564" spans="24:25">
      <c r="X30564" s="19"/>
      <c r="Y30564" s="20"/>
    </row>
    <row r="30565" spans="24:25">
      <c r="X30565" s="19"/>
      <c r="Y30565" s="20"/>
    </row>
    <row r="30566" spans="24:25">
      <c r="X30566" s="19"/>
      <c r="Y30566" s="20"/>
    </row>
    <row r="30567" spans="24:25">
      <c r="X30567" s="19"/>
      <c r="Y30567" s="20"/>
    </row>
    <row r="30568" spans="24:25">
      <c r="X30568" s="19"/>
      <c r="Y30568" s="20"/>
    </row>
    <row r="30569" spans="24:25">
      <c r="X30569" s="19"/>
      <c r="Y30569" s="20"/>
    </row>
    <row r="30570" spans="24:25">
      <c r="X30570" s="19"/>
      <c r="Y30570" s="20"/>
    </row>
    <row r="30571" spans="24:25">
      <c r="X30571" s="19"/>
      <c r="Y30571" s="20"/>
    </row>
    <row r="30572" spans="24:25">
      <c r="X30572" s="19"/>
      <c r="Y30572" s="20"/>
    </row>
    <row r="30573" spans="24:25">
      <c r="X30573" s="19"/>
      <c r="Y30573" s="20"/>
    </row>
    <row r="30574" spans="24:25">
      <c r="X30574" s="19"/>
      <c r="Y30574" s="20"/>
    </row>
    <row r="30575" spans="24:25">
      <c r="X30575" s="19"/>
      <c r="Y30575" s="20"/>
    </row>
    <row r="30576" spans="24:25">
      <c r="X30576" s="19"/>
      <c r="Y30576" s="20"/>
    </row>
    <row r="30577" spans="24:25">
      <c r="X30577" s="19"/>
      <c r="Y30577" s="20"/>
    </row>
    <row r="30578" spans="24:25">
      <c r="X30578" s="19"/>
      <c r="Y30578" s="20"/>
    </row>
    <row r="30579" spans="24:25">
      <c r="X30579" s="19"/>
      <c r="Y30579" s="20"/>
    </row>
    <row r="30580" spans="24:25">
      <c r="X30580" s="19"/>
      <c r="Y30580" s="20"/>
    </row>
    <row r="30581" spans="24:25">
      <c r="X30581" s="19"/>
      <c r="Y30581" s="20"/>
    </row>
    <row r="30582" spans="24:25">
      <c r="X30582" s="19"/>
      <c r="Y30582" s="20"/>
    </row>
    <row r="30583" spans="24:25">
      <c r="X30583" s="19"/>
      <c r="Y30583" s="20"/>
    </row>
    <row r="30584" spans="24:25">
      <c r="X30584" s="19"/>
      <c r="Y30584" s="20"/>
    </row>
    <row r="30585" spans="24:25">
      <c r="X30585" s="19"/>
      <c r="Y30585" s="20"/>
    </row>
    <row r="30586" spans="24:25">
      <c r="X30586" s="19"/>
      <c r="Y30586" s="20"/>
    </row>
    <row r="30587" spans="24:25">
      <c r="X30587" s="19"/>
      <c r="Y30587" s="20"/>
    </row>
    <row r="30588" spans="24:25">
      <c r="X30588" s="19"/>
      <c r="Y30588" s="20"/>
    </row>
    <row r="30589" spans="24:25">
      <c r="X30589" s="19"/>
      <c r="Y30589" s="20"/>
    </row>
    <row r="30590" spans="24:25">
      <c r="X30590" s="19"/>
      <c r="Y30590" s="20"/>
    </row>
    <row r="30591" spans="24:25">
      <c r="X30591" s="19"/>
      <c r="Y30591" s="20"/>
    </row>
    <row r="30592" spans="24:25">
      <c r="X30592" s="19"/>
      <c r="Y30592" s="20"/>
    </row>
    <row r="30593" spans="24:25">
      <c r="X30593" s="19"/>
      <c r="Y30593" s="20"/>
    </row>
    <row r="30594" spans="24:25">
      <c r="X30594" s="19"/>
      <c r="Y30594" s="20"/>
    </row>
    <row r="30595" spans="24:25">
      <c r="X30595" s="19"/>
      <c r="Y30595" s="20"/>
    </row>
    <row r="30596" spans="24:25">
      <c r="X30596" s="19"/>
      <c r="Y30596" s="20"/>
    </row>
    <row r="30597" spans="24:25">
      <c r="X30597" s="19"/>
      <c r="Y30597" s="20"/>
    </row>
    <row r="30598" spans="24:25">
      <c r="X30598" s="19"/>
      <c r="Y30598" s="20"/>
    </row>
    <row r="30599" spans="24:25">
      <c r="X30599" s="19"/>
      <c r="Y30599" s="20"/>
    </row>
    <row r="30600" spans="24:25">
      <c r="X30600" s="19"/>
      <c r="Y30600" s="20"/>
    </row>
    <row r="30601" spans="24:25">
      <c r="X30601" s="19"/>
      <c r="Y30601" s="20"/>
    </row>
    <row r="30602" spans="24:25">
      <c r="X30602" s="19"/>
      <c r="Y30602" s="20"/>
    </row>
    <row r="30603" spans="24:25">
      <c r="X30603" s="19"/>
      <c r="Y30603" s="20"/>
    </row>
    <row r="30604" spans="24:25">
      <c r="X30604" s="19"/>
      <c r="Y30604" s="20"/>
    </row>
    <row r="30605" spans="24:25">
      <c r="X30605" s="19"/>
      <c r="Y30605" s="20"/>
    </row>
    <row r="30606" spans="24:25">
      <c r="X30606" s="19"/>
      <c r="Y30606" s="20"/>
    </row>
    <row r="30607" spans="24:25">
      <c r="X30607" s="19"/>
      <c r="Y30607" s="20"/>
    </row>
    <row r="30608" spans="24:25">
      <c r="X30608" s="19"/>
      <c r="Y30608" s="20"/>
    </row>
    <row r="30609" spans="24:25">
      <c r="X30609" s="19"/>
      <c r="Y30609" s="20"/>
    </row>
    <row r="30610" spans="24:25">
      <c r="X30610" s="19"/>
      <c r="Y30610" s="20"/>
    </row>
    <row r="30611" spans="24:25">
      <c r="X30611" s="19"/>
      <c r="Y30611" s="20"/>
    </row>
    <row r="30612" spans="24:25">
      <c r="X30612" s="19"/>
      <c r="Y30612" s="20"/>
    </row>
    <row r="30613" spans="24:25">
      <c r="X30613" s="19"/>
      <c r="Y30613" s="20"/>
    </row>
    <row r="30614" spans="24:25">
      <c r="X30614" s="19"/>
      <c r="Y30614" s="20"/>
    </row>
    <row r="30615" spans="24:25">
      <c r="X30615" s="19"/>
      <c r="Y30615" s="20"/>
    </row>
    <row r="30616" spans="24:25">
      <c r="X30616" s="19"/>
      <c r="Y30616" s="20"/>
    </row>
    <row r="30617" spans="24:25">
      <c r="X30617" s="19"/>
      <c r="Y30617" s="20"/>
    </row>
    <row r="30618" spans="24:25">
      <c r="X30618" s="19"/>
      <c r="Y30618" s="20"/>
    </row>
    <row r="30619" spans="24:25">
      <c r="X30619" s="19"/>
      <c r="Y30619" s="20"/>
    </row>
    <row r="30620" spans="24:25">
      <c r="X30620" s="19"/>
      <c r="Y30620" s="20"/>
    </row>
    <row r="30621" spans="24:25">
      <c r="X30621" s="19"/>
      <c r="Y30621" s="20"/>
    </row>
    <row r="30622" spans="24:25">
      <c r="X30622" s="19"/>
      <c r="Y30622" s="20"/>
    </row>
    <row r="30623" spans="24:25">
      <c r="X30623" s="19"/>
      <c r="Y30623" s="20"/>
    </row>
    <row r="30624" spans="24:25">
      <c r="X30624" s="19"/>
      <c r="Y30624" s="20"/>
    </row>
    <row r="30625" spans="24:25">
      <c r="X30625" s="19"/>
      <c r="Y30625" s="20"/>
    </row>
    <row r="30626" spans="24:25">
      <c r="X30626" s="19"/>
      <c r="Y30626" s="20"/>
    </row>
    <row r="30627" spans="24:25">
      <c r="X30627" s="19"/>
      <c r="Y30627" s="20"/>
    </row>
    <row r="30628" spans="24:25">
      <c r="X30628" s="19"/>
      <c r="Y30628" s="20"/>
    </row>
    <row r="30629" spans="24:25">
      <c r="X30629" s="19"/>
      <c r="Y30629" s="20"/>
    </row>
    <row r="30630" spans="24:25">
      <c r="X30630" s="19"/>
      <c r="Y30630" s="20"/>
    </row>
    <row r="30631" spans="24:25">
      <c r="X30631" s="19"/>
      <c r="Y30631" s="20"/>
    </row>
    <row r="30632" spans="24:25">
      <c r="X30632" s="19"/>
      <c r="Y30632" s="20"/>
    </row>
    <row r="30633" spans="24:25">
      <c r="X30633" s="19"/>
      <c r="Y30633" s="20"/>
    </row>
    <row r="30634" spans="24:25">
      <c r="X30634" s="19"/>
      <c r="Y30634" s="20"/>
    </row>
    <row r="30635" spans="24:25">
      <c r="X30635" s="19"/>
      <c r="Y30635" s="20"/>
    </row>
    <row r="30636" spans="24:25">
      <c r="X30636" s="19"/>
      <c r="Y30636" s="20"/>
    </row>
    <row r="30637" spans="24:25">
      <c r="X30637" s="19"/>
      <c r="Y30637" s="20"/>
    </row>
    <row r="30638" spans="24:25">
      <c r="X30638" s="19"/>
      <c r="Y30638" s="20"/>
    </row>
    <row r="30639" spans="24:25">
      <c r="X30639" s="19"/>
      <c r="Y30639" s="20"/>
    </row>
    <row r="30640" spans="24:25">
      <c r="X30640" s="19"/>
      <c r="Y30640" s="20"/>
    </row>
    <row r="30641" spans="24:25">
      <c r="X30641" s="19"/>
      <c r="Y30641" s="20"/>
    </row>
    <row r="30642" spans="24:25">
      <c r="X30642" s="19"/>
      <c r="Y30642" s="20"/>
    </row>
    <row r="30643" spans="24:25">
      <c r="X30643" s="19"/>
      <c r="Y30643" s="20"/>
    </row>
    <row r="30644" spans="24:25">
      <c r="X30644" s="19"/>
      <c r="Y30644" s="20"/>
    </row>
    <row r="30645" spans="24:25">
      <c r="X30645" s="19"/>
      <c r="Y30645" s="20"/>
    </row>
    <row r="30646" spans="24:25">
      <c r="X30646" s="19"/>
      <c r="Y30646" s="20"/>
    </row>
    <row r="30647" spans="24:25">
      <c r="X30647" s="19"/>
      <c r="Y30647" s="20"/>
    </row>
    <row r="30648" spans="24:25">
      <c r="X30648" s="19"/>
      <c r="Y30648" s="20"/>
    </row>
    <row r="30649" spans="24:25">
      <c r="X30649" s="19"/>
      <c r="Y30649" s="20"/>
    </row>
    <row r="30650" spans="24:25">
      <c r="X30650" s="19"/>
      <c r="Y30650" s="20"/>
    </row>
    <row r="30651" spans="24:25">
      <c r="X30651" s="19"/>
      <c r="Y30651" s="20"/>
    </row>
    <row r="30652" spans="24:25">
      <c r="X30652" s="19"/>
      <c r="Y30652" s="20"/>
    </row>
    <row r="30653" spans="24:25">
      <c r="X30653" s="19"/>
      <c r="Y30653" s="20"/>
    </row>
    <row r="30654" spans="24:25">
      <c r="X30654" s="19"/>
      <c r="Y30654" s="20"/>
    </row>
    <row r="30655" spans="24:25">
      <c r="X30655" s="19"/>
      <c r="Y30655" s="20"/>
    </row>
    <row r="30656" spans="24:25">
      <c r="X30656" s="19"/>
      <c r="Y30656" s="20"/>
    </row>
    <row r="30657" spans="24:25">
      <c r="X30657" s="19"/>
      <c r="Y30657" s="20"/>
    </row>
    <row r="30658" spans="24:25">
      <c r="X30658" s="19"/>
      <c r="Y30658" s="20"/>
    </row>
    <row r="30659" spans="24:25">
      <c r="X30659" s="19"/>
      <c r="Y30659" s="20"/>
    </row>
    <row r="30660" spans="24:25">
      <c r="X30660" s="19"/>
      <c r="Y30660" s="20"/>
    </row>
    <row r="30661" spans="24:25">
      <c r="X30661" s="19"/>
      <c r="Y30661" s="20"/>
    </row>
    <row r="30662" spans="24:25">
      <c r="X30662" s="19"/>
      <c r="Y30662" s="20"/>
    </row>
    <row r="30663" spans="24:25">
      <c r="X30663" s="19"/>
      <c r="Y30663" s="20"/>
    </row>
    <row r="30664" spans="24:25">
      <c r="X30664" s="19"/>
      <c r="Y30664" s="20"/>
    </row>
    <row r="30665" spans="24:25">
      <c r="X30665" s="19"/>
      <c r="Y30665" s="20"/>
    </row>
    <row r="30666" spans="24:25">
      <c r="X30666" s="19"/>
      <c r="Y30666" s="20"/>
    </row>
    <row r="30667" spans="24:25">
      <c r="X30667" s="19"/>
      <c r="Y30667" s="20"/>
    </row>
    <row r="30668" spans="24:25">
      <c r="X30668" s="19"/>
      <c r="Y30668" s="20"/>
    </row>
    <row r="30669" spans="24:25">
      <c r="X30669" s="19"/>
      <c r="Y30669" s="20"/>
    </row>
    <row r="30670" spans="24:25">
      <c r="X30670" s="19"/>
      <c r="Y30670" s="20"/>
    </row>
    <row r="30671" spans="24:25">
      <c r="X30671" s="19"/>
      <c r="Y30671" s="20"/>
    </row>
    <row r="30672" spans="24:25">
      <c r="X30672" s="19"/>
      <c r="Y30672" s="20"/>
    </row>
    <row r="30673" spans="24:25">
      <c r="X30673" s="19"/>
      <c r="Y30673" s="20"/>
    </row>
    <row r="30674" spans="24:25">
      <c r="X30674" s="19"/>
      <c r="Y30674" s="20"/>
    </row>
    <row r="30675" spans="24:25">
      <c r="X30675" s="19"/>
      <c r="Y30675" s="20"/>
    </row>
    <row r="30676" spans="24:25">
      <c r="X30676" s="19"/>
      <c r="Y30676" s="20"/>
    </row>
    <row r="30677" spans="24:25">
      <c r="X30677" s="19"/>
      <c r="Y30677" s="20"/>
    </row>
    <row r="30678" spans="24:25">
      <c r="X30678" s="19"/>
      <c r="Y30678" s="20"/>
    </row>
    <row r="30679" spans="24:25">
      <c r="X30679" s="19"/>
      <c r="Y30679" s="20"/>
    </row>
    <row r="30680" spans="24:25">
      <c r="X30680" s="19"/>
      <c r="Y30680" s="20"/>
    </row>
    <row r="30681" spans="24:25">
      <c r="X30681" s="19"/>
      <c r="Y30681" s="20"/>
    </row>
    <row r="30682" spans="24:25">
      <c r="X30682" s="19"/>
      <c r="Y30682" s="20"/>
    </row>
    <row r="30683" spans="24:25">
      <c r="X30683" s="19"/>
      <c r="Y30683" s="20"/>
    </row>
    <row r="30684" spans="24:25">
      <c r="X30684" s="19"/>
      <c r="Y30684" s="20"/>
    </row>
    <row r="30685" spans="24:25">
      <c r="X30685" s="19"/>
      <c r="Y30685" s="20"/>
    </row>
    <row r="30686" spans="24:25">
      <c r="X30686" s="19"/>
      <c r="Y30686" s="20"/>
    </row>
    <row r="30687" spans="24:25">
      <c r="X30687" s="19"/>
      <c r="Y30687" s="20"/>
    </row>
    <row r="30688" spans="24:25">
      <c r="X30688" s="19"/>
      <c r="Y30688" s="20"/>
    </row>
    <row r="30689" spans="24:25">
      <c r="X30689" s="19"/>
      <c r="Y30689" s="20"/>
    </row>
    <row r="30690" spans="24:25">
      <c r="X30690" s="19"/>
      <c r="Y30690" s="20"/>
    </row>
    <row r="30691" spans="24:25">
      <c r="X30691" s="19"/>
      <c r="Y30691" s="20"/>
    </row>
    <row r="30692" spans="24:25">
      <c r="X30692" s="19"/>
      <c r="Y30692" s="20"/>
    </row>
    <row r="30693" spans="24:25">
      <c r="X30693" s="19"/>
      <c r="Y30693" s="20"/>
    </row>
    <row r="30694" spans="24:25">
      <c r="X30694" s="19"/>
      <c r="Y30694" s="20"/>
    </row>
    <row r="30695" spans="24:25">
      <c r="X30695" s="19"/>
      <c r="Y30695" s="20"/>
    </row>
    <row r="30696" spans="24:25">
      <c r="X30696" s="19"/>
      <c r="Y30696" s="20"/>
    </row>
    <row r="30697" spans="24:25">
      <c r="X30697" s="19"/>
      <c r="Y30697" s="20"/>
    </row>
    <row r="30698" spans="24:25">
      <c r="X30698" s="19"/>
      <c r="Y30698" s="20"/>
    </row>
    <row r="30699" spans="24:25">
      <c r="X30699" s="19"/>
      <c r="Y30699" s="20"/>
    </row>
    <row r="30700" spans="24:25">
      <c r="X30700" s="19"/>
      <c r="Y30700" s="20"/>
    </row>
    <row r="30701" spans="24:25">
      <c r="X30701" s="19"/>
      <c r="Y30701" s="20"/>
    </row>
    <row r="30702" spans="24:25">
      <c r="X30702" s="19"/>
      <c r="Y30702" s="20"/>
    </row>
    <row r="30703" spans="24:25">
      <c r="X30703" s="19"/>
      <c r="Y30703" s="20"/>
    </row>
    <row r="30704" spans="24:25">
      <c r="X30704" s="19"/>
      <c r="Y30704" s="20"/>
    </row>
    <row r="30705" spans="24:25">
      <c r="X30705" s="19"/>
      <c r="Y30705" s="20"/>
    </row>
    <row r="30706" spans="24:25">
      <c r="X30706" s="19"/>
      <c r="Y30706" s="20"/>
    </row>
    <row r="30707" spans="24:25">
      <c r="X30707" s="19"/>
      <c r="Y30707" s="20"/>
    </row>
    <row r="30708" spans="24:25">
      <c r="X30708" s="19"/>
      <c r="Y30708" s="20"/>
    </row>
    <row r="30709" spans="24:25">
      <c r="X30709" s="19"/>
      <c r="Y30709" s="20"/>
    </row>
    <row r="30710" spans="24:25">
      <c r="X30710" s="19"/>
      <c r="Y30710" s="20"/>
    </row>
    <row r="30711" spans="24:25">
      <c r="X30711" s="19"/>
      <c r="Y30711" s="20"/>
    </row>
    <row r="30712" spans="24:25">
      <c r="X30712" s="19"/>
      <c r="Y30712" s="20"/>
    </row>
    <row r="30713" spans="24:25">
      <c r="X30713" s="19"/>
      <c r="Y30713" s="20"/>
    </row>
    <row r="30714" spans="24:25">
      <c r="X30714" s="19"/>
      <c r="Y30714" s="20"/>
    </row>
    <row r="30715" spans="24:25">
      <c r="X30715" s="19"/>
      <c r="Y30715" s="20"/>
    </row>
    <row r="30716" spans="24:25">
      <c r="X30716" s="19"/>
      <c r="Y30716" s="20"/>
    </row>
    <row r="30717" spans="24:25">
      <c r="X30717" s="19"/>
      <c r="Y30717" s="20"/>
    </row>
    <row r="30718" spans="24:25">
      <c r="X30718" s="19"/>
      <c r="Y30718" s="20"/>
    </row>
    <row r="30719" spans="24:25">
      <c r="X30719" s="19"/>
      <c r="Y30719" s="20"/>
    </row>
    <row r="30720" spans="24:25">
      <c r="X30720" s="19"/>
      <c r="Y30720" s="20"/>
    </row>
    <row r="30721" spans="24:25">
      <c r="X30721" s="19"/>
      <c r="Y30721" s="20"/>
    </row>
    <row r="30722" spans="24:25">
      <c r="X30722" s="19"/>
      <c r="Y30722" s="20"/>
    </row>
    <row r="30723" spans="24:25">
      <c r="X30723" s="19"/>
      <c r="Y30723" s="20"/>
    </row>
    <row r="30724" spans="24:25">
      <c r="X30724" s="19"/>
      <c r="Y30724" s="20"/>
    </row>
    <row r="30725" spans="24:25">
      <c r="X30725" s="19"/>
      <c r="Y30725" s="20"/>
    </row>
    <row r="30726" spans="24:25">
      <c r="X30726" s="19"/>
      <c r="Y30726" s="20"/>
    </row>
    <row r="30727" spans="24:25">
      <c r="X30727" s="19"/>
      <c r="Y30727" s="20"/>
    </row>
    <row r="30728" spans="24:25">
      <c r="X30728" s="19"/>
      <c r="Y30728" s="20"/>
    </row>
    <row r="30729" spans="24:25">
      <c r="X30729" s="19"/>
      <c r="Y30729" s="20"/>
    </row>
    <row r="30730" spans="24:25">
      <c r="X30730" s="19"/>
      <c r="Y30730" s="20"/>
    </row>
    <row r="30731" spans="24:25">
      <c r="X30731" s="19"/>
      <c r="Y30731" s="20"/>
    </row>
    <row r="30732" spans="24:25">
      <c r="X30732" s="19"/>
      <c r="Y30732" s="20"/>
    </row>
    <row r="30733" spans="24:25">
      <c r="X30733" s="19"/>
      <c r="Y30733" s="20"/>
    </row>
    <row r="30734" spans="24:25">
      <c r="X30734" s="19"/>
      <c r="Y30734" s="20"/>
    </row>
    <row r="30735" spans="24:25">
      <c r="X30735" s="19"/>
      <c r="Y30735" s="20"/>
    </row>
    <row r="30736" spans="24:25">
      <c r="X30736" s="19"/>
      <c r="Y30736" s="20"/>
    </row>
    <row r="30737" spans="24:25">
      <c r="X30737" s="19"/>
      <c r="Y30737" s="20"/>
    </row>
    <row r="30738" spans="24:25">
      <c r="X30738" s="19"/>
      <c r="Y30738" s="20"/>
    </row>
    <row r="30739" spans="24:25">
      <c r="X30739" s="19"/>
      <c r="Y30739" s="20"/>
    </row>
    <row r="30740" spans="24:25">
      <c r="X30740" s="19"/>
      <c r="Y30740" s="20"/>
    </row>
    <row r="30741" spans="24:25">
      <c r="X30741" s="19"/>
      <c r="Y30741" s="20"/>
    </row>
    <row r="30742" spans="24:25">
      <c r="X30742" s="19"/>
      <c r="Y30742" s="20"/>
    </row>
    <row r="30743" spans="24:25">
      <c r="X30743" s="19"/>
      <c r="Y30743" s="20"/>
    </row>
    <row r="30744" spans="24:25">
      <c r="X30744" s="19"/>
      <c r="Y30744" s="20"/>
    </row>
    <row r="30745" spans="24:25">
      <c r="X30745" s="19"/>
      <c r="Y30745" s="20"/>
    </row>
    <row r="30746" spans="24:25">
      <c r="X30746" s="19"/>
      <c r="Y30746" s="20"/>
    </row>
    <row r="30747" spans="24:25">
      <c r="X30747" s="19"/>
      <c r="Y30747" s="20"/>
    </row>
    <row r="30748" spans="24:25">
      <c r="X30748" s="19"/>
      <c r="Y30748" s="20"/>
    </row>
    <row r="30749" spans="24:25">
      <c r="X30749" s="19"/>
      <c r="Y30749" s="20"/>
    </row>
    <row r="30750" spans="24:25">
      <c r="X30750" s="19"/>
      <c r="Y30750" s="20"/>
    </row>
    <row r="30751" spans="24:25">
      <c r="X30751" s="19"/>
      <c r="Y30751" s="20"/>
    </row>
    <row r="30752" spans="24:25">
      <c r="X30752" s="19"/>
      <c r="Y30752" s="20"/>
    </row>
    <row r="30753" spans="24:25">
      <c r="X30753" s="19"/>
      <c r="Y30753" s="20"/>
    </row>
    <row r="30754" spans="24:25">
      <c r="X30754" s="19"/>
      <c r="Y30754" s="20"/>
    </row>
    <row r="30755" spans="24:25">
      <c r="X30755" s="19"/>
      <c r="Y30755" s="20"/>
    </row>
    <row r="30756" spans="24:25">
      <c r="X30756" s="19"/>
      <c r="Y30756" s="20"/>
    </row>
    <row r="30757" spans="24:25">
      <c r="X30757" s="19"/>
      <c r="Y30757" s="20"/>
    </row>
    <row r="30758" spans="24:25">
      <c r="X30758" s="19"/>
      <c r="Y30758" s="20"/>
    </row>
    <row r="30759" spans="24:25">
      <c r="X30759" s="19"/>
      <c r="Y30759" s="20"/>
    </row>
    <row r="30760" spans="24:25">
      <c r="X30760" s="19"/>
      <c r="Y30760" s="20"/>
    </row>
    <row r="30761" spans="24:25">
      <c r="X30761" s="19"/>
      <c r="Y30761" s="20"/>
    </row>
    <row r="30762" spans="24:25">
      <c r="X30762" s="19"/>
      <c r="Y30762" s="20"/>
    </row>
    <row r="30763" spans="24:25">
      <c r="X30763" s="19"/>
      <c r="Y30763" s="20"/>
    </row>
    <row r="30764" spans="24:25">
      <c r="X30764" s="19"/>
      <c r="Y30764" s="20"/>
    </row>
    <row r="30765" spans="24:25">
      <c r="X30765" s="19"/>
      <c r="Y30765" s="20"/>
    </row>
    <row r="30766" spans="24:25">
      <c r="X30766" s="19"/>
      <c r="Y30766" s="20"/>
    </row>
    <row r="30767" spans="24:25">
      <c r="X30767" s="19"/>
      <c r="Y30767" s="20"/>
    </row>
    <row r="30768" spans="24:25">
      <c r="X30768" s="19"/>
      <c r="Y30768" s="20"/>
    </row>
    <row r="30769" spans="24:25">
      <c r="X30769" s="19"/>
      <c r="Y30769" s="20"/>
    </row>
    <row r="30770" spans="24:25">
      <c r="X30770" s="19"/>
      <c r="Y30770" s="20"/>
    </row>
    <row r="30771" spans="24:25">
      <c r="X30771" s="19"/>
      <c r="Y30771" s="20"/>
    </row>
    <row r="30772" spans="24:25">
      <c r="X30772" s="19"/>
      <c r="Y30772" s="20"/>
    </row>
    <row r="30773" spans="24:25">
      <c r="X30773" s="19"/>
      <c r="Y30773" s="20"/>
    </row>
    <row r="30774" spans="24:25">
      <c r="X30774" s="19"/>
      <c r="Y30774" s="20"/>
    </row>
    <row r="30775" spans="24:25">
      <c r="X30775" s="19"/>
      <c r="Y30775" s="20"/>
    </row>
    <row r="30776" spans="24:25">
      <c r="X30776" s="19"/>
      <c r="Y30776" s="20"/>
    </row>
    <row r="30777" spans="24:25">
      <c r="X30777" s="19"/>
      <c r="Y30777" s="20"/>
    </row>
    <row r="30778" spans="24:25">
      <c r="X30778" s="19"/>
      <c r="Y30778" s="20"/>
    </row>
    <row r="30779" spans="24:25">
      <c r="X30779" s="19"/>
      <c r="Y30779" s="20"/>
    </row>
    <row r="30780" spans="24:25">
      <c r="X30780" s="19"/>
      <c r="Y30780" s="20"/>
    </row>
    <row r="30781" spans="24:25">
      <c r="X30781" s="19"/>
      <c r="Y30781" s="20"/>
    </row>
    <row r="30782" spans="24:25">
      <c r="X30782" s="19"/>
      <c r="Y30782" s="20"/>
    </row>
    <row r="30783" spans="24:25">
      <c r="X30783" s="19"/>
      <c r="Y30783" s="20"/>
    </row>
    <row r="30784" spans="24:25">
      <c r="X30784" s="19"/>
      <c r="Y30784" s="20"/>
    </row>
    <row r="30785" spans="24:25">
      <c r="X30785" s="19"/>
      <c r="Y30785" s="20"/>
    </row>
    <row r="30786" spans="24:25">
      <c r="X30786" s="19"/>
      <c r="Y30786" s="20"/>
    </row>
    <row r="30787" spans="24:25">
      <c r="X30787" s="19"/>
      <c r="Y30787" s="20"/>
    </row>
    <row r="30788" spans="24:25">
      <c r="X30788" s="19"/>
      <c r="Y30788" s="20"/>
    </row>
    <row r="30789" spans="24:25">
      <c r="X30789" s="19"/>
      <c r="Y30789" s="20"/>
    </row>
    <row r="30790" spans="24:25">
      <c r="X30790" s="19"/>
      <c r="Y30790" s="20"/>
    </row>
    <row r="30791" spans="24:25">
      <c r="X30791" s="19"/>
      <c r="Y30791" s="20"/>
    </row>
    <row r="30792" spans="24:25">
      <c r="X30792" s="19"/>
      <c r="Y30792" s="20"/>
    </row>
    <row r="30793" spans="24:25">
      <c r="X30793" s="19"/>
      <c r="Y30793" s="20"/>
    </row>
    <row r="30794" spans="24:25">
      <c r="X30794" s="19"/>
      <c r="Y30794" s="20"/>
    </row>
    <row r="30795" spans="24:25">
      <c r="X30795" s="19"/>
      <c r="Y30795" s="20"/>
    </row>
    <row r="30796" spans="24:25">
      <c r="X30796" s="19"/>
      <c r="Y30796" s="20"/>
    </row>
    <row r="30797" spans="24:25">
      <c r="X30797" s="19"/>
      <c r="Y30797" s="20"/>
    </row>
    <row r="30798" spans="24:25">
      <c r="X30798" s="19"/>
      <c r="Y30798" s="20"/>
    </row>
    <row r="30799" spans="24:25">
      <c r="X30799" s="19"/>
      <c r="Y30799" s="20"/>
    </row>
    <row r="30800" spans="24:25">
      <c r="X30800" s="19"/>
      <c r="Y30800" s="20"/>
    </row>
    <row r="30801" spans="24:25">
      <c r="X30801" s="19"/>
      <c r="Y30801" s="20"/>
    </row>
    <row r="30802" spans="24:25">
      <c r="X30802" s="19"/>
      <c r="Y30802" s="20"/>
    </row>
    <row r="30803" spans="24:25">
      <c r="X30803" s="19"/>
      <c r="Y30803" s="20"/>
    </row>
    <row r="30804" spans="24:25">
      <c r="X30804" s="19"/>
      <c r="Y30804" s="20"/>
    </row>
    <row r="30805" spans="24:25">
      <c r="X30805" s="19"/>
      <c r="Y30805" s="20"/>
    </row>
    <row r="30806" spans="24:25">
      <c r="X30806" s="19"/>
      <c r="Y30806" s="20"/>
    </row>
    <row r="30807" spans="24:25">
      <c r="X30807" s="19"/>
      <c r="Y30807" s="20"/>
    </row>
    <row r="30808" spans="24:25">
      <c r="X30808" s="19"/>
      <c r="Y30808" s="20"/>
    </row>
    <row r="30809" spans="24:25">
      <c r="X30809" s="19"/>
      <c r="Y30809" s="20"/>
    </row>
    <row r="30810" spans="24:25">
      <c r="X30810" s="19"/>
      <c r="Y30810" s="20"/>
    </row>
    <row r="30811" spans="24:25">
      <c r="X30811" s="19"/>
      <c r="Y30811" s="20"/>
    </row>
    <row r="30812" spans="24:25">
      <c r="X30812" s="19"/>
      <c r="Y30812" s="20"/>
    </row>
    <row r="30813" spans="24:25">
      <c r="X30813" s="19"/>
      <c r="Y30813" s="20"/>
    </row>
    <row r="30814" spans="24:25">
      <c r="X30814" s="19"/>
      <c r="Y30814" s="20"/>
    </row>
    <row r="30815" spans="24:25">
      <c r="X30815" s="19"/>
      <c r="Y30815" s="20"/>
    </row>
    <row r="30816" spans="24:25">
      <c r="X30816" s="19"/>
      <c r="Y30816" s="20"/>
    </row>
    <row r="30817" spans="24:25">
      <c r="X30817" s="19"/>
      <c r="Y30817" s="20"/>
    </row>
    <row r="30818" spans="24:25">
      <c r="X30818" s="19"/>
      <c r="Y30818" s="20"/>
    </row>
    <row r="30819" spans="24:25">
      <c r="X30819" s="19"/>
      <c r="Y30819" s="20"/>
    </row>
    <row r="30820" spans="24:25">
      <c r="X30820" s="19"/>
      <c r="Y30820" s="20"/>
    </row>
    <row r="30821" spans="24:25">
      <c r="X30821" s="19"/>
      <c r="Y30821" s="20"/>
    </row>
    <row r="30822" spans="24:25">
      <c r="X30822" s="19"/>
      <c r="Y30822" s="20"/>
    </row>
    <row r="30823" spans="24:25">
      <c r="X30823" s="19"/>
      <c r="Y30823" s="20"/>
    </row>
    <row r="30824" spans="24:25">
      <c r="X30824" s="19"/>
      <c r="Y30824" s="20"/>
    </row>
    <row r="30825" spans="24:25">
      <c r="X30825" s="19"/>
      <c r="Y30825" s="20"/>
    </row>
    <row r="30826" spans="24:25">
      <c r="X30826" s="19"/>
      <c r="Y30826" s="20"/>
    </row>
    <row r="30827" spans="24:25">
      <c r="X30827" s="19"/>
      <c r="Y30827" s="20"/>
    </row>
    <row r="30828" spans="24:25">
      <c r="X30828" s="19"/>
      <c r="Y30828" s="20"/>
    </row>
    <row r="30829" spans="24:25">
      <c r="X30829" s="19"/>
      <c r="Y30829" s="20"/>
    </row>
    <row r="30830" spans="24:25">
      <c r="X30830" s="19"/>
      <c r="Y30830" s="20"/>
    </row>
    <row r="30831" spans="24:25">
      <c r="X30831" s="19"/>
      <c r="Y30831" s="20"/>
    </row>
    <row r="30832" spans="24:25">
      <c r="X30832" s="19"/>
      <c r="Y30832" s="20"/>
    </row>
    <row r="30833" spans="24:25">
      <c r="X30833" s="19"/>
      <c r="Y30833" s="20"/>
    </row>
    <row r="30834" spans="24:25">
      <c r="X30834" s="19"/>
      <c r="Y30834" s="20"/>
    </row>
    <row r="30835" spans="24:25">
      <c r="X30835" s="19"/>
      <c r="Y30835" s="20"/>
    </row>
    <row r="30836" spans="24:25">
      <c r="X30836" s="19"/>
      <c r="Y30836" s="20"/>
    </row>
    <row r="30837" spans="24:25">
      <c r="X30837" s="19"/>
      <c r="Y30837" s="20"/>
    </row>
    <row r="30838" spans="24:25">
      <c r="X30838" s="19"/>
      <c r="Y30838" s="20"/>
    </row>
    <row r="30839" spans="24:25">
      <c r="X30839" s="19"/>
      <c r="Y30839" s="20"/>
    </row>
    <row r="30840" spans="24:25">
      <c r="X30840" s="19"/>
      <c r="Y30840" s="20"/>
    </row>
    <row r="30841" spans="24:25">
      <c r="X30841" s="19"/>
      <c r="Y30841" s="20"/>
    </row>
    <row r="30842" spans="24:25">
      <c r="X30842" s="19"/>
      <c r="Y30842" s="20"/>
    </row>
    <row r="30843" spans="24:25">
      <c r="X30843" s="19"/>
      <c r="Y30843" s="20"/>
    </row>
    <row r="30844" spans="24:25">
      <c r="X30844" s="19"/>
      <c r="Y30844" s="20"/>
    </row>
    <row r="30845" spans="24:25">
      <c r="X30845" s="19"/>
      <c r="Y30845" s="20"/>
    </row>
    <row r="30846" spans="24:25">
      <c r="X30846" s="19"/>
      <c r="Y30846" s="20"/>
    </row>
    <row r="30847" spans="24:25">
      <c r="X30847" s="19"/>
      <c r="Y30847" s="20"/>
    </row>
    <row r="30848" spans="24:25">
      <c r="X30848" s="19"/>
      <c r="Y30848" s="20"/>
    </row>
    <row r="30849" spans="24:25">
      <c r="X30849" s="19"/>
      <c r="Y30849" s="20"/>
    </row>
    <row r="30850" spans="24:25">
      <c r="X30850" s="19"/>
      <c r="Y30850" s="20"/>
    </row>
    <row r="30851" spans="24:25">
      <c r="X30851" s="19"/>
      <c r="Y30851" s="20"/>
    </row>
    <row r="30852" spans="24:25">
      <c r="X30852" s="19"/>
      <c r="Y30852" s="20"/>
    </row>
    <row r="30853" spans="24:25">
      <c r="X30853" s="19"/>
      <c r="Y30853" s="20"/>
    </row>
    <row r="30854" spans="24:25">
      <c r="X30854" s="19"/>
      <c r="Y30854" s="20"/>
    </row>
    <row r="30855" spans="24:25">
      <c r="X30855" s="19"/>
      <c r="Y30855" s="20"/>
    </row>
    <row r="30856" spans="24:25">
      <c r="X30856" s="19"/>
      <c r="Y30856" s="20"/>
    </row>
    <row r="30857" spans="24:25">
      <c r="X30857" s="19"/>
      <c r="Y30857" s="20"/>
    </row>
    <row r="30858" spans="24:25">
      <c r="X30858" s="19"/>
      <c r="Y30858" s="20"/>
    </row>
    <row r="30859" spans="24:25">
      <c r="X30859" s="19"/>
      <c r="Y30859" s="20"/>
    </row>
    <row r="30860" spans="24:25">
      <c r="X30860" s="19"/>
      <c r="Y30860" s="20"/>
    </row>
    <row r="30861" spans="24:25">
      <c r="X30861" s="19"/>
      <c r="Y30861" s="20"/>
    </row>
    <row r="30862" spans="24:25">
      <c r="X30862" s="19"/>
      <c r="Y30862" s="20"/>
    </row>
    <row r="30863" spans="24:25">
      <c r="X30863" s="19"/>
      <c r="Y30863" s="20"/>
    </row>
    <row r="30864" spans="24:25">
      <c r="X30864" s="19"/>
      <c r="Y30864" s="20"/>
    </row>
    <row r="30865" spans="24:25">
      <c r="X30865" s="19"/>
      <c r="Y30865" s="20"/>
    </row>
    <row r="30866" spans="24:25">
      <c r="X30866" s="19"/>
      <c r="Y30866" s="20"/>
    </row>
    <row r="30867" spans="24:25">
      <c r="X30867" s="19"/>
      <c r="Y30867" s="20"/>
    </row>
    <row r="30868" spans="24:25">
      <c r="X30868" s="19"/>
      <c r="Y30868" s="20"/>
    </row>
    <row r="30869" spans="24:25">
      <c r="X30869" s="19"/>
      <c r="Y30869" s="20"/>
    </row>
    <row r="30870" spans="24:25">
      <c r="X30870" s="19"/>
      <c r="Y30870" s="20"/>
    </row>
    <row r="30871" spans="24:25">
      <c r="X30871" s="19"/>
      <c r="Y30871" s="20"/>
    </row>
    <row r="30872" spans="24:25">
      <c r="X30872" s="19"/>
      <c r="Y30872" s="20"/>
    </row>
    <row r="30873" spans="24:25">
      <c r="X30873" s="19"/>
      <c r="Y30873" s="20"/>
    </row>
    <row r="30874" spans="24:25">
      <c r="X30874" s="19"/>
      <c r="Y30874" s="20"/>
    </row>
    <row r="30875" spans="24:25">
      <c r="X30875" s="19"/>
      <c r="Y30875" s="20"/>
    </row>
    <row r="30876" spans="24:25">
      <c r="X30876" s="19"/>
      <c r="Y30876" s="20"/>
    </row>
    <row r="30877" spans="24:25">
      <c r="X30877" s="19"/>
      <c r="Y30877" s="20"/>
    </row>
    <row r="30878" spans="24:25">
      <c r="X30878" s="19"/>
      <c r="Y30878" s="20"/>
    </row>
    <row r="30879" spans="24:25">
      <c r="X30879" s="19"/>
      <c r="Y30879" s="20"/>
    </row>
    <row r="30880" spans="24:25">
      <c r="X30880" s="19"/>
      <c r="Y30880" s="20"/>
    </row>
    <row r="30881" spans="24:25">
      <c r="X30881" s="19"/>
      <c r="Y30881" s="20"/>
    </row>
    <row r="30882" spans="24:25">
      <c r="X30882" s="19"/>
      <c r="Y30882" s="20"/>
    </row>
    <row r="30883" spans="24:25">
      <c r="X30883" s="19"/>
      <c r="Y30883" s="20"/>
    </row>
    <row r="30884" spans="24:25">
      <c r="X30884" s="19"/>
      <c r="Y30884" s="20"/>
    </row>
    <row r="30885" spans="24:25">
      <c r="X30885" s="19"/>
      <c r="Y30885" s="20"/>
    </row>
    <row r="30886" spans="24:25">
      <c r="X30886" s="19"/>
      <c r="Y30886" s="20"/>
    </row>
    <row r="30887" spans="24:25">
      <c r="X30887" s="19"/>
      <c r="Y30887" s="20"/>
    </row>
    <row r="30888" spans="24:25">
      <c r="X30888" s="19"/>
      <c r="Y30888" s="20"/>
    </row>
    <row r="30889" spans="24:25">
      <c r="X30889" s="19"/>
      <c r="Y30889" s="20"/>
    </row>
    <row r="30890" spans="24:25">
      <c r="X30890" s="19"/>
      <c r="Y30890" s="20"/>
    </row>
    <row r="30891" spans="24:25">
      <c r="X30891" s="19"/>
      <c r="Y30891" s="20"/>
    </row>
    <row r="30892" spans="24:25">
      <c r="X30892" s="19"/>
      <c r="Y30892" s="20"/>
    </row>
    <row r="30893" spans="24:25">
      <c r="X30893" s="19"/>
      <c r="Y30893" s="20"/>
    </row>
    <row r="30894" spans="24:25">
      <c r="X30894" s="19"/>
      <c r="Y30894" s="20"/>
    </row>
    <row r="30895" spans="24:25">
      <c r="X30895" s="19"/>
      <c r="Y30895" s="20"/>
    </row>
    <row r="30896" spans="24:25">
      <c r="X30896" s="19"/>
      <c r="Y30896" s="20"/>
    </row>
    <row r="30897" spans="24:25">
      <c r="X30897" s="19"/>
      <c r="Y30897" s="20"/>
    </row>
    <row r="30898" spans="24:25">
      <c r="X30898" s="19"/>
      <c r="Y30898" s="20"/>
    </row>
    <row r="30899" spans="24:25">
      <c r="X30899" s="19"/>
      <c r="Y30899" s="20"/>
    </row>
    <row r="30900" spans="24:25">
      <c r="X30900" s="19"/>
      <c r="Y30900" s="20"/>
    </row>
    <row r="30901" spans="24:25">
      <c r="X30901" s="19"/>
      <c r="Y30901" s="20"/>
    </row>
    <row r="30902" spans="24:25">
      <c r="X30902" s="19"/>
      <c r="Y30902" s="20"/>
    </row>
    <row r="30903" spans="24:25">
      <c r="X30903" s="19"/>
      <c r="Y30903" s="20"/>
    </row>
    <row r="30904" spans="24:25">
      <c r="X30904" s="19"/>
      <c r="Y30904" s="20"/>
    </row>
    <row r="30905" spans="24:25">
      <c r="X30905" s="19"/>
      <c r="Y30905" s="20"/>
    </row>
    <row r="30906" spans="24:25">
      <c r="X30906" s="19"/>
      <c r="Y30906" s="20"/>
    </row>
    <row r="30907" spans="24:25">
      <c r="X30907" s="19"/>
      <c r="Y30907" s="20"/>
    </row>
    <row r="30908" spans="24:25">
      <c r="X30908" s="19"/>
      <c r="Y30908" s="20"/>
    </row>
    <row r="30909" spans="24:25">
      <c r="X30909" s="19"/>
      <c r="Y30909" s="20"/>
    </row>
    <row r="30910" spans="24:25">
      <c r="X30910" s="19"/>
      <c r="Y30910" s="20"/>
    </row>
    <row r="30911" spans="24:25">
      <c r="X30911" s="19"/>
      <c r="Y30911" s="20"/>
    </row>
    <row r="30912" spans="24:25">
      <c r="X30912" s="19"/>
      <c r="Y30912" s="20"/>
    </row>
    <row r="30913" spans="24:25">
      <c r="X30913" s="19"/>
      <c r="Y30913" s="20"/>
    </row>
    <row r="30914" spans="24:25">
      <c r="X30914" s="19"/>
      <c r="Y30914" s="20"/>
    </row>
    <row r="30915" spans="24:25">
      <c r="X30915" s="19"/>
      <c r="Y30915" s="20"/>
    </row>
    <row r="30916" spans="24:25">
      <c r="X30916" s="19"/>
      <c r="Y30916" s="20"/>
    </row>
    <row r="30917" spans="24:25">
      <c r="X30917" s="19"/>
      <c r="Y30917" s="20"/>
    </row>
    <row r="30918" spans="24:25">
      <c r="X30918" s="19"/>
      <c r="Y30918" s="20"/>
    </row>
    <row r="30919" spans="24:25">
      <c r="X30919" s="19"/>
      <c r="Y30919" s="20"/>
    </row>
    <row r="30920" spans="24:25">
      <c r="X30920" s="19"/>
      <c r="Y30920" s="20"/>
    </row>
    <row r="30921" spans="24:25">
      <c r="X30921" s="19"/>
      <c r="Y30921" s="20"/>
    </row>
    <row r="30922" spans="24:25">
      <c r="X30922" s="19"/>
      <c r="Y30922" s="20"/>
    </row>
    <row r="30923" spans="24:25">
      <c r="X30923" s="19"/>
      <c r="Y30923" s="20"/>
    </row>
    <row r="30924" spans="24:25">
      <c r="X30924" s="19"/>
      <c r="Y30924" s="20"/>
    </row>
    <row r="30925" spans="24:25">
      <c r="X30925" s="19"/>
      <c r="Y30925" s="20"/>
    </row>
    <row r="30926" spans="24:25">
      <c r="X30926" s="19"/>
      <c r="Y30926" s="20"/>
    </row>
    <row r="30927" spans="24:25">
      <c r="X30927" s="19"/>
      <c r="Y30927" s="20"/>
    </row>
    <row r="30928" spans="24:25">
      <c r="X30928" s="19"/>
      <c r="Y30928" s="20"/>
    </row>
    <row r="30929" spans="24:25">
      <c r="X30929" s="19"/>
      <c r="Y30929" s="20"/>
    </row>
    <row r="30930" spans="24:25">
      <c r="X30930" s="19"/>
      <c r="Y30930" s="20"/>
    </row>
    <row r="30931" spans="24:25">
      <c r="X30931" s="19"/>
      <c r="Y30931" s="20"/>
    </row>
    <row r="30932" spans="24:25">
      <c r="X30932" s="19"/>
      <c r="Y30932" s="20"/>
    </row>
    <row r="30933" spans="24:25">
      <c r="X30933" s="19"/>
      <c r="Y30933" s="20"/>
    </row>
    <row r="30934" spans="24:25">
      <c r="X30934" s="19"/>
      <c r="Y30934" s="20"/>
    </row>
    <row r="30935" spans="24:25">
      <c r="X30935" s="19"/>
      <c r="Y30935" s="20"/>
    </row>
    <row r="30936" spans="24:25">
      <c r="X30936" s="19"/>
      <c r="Y30936" s="20"/>
    </row>
    <row r="30937" spans="24:25">
      <c r="X30937" s="19"/>
      <c r="Y30937" s="20"/>
    </row>
    <row r="30938" spans="24:25">
      <c r="X30938" s="19"/>
      <c r="Y30938" s="20"/>
    </row>
    <row r="30939" spans="24:25">
      <c r="X30939" s="19"/>
      <c r="Y30939" s="20"/>
    </row>
    <row r="30940" spans="24:25">
      <c r="X30940" s="19"/>
      <c r="Y30940" s="20"/>
    </row>
    <row r="30941" spans="24:25">
      <c r="X30941" s="19"/>
      <c r="Y30941" s="20"/>
    </row>
    <row r="30942" spans="24:25">
      <c r="X30942" s="19"/>
      <c r="Y30942" s="20"/>
    </row>
    <row r="30943" spans="24:25">
      <c r="X30943" s="19"/>
      <c r="Y30943" s="20"/>
    </row>
    <row r="30944" spans="24:25">
      <c r="X30944" s="19"/>
      <c r="Y30944" s="20"/>
    </row>
    <row r="30945" spans="24:25">
      <c r="X30945" s="19"/>
      <c r="Y30945" s="20"/>
    </row>
    <row r="30946" spans="24:25">
      <c r="X30946" s="19"/>
      <c r="Y30946" s="20"/>
    </row>
    <row r="30947" spans="24:25">
      <c r="X30947" s="19"/>
      <c r="Y30947" s="20"/>
    </row>
    <row r="30948" spans="24:25">
      <c r="X30948" s="19"/>
      <c r="Y30948" s="20"/>
    </row>
    <row r="30949" spans="24:25">
      <c r="X30949" s="19"/>
      <c r="Y30949" s="20"/>
    </row>
    <row r="30950" spans="24:25">
      <c r="X30950" s="19"/>
      <c r="Y30950" s="20"/>
    </row>
    <row r="30951" spans="24:25">
      <c r="X30951" s="19"/>
      <c r="Y30951" s="20"/>
    </row>
    <row r="30952" spans="24:25">
      <c r="X30952" s="19"/>
      <c r="Y30952" s="20"/>
    </row>
    <row r="30953" spans="24:25">
      <c r="X30953" s="19"/>
      <c r="Y30953" s="20"/>
    </row>
    <row r="30954" spans="24:25">
      <c r="X30954" s="19"/>
      <c r="Y30954" s="20"/>
    </row>
    <row r="30955" spans="24:25">
      <c r="X30955" s="19"/>
      <c r="Y30955" s="20"/>
    </row>
    <row r="30956" spans="24:25">
      <c r="X30956" s="19"/>
      <c r="Y30956" s="20"/>
    </row>
    <row r="30957" spans="24:25">
      <c r="X30957" s="19"/>
      <c r="Y30957" s="20"/>
    </row>
    <row r="30958" spans="24:25">
      <c r="X30958" s="19"/>
      <c r="Y30958" s="20"/>
    </row>
    <row r="30959" spans="24:25">
      <c r="X30959" s="19"/>
      <c r="Y30959" s="20"/>
    </row>
    <row r="30960" spans="24:25">
      <c r="X30960" s="19"/>
      <c r="Y30960" s="20"/>
    </row>
    <row r="30961" spans="24:25">
      <c r="X30961" s="19"/>
      <c r="Y30961" s="20"/>
    </row>
    <row r="30962" spans="24:25">
      <c r="X30962" s="19"/>
      <c r="Y30962" s="20"/>
    </row>
    <row r="30963" spans="24:25">
      <c r="X30963" s="19"/>
      <c r="Y30963" s="20"/>
    </row>
    <row r="30964" spans="24:25">
      <c r="X30964" s="19"/>
      <c r="Y30964" s="20"/>
    </row>
    <row r="30965" spans="24:25">
      <c r="X30965" s="19"/>
      <c r="Y30965" s="20"/>
    </row>
    <row r="30966" spans="24:25">
      <c r="X30966" s="19"/>
      <c r="Y30966" s="20"/>
    </row>
    <row r="30967" spans="24:25">
      <c r="X30967" s="19"/>
      <c r="Y30967" s="20"/>
    </row>
    <row r="30968" spans="24:25">
      <c r="X30968" s="19"/>
      <c r="Y30968" s="20"/>
    </row>
    <row r="30969" spans="24:25">
      <c r="X30969" s="19"/>
      <c r="Y30969" s="20"/>
    </row>
    <row r="30970" spans="24:25">
      <c r="X30970" s="19"/>
      <c r="Y30970" s="20"/>
    </row>
    <row r="30971" spans="24:25">
      <c r="X30971" s="19"/>
      <c r="Y30971" s="20"/>
    </row>
    <row r="30972" spans="24:25">
      <c r="X30972" s="19"/>
      <c r="Y30972" s="20"/>
    </row>
    <row r="30973" spans="24:25">
      <c r="X30973" s="19"/>
      <c r="Y30973" s="20"/>
    </row>
    <row r="30974" spans="24:25">
      <c r="X30974" s="19"/>
      <c r="Y30974" s="20"/>
    </row>
    <row r="30975" spans="24:25">
      <c r="X30975" s="19"/>
      <c r="Y30975" s="20"/>
    </row>
    <row r="30976" spans="24:25">
      <c r="X30976" s="19"/>
      <c r="Y30976" s="20"/>
    </row>
    <row r="30977" spans="24:25">
      <c r="X30977" s="19"/>
      <c r="Y30977" s="20"/>
    </row>
    <row r="30978" spans="24:25">
      <c r="X30978" s="19"/>
      <c r="Y30978" s="20"/>
    </row>
    <row r="30979" spans="24:25">
      <c r="X30979" s="19"/>
      <c r="Y30979" s="20"/>
    </row>
    <row r="30980" spans="24:25">
      <c r="X30980" s="19"/>
      <c r="Y30980" s="20"/>
    </row>
    <row r="30981" spans="24:25">
      <c r="X30981" s="19"/>
      <c r="Y30981" s="20"/>
    </row>
    <row r="30982" spans="24:25">
      <c r="X30982" s="19"/>
      <c r="Y30982" s="20"/>
    </row>
    <row r="30983" spans="24:25">
      <c r="X30983" s="19"/>
      <c r="Y30983" s="20"/>
    </row>
    <row r="30984" spans="24:25">
      <c r="X30984" s="19"/>
      <c r="Y30984" s="20"/>
    </row>
    <row r="30985" spans="24:25">
      <c r="X30985" s="19"/>
      <c r="Y30985" s="20"/>
    </row>
    <row r="30986" spans="24:25">
      <c r="X30986" s="19"/>
      <c r="Y30986" s="20"/>
    </row>
    <row r="30987" spans="24:25">
      <c r="X30987" s="19"/>
      <c r="Y30987" s="20"/>
    </row>
    <row r="30988" spans="24:25">
      <c r="X30988" s="19"/>
      <c r="Y30988" s="20"/>
    </row>
    <row r="30989" spans="24:25">
      <c r="X30989" s="19"/>
      <c r="Y30989" s="20"/>
    </row>
    <row r="30990" spans="24:25">
      <c r="X30990" s="19"/>
      <c r="Y30990" s="20"/>
    </row>
    <row r="30991" spans="24:25">
      <c r="X30991" s="19"/>
      <c r="Y30991" s="20"/>
    </row>
    <row r="30992" spans="24:25">
      <c r="X30992" s="19"/>
      <c r="Y30992" s="20"/>
    </row>
    <row r="30993" spans="24:25">
      <c r="X30993" s="19"/>
      <c r="Y30993" s="20"/>
    </row>
    <row r="30994" spans="24:25">
      <c r="X30994" s="19"/>
      <c r="Y30994" s="20"/>
    </row>
    <row r="30995" spans="24:25">
      <c r="X30995" s="19"/>
      <c r="Y30995" s="20"/>
    </row>
    <row r="30996" spans="24:25">
      <c r="X30996" s="19"/>
      <c r="Y30996" s="20"/>
    </row>
    <row r="30997" spans="24:25">
      <c r="X30997" s="19"/>
      <c r="Y30997" s="20"/>
    </row>
    <row r="30998" spans="24:25">
      <c r="X30998" s="19"/>
      <c r="Y30998" s="20"/>
    </row>
    <row r="30999" spans="24:25">
      <c r="X30999" s="19"/>
      <c r="Y30999" s="20"/>
    </row>
    <row r="31000" spans="24:25">
      <c r="X31000" s="19"/>
      <c r="Y31000" s="20"/>
    </row>
    <row r="31001" spans="24:25">
      <c r="X31001" s="19"/>
      <c r="Y31001" s="20"/>
    </row>
    <row r="31002" spans="24:25">
      <c r="X31002" s="19"/>
      <c r="Y31002" s="20"/>
    </row>
    <row r="31003" spans="24:25">
      <c r="X31003" s="19"/>
      <c r="Y31003" s="20"/>
    </row>
    <row r="31004" spans="24:25">
      <c r="X31004" s="19"/>
      <c r="Y31004" s="20"/>
    </row>
    <row r="31005" spans="24:25">
      <c r="X31005" s="19"/>
      <c r="Y31005" s="20"/>
    </row>
    <row r="31006" spans="24:25">
      <c r="X31006" s="19"/>
      <c r="Y31006" s="20"/>
    </row>
    <row r="31007" spans="24:25">
      <c r="X31007" s="19"/>
      <c r="Y31007" s="20"/>
    </row>
    <row r="31008" spans="24:25">
      <c r="X31008" s="19"/>
      <c r="Y31008" s="20"/>
    </row>
    <row r="31009" spans="24:25">
      <c r="X31009" s="19"/>
      <c r="Y31009" s="20"/>
    </row>
    <row r="31010" spans="24:25">
      <c r="X31010" s="19"/>
      <c r="Y31010" s="20"/>
    </row>
    <row r="31011" spans="24:25">
      <c r="X31011" s="19"/>
      <c r="Y31011" s="20"/>
    </row>
    <row r="31012" spans="24:25">
      <c r="X31012" s="19"/>
      <c r="Y31012" s="20"/>
    </row>
    <row r="31013" spans="24:25">
      <c r="X31013" s="19"/>
      <c r="Y31013" s="20"/>
    </row>
    <row r="31014" spans="24:25">
      <c r="X31014" s="19"/>
      <c r="Y31014" s="20"/>
    </row>
    <row r="31015" spans="24:25">
      <c r="X31015" s="19"/>
      <c r="Y31015" s="20"/>
    </row>
    <row r="31016" spans="24:25">
      <c r="X31016" s="19"/>
      <c r="Y31016" s="20"/>
    </row>
    <row r="31017" spans="24:25">
      <c r="X31017" s="19"/>
      <c r="Y31017" s="20"/>
    </row>
    <row r="31018" spans="24:25">
      <c r="X31018" s="19"/>
      <c r="Y31018" s="20"/>
    </row>
    <row r="31019" spans="24:25">
      <c r="X31019" s="19"/>
      <c r="Y31019" s="20"/>
    </row>
    <row r="31020" spans="24:25">
      <c r="X31020" s="19"/>
      <c r="Y31020" s="20"/>
    </row>
    <row r="31021" spans="24:25">
      <c r="X31021" s="19"/>
      <c r="Y31021" s="20"/>
    </row>
    <row r="31022" spans="24:25">
      <c r="X31022" s="19"/>
      <c r="Y31022" s="20"/>
    </row>
    <row r="31023" spans="24:25">
      <c r="X31023" s="19"/>
      <c r="Y31023" s="20"/>
    </row>
    <row r="31024" spans="24:25">
      <c r="X31024" s="19"/>
      <c r="Y31024" s="20"/>
    </row>
    <row r="31025" spans="24:25">
      <c r="X31025" s="19"/>
      <c r="Y31025" s="20"/>
    </row>
    <row r="31026" spans="24:25">
      <c r="X31026" s="19"/>
      <c r="Y31026" s="20"/>
    </row>
    <row r="31027" spans="24:25">
      <c r="X31027" s="19"/>
      <c r="Y31027" s="20"/>
    </row>
    <row r="31028" spans="24:25">
      <c r="X31028" s="19"/>
      <c r="Y31028" s="20"/>
    </row>
    <row r="31029" spans="24:25">
      <c r="X31029" s="19"/>
      <c r="Y31029" s="20"/>
    </row>
    <row r="31030" spans="24:25">
      <c r="X31030" s="19"/>
      <c r="Y31030" s="20"/>
    </row>
    <row r="31031" spans="24:25">
      <c r="X31031" s="19"/>
      <c r="Y31031" s="20"/>
    </row>
    <row r="31032" spans="24:25">
      <c r="X31032" s="19"/>
      <c r="Y31032" s="20"/>
    </row>
    <row r="31033" spans="24:25">
      <c r="X31033" s="19"/>
      <c r="Y31033" s="20"/>
    </row>
    <row r="31034" spans="24:25">
      <c r="X31034" s="19"/>
      <c r="Y31034" s="20"/>
    </row>
    <row r="31035" spans="24:25">
      <c r="X31035" s="19"/>
      <c r="Y31035" s="20"/>
    </row>
    <row r="31036" spans="24:25">
      <c r="X31036" s="19"/>
      <c r="Y31036" s="20"/>
    </row>
    <row r="31037" spans="24:25">
      <c r="X31037" s="19"/>
      <c r="Y31037" s="20"/>
    </row>
    <row r="31038" spans="24:25">
      <c r="X31038" s="19"/>
      <c r="Y31038" s="20"/>
    </row>
    <row r="31039" spans="24:25">
      <c r="X31039" s="19"/>
      <c r="Y31039" s="20"/>
    </row>
    <row r="31040" spans="24:25">
      <c r="X31040" s="19"/>
      <c r="Y31040" s="20"/>
    </row>
    <row r="31041" spans="24:25">
      <c r="X31041" s="19"/>
      <c r="Y31041" s="20"/>
    </row>
    <row r="31042" spans="24:25">
      <c r="X31042" s="19"/>
      <c r="Y31042" s="20"/>
    </row>
    <row r="31043" spans="24:25">
      <c r="X31043" s="19"/>
      <c r="Y31043" s="20"/>
    </row>
    <row r="31044" spans="24:25">
      <c r="X31044" s="19"/>
      <c r="Y31044" s="20"/>
    </row>
    <row r="31045" spans="24:25">
      <c r="X31045" s="19"/>
      <c r="Y31045" s="20"/>
    </row>
    <row r="31046" spans="24:25">
      <c r="X31046" s="19"/>
      <c r="Y31046" s="20"/>
    </row>
    <row r="31047" spans="24:25">
      <c r="X31047" s="19"/>
      <c r="Y31047" s="20"/>
    </row>
    <row r="31048" spans="24:25">
      <c r="X31048" s="19"/>
      <c r="Y31048" s="20"/>
    </row>
    <row r="31049" spans="24:25">
      <c r="X31049" s="19"/>
      <c r="Y31049" s="20"/>
    </row>
    <row r="31050" spans="24:25">
      <c r="X31050" s="19"/>
      <c r="Y31050" s="20"/>
    </row>
    <row r="31051" spans="24:25">
      <c r="X31051" s="19"/>
      <c r="Y31051" s="20"/>
    </row>
    <row r="31052" spans="24:25">
      <c r="X31052" s="19"/>
      <c r="Y31052" s="20"/>
    </row>
    <row r="31053" spans="24:25">
      <c r="X31053" s="19"/>
      <c r="Y31053" s="20"/>
    </row>
    <row r="31054" spans="24:25">
      <c r="X31054" s="19"/>
      <c r="Y31054" s="20"/>
    </row>
    <row r="31055" spans="24:25">
      <c r="X31055" s="19"/>
      <c r="Y31055" s="20"/>
    </row>
    <row r="31056" spans="24:25">
      <c r="X31056" s="19"/>
      <c r="Y31056" s="20"/>
    </row>
    <row r="31057" spans="24:25">
      <c r="X31057" s="19"/>
      <c r="Y31057" s="20"/>
    </row>
    <row r="31058" spans="24:25">
      <c r="X31058" s="19"/>
      <c r="Y31058" s="20"/>
    </row>
    <row r="31059" spans="24:25">
      <c r="X31059" s="19"/>
      <c r="Y31059" s="20"/>
    </row>
    <row r="31060" spans="24:25">
      <c r="X31060" s="19"/>
      <c r="Y31060" s="20"/>
    </row>
    <row r="31061" spans="24:25">
      <c r="X31061" s="19"/>
      <c r="Y31061" s="20"/>
    </row>
    <row r="31062" spans="24:25">
      <c r="X31062" s="19"/>
      <c r="Y31062" s="20"/>
    </row>
    <row r="31063" spans="24:25">
      <c r="X31063" s="19"/>
      <c r="Y31063" s="20"/>
    </row>
    <row r="31064" spans="24:25">
      <c r="X31064" s="19"/>
      <c r="Y31064" s="20"/>
    </row>
    <row r="31065" spans="24:25">
      <c r="X31065" s="19"/>
      <c r="Y31065" s="20"/>
    </row>
    <row r="31066" spans="24:25">
      <c r="X31066" s="19"/>
      <c r="Y31066" s="20"/>
    </row>
    <row r="31067" spans="24:25">
      <c r="X31067" s="19"/>
      <c r="Y31067" s="20"/>
    </row>
    <row r="31068" spans="24:25">
      <c r="X31068" s="19"/>
      <c r="Y31068" s="20"/>
    </row>
    <row r="31069" spans="24:25">
      <c r="X31069" s="19"/>
      <c r="Y31069" s="20"/>
    </row>
    <row r="31070" spans="24:25">
      <c r="X31070" s="19"/>
      <c r="Y31070" s="20"/>
    </row>
    <row r="31071" spans="24:25">
      <c r="X31071" s="19"/>
      <c r="Y31071" s="20"/>
    </row>
    <row r="31072" spans="24:25">
      <c r="X31072" s="19"/>
      <c r="Y31072" s="20"/>
    </row>
    <row r="31073" spans="24:25">
      <c r="X31073" s="19"/>
      <c r="Y31073" s="20"/>
    </row>
    <row r="31074" spans="24:25">
      <c r="X31074" s="19"/>
      <c r="Y31074" s="20"/>
    </row>
    <row r="31075" spans="24:25">
      <c r="X31075" s="19"/>
      <c r="Y31075" s="20"/>
    </row>
    <row r="31076" spans="24:25">
      <c r="X31076" s="19"/>
      <c r="Y31076" s="20"/>
    </row>
    <row r="31077" spans="24:25">
      <c r="X31077" s="19"/>
      <c r="Y31077" s="20"/>
    </row>
    <row r="31078" spans="24:25">
      <c r="X31078" s="19"/>
      <c r="Y31078" s="20"/>
    </row>
    <row r="31079" spans="24:25">
      <c r="X31079" s="19"/>
      <c r="Y31079" s="20"/>
    </row>
    <row r="31080" spans="24:25">
      <c r="X31080" s="19"/>
      <c r="Y31080" s="20"/>
    </row>
    <row r="31081" spans="24:25">
      <c r="X31081" s="19"/>
      <c r="Y31081" s="20"/>
    </row>
    <row r="31082" spans="24:25">
      <c r="X31082" s="19"/>
      <c r="Y31082" s="20"/>
    </row>
    <row r="31083" spans="24:25">
      <c r="X31083" s="19"/>
      <c r="Y31083" s="20"/>
    </row>
    <row r="31084" spans="24:25">
      <c r="X31084" s="19"/>
      <c r="Y31084" s="20"/>
    </row>
    <row r="31085" spans="24:25">
      <c r="X31085" s="19"/>
      <c r="Y31085" s="20"/>
    </row>
    <row r="31086" spans="24:25">
      <c r="X31086" s="19"/>
      <c r="Y31086" s="20"/>
    </row>
    <row r="31087" spans="24:25">
      <c r="X31087" s="19"/>
      <c r="Y31087" s="20"/>
    </row>
    <row r="31088" spans="24:25">
      <c r="X31088" s="19"/>
      <c r="Y31088" s="20"/>
    </row>
    <row r="31089" spans="24:25">
      <c r="X31089" s="19"/>
      <c r="Y31089" s="20"/>
    </row>
    <row r="31090" spans="24:25">
      <c r="X31090" s="19"/>
      <c r="Y31090" s="20"/>
    </row>
    <row r="31091" spans="24:25">
      <c r="X31091" s="19"/>
      <c r="Y31091" s="20"/>
    </row>
    <row r="31092" spans="24:25">
      <c r="X31092" s="19"/>
      <c r="Y31092" s="20"/>
    </row>
    <row r="31093" spans="24:25">
      <c r="X31093" s="19"/>
      <c r="Y31093" s="20"/>
    </row>
    <row r="31094" spans="24:25">
      <c r="X31094" s="19"/>
      <c r="Y31094" s="20"/>
    </row>
    <row r="31095" spans="24:25">
      <c r="X31095" s="19"/>
      <c r="Y31095" s="20"/>
    </row>
    <row r="31096" spans="24:25">
      <c r="X31096" s="19"/>
      <c r="Y31096" s="20"/>
    </row>
    <row r="31097" spans="24:25">
      <c r="X31097" s="19"/>
      <c r="Y31097" s="20"/>
    </row>
    <row r="31098" spans="24:25">
      <c r="X31098" s="19"/>
      <c r="Y31098" s="20"/>
    </row>
    <row r="31099" spans="24:25">
      <c r="X31099" s="19"/>
      <c r="Y31099" s="20"/>
    </row>
    <row r="31100" spans="24:25">
      <c r="X31100" s="19"/>
      <c r="Y31100" s="20"/>
    </row>
    <row r="31101" spans="24:25">
      <c r="X31101" s="19"/>
      <c r="Y31101" s="20"/>
    </row>
    <row r="31102" spans="24:25">
      <c r="X31102" s="19"/>
      <c r="Y31102" s="20"/>
    </row>
    <row r="31103" spans="24:25">
      <c r="X31103" s="19"/>
      <c r="Y31103" s="20"/>
    </row>
    <row r="31104" spans="24:25">
      <c r="X31104" s="19"/>
      <c r="Y31104" s="20"/>
    </row>
    <row r="31105" spans="24:25">
      <c r="X31105" s="19"/>
      <c r="Y31105" s="20"/>
    </row>
    <row r="31106" spans="24:25">
      <c r="X31106" s="19"/>
      <c r="Y31106" s="20"/>
    </row>
    <row r="31107" spans="24:25">
      <c r="X31107" s="19"/>
      <c r="Y31107" s="20"/>
    </row>
    <row r="31108" spans="24:25">
      <c r="X31108" s="19"/>
      <c r="Y31108" s="20"/>
    </row>
    <row r="31109" spans="24:25">
      <c r="X31109" s="19"/>
      <c r="Y31109" s="20"/>
    </row>
    <row r="31110" spans="24:25">
      <c r="X31110" s="19"/>
      <c r="Y31110" s="20"/>
    </row>
    <row r="31111" spans="24:25">
      <c r="X31111" s="19"/>
      <c r="Y31111" s="20"/>
    </row>
    <row r="31112" spans="24:25">
      <c r="X31112" s="19"/>
      <c r="Y31112" s="20"/>
    </row>
    <row r="31113" spans="24:25">
      <c r="X31113" s="19"/>
      <c r="Y31113" s="20"/>
    </row>
    <row r="31114" spans="24:25">
      <c r="X31114" s="19"/>
      <c r="Y31114" s="20"/>
    </row>
    <row r="31115" spans="24:25">
      <c r="X31115" s="19"/>
      <c r="Y31115" s="20"/>
    </row>
    <row r="31116" spans="24:25">
      <c r="X31116" s="19"/>
      <c r="Y31116" s="20"/>
    </row>
    <row r="31117" spans="24:25">
      <c r="X31117" s="19"/>
      <c r="Y31117" s="20"/>
    </row>
    <row r="31118" spans="24:25">
      <c r="X31118" s="19"/>
      <c r="Y31118" s="20"/>
    </row>
    <row r="31119" spans="24:25">
      <c r="X31119" s="19"/>
      <c r="Y31119" s="20"/>
    </row>
    <row r="31120" spans="24:25">
      <c r="X31120" s="19"/>
      <c r="Y31120" s="20"/>
    </row>
    <row r="31121" spans="24:25">
      <c r="X31121" s="19"/>
      <c r="Y31121" s="20"/>
    </row>
    <row r="31122" spans="24:25">
      <c r="X31122" s="19"/>
      <c r="Y31122" s="20"/>
    </row>
    <row r="31123" spans="24:25">
      <c r="X31123" s="19"/>
      <c r="Y31123" s="20"/>
    </row>
    <row r="31124" spans="24:25">
      <c r="X31124" s="19"/>
      <c r="Y31124" s="20"/>
    </row>
    <row r="31125" spans="24:25">
      <c r="X31125" s="19"/>
      <c r="Y31125" s="20"/>
    </row>
    <row r="31126" spans="24:25">
      <c r="X31126" s="19"/>
      <c r="Y31126" s="20"/>
    </row>
    <row r="31127" spans="24:25">
      <c r="X31127" s="19"/>
      <c r="Y31127" s="20"/>
    </row>
    <row r="31128" spans="24:25">
      <c r="X31128" s="19"/>
      <c r="Y31128" s="20"/>
    </row>
    <row r="31129" spans="24:25">
      <c r="X31129" s="19"/>
      <c r="Y31129" s="20"/>
    </row>
    <row r="31130" spans="24:25">
      <c r="X31130" s="19"/>
      <c r="Y31130" s="20"/>
    </row>
    <row r="31131" spans="24:25">
      <c r="X31131" s="19"/>
      <c r="Y31131" s="20"/>
    </row>
    <row r="31132" spans="24:25">
      <c r="X31132" s="19"/>
      <c r="Y31132" s="20"/>
    </row>
    <row r="31133" spans="24:25">
      <c r="X31133" s="19"/>
      <c r="Y31133" s="20"/>
    </row>
    <row r="31134" spans="24:25">
      <c r="X31134" s="19"/>
      <c r="Y31134" s="20"/>
    </row>
    <row r="31135" spans="24:25">
      <c r="X31135" s="19"/>
      <c r="Y31135" s="20"/>
    </row>
    <row r="31136" spans="24:25">
      <c r="X31136" s="19"/>
      <c r="Y31136" s="20"/>
    </row>
    <row r="31137" spans="24:25">
      <c r="X31137" s="19"/>
      <c r="Y31137" s="20"/>
    </row>
    <row r="31138" spans="24:25">
      <c r="X31138" s="19"/>
      <c r="Y31138" s="20"/>
    </row>
    <row r="31139" spans="24:25">
      <c r="X31139" s="19"/>
      <c r="Y31139" s="20"/>
    </row>
    <row r="31140" spans="24:25">
      <c r="X31140" s="19"/>
      <c r="Y31140" s="20"/>
    </row>
    <row r="31141" spans="24:25">
      <c r="X31141" s="19"/>
      <c r="Y31141" s="20"/>
    </row>
    <row r="31142" spans="24:25">
      <c r="X31142" s="19"/>
      <c r="Y31142" s="20"/>
    </row>
    <row r="31143" spans="24:25">
      <c r="X31143" s="19"/>
      <c r="Y31143" s="20"/>
    </row>
    <row r="31144" spans="24:25">
      <c r="X31144" s="19"/>
      <c r="Y31144" s="20"/>
    </row>
    <row r="31145" spans="24:25">
      <c r="X31145" s="19"/>
      <c r="Y31145" s="20"/>
    </row>
    <row r="31146" spans="24:25">
      <c r="X31146" s="19"/>
      <c r="Y31146" s="20"/>
    </row>
    <row r="31147" spans="24:25">
      <c r="X31147" s="19"/>
      <c r="Y31147" s="20"/>
    </row>
    <row r="31148" spans="24:25">
      <c r="X31148" s="19"/>
      <c r="Y31148" s="20"/>
    </row>
    <row r="31149" spans="24:25">
      <c r="X31149" s="19"/>
      <c r="Y31149" s="20"/>
    </row>
    <row r="31150" spans="24:25">
      <c r="X31150" s="19"/>
      <c r="Y31150" s="20"/>
    </row>
    <row r="31151" spans="24:25">
      <c r="X31151" s="19"/>
      <c r="Y31151" s="20"/>
    </row>
    <row r="31152" spans="24:25">
      <c r="X31152" s="19"/>
      <c r="Y31152" s="20"/>
    </row>
    <row r="31153" spans="24:25">
      <c r="X31153" s="19"/>
      <c r="Y31153" s="20"/>
    </row>
    <row r="31154" spans="24:25">
      <c r="X31154" s="19"/>
      <c r="Y31154" s="20"/>
    </row>
    <row r="31155" spans="24:25">
      <c r="X31155" s="19"/>
      <c r="Y31155" s="20"/>
    </row>
    <row r="31156" spans="24:25">
      <c r="X31156" s="19"/>
      <c r="Y31156" s="20"/>
    </row>
    <row r="31157" spans="24:25">
      <c r="X31157" s="19"/>
      <c r="Y31157" s="20"/>
    </row>
    <row r="31158" spans="24:25">
      <c r="X31158" s="19"/>
      <c r="Y31158" s="20"/>
    </row>
    <row r="31159" spans="24:25">
      <c r="X31159" s="19"/>
      <c r="Y31159" s="20"/>
    </row>
    <row r="31160" spans="24:25">
      <c r="X31160" s="19"/>
      <c r="Y31160" s="20"/>
    </row>
    <row r="31161" spans="24:25">
      <c r="X31161" s="19"/>
      <c r="Y31161" s="20"/>
    </row>
    <row r="31162" spans="24:25">
      <c r="X31162" s="19"/>
      <c r="Y31162" s="20"/>
    </row>
    <row r="31163" spans="24:25">
      <c r="X31163" s="19"/>
      <c r="Y31163" s="20"/>
    </row>
    <row r="31164" spans="24:25">
      <c r="X31164" s="19"/>
      <c r="Y31164" s="20"/>
    </row>
    <row r="31165" spans="24:25">
      <c r="X31165" s="19"/>
      <c r="Y31165" s="20"/>
    </row>
    <row r="31166" spans="24:25">
      <c r="X31166" s="19"/>
      <c r="Y31166" s="20"/>
    </row>
    <row r="31167" spans="24:25">
      <c r="X31167" s="19"/>
      <c r="Y31167" s="20"/>
    </row>
    <row r="31168" spans="24:25">
      <c r="X31168" s="19"/>
      <c r="Y31168" s="20"/>
    </row>
    <row r="31169" spans="24:25">
      <c r="X31169" s="19"/>
      <c r="Y31169" s="20"/>
    </row>
    <row r="31170" spans="24:25">
      <c r="X31170" s="19"/>
      <c r="Y31170" s="20"/>
    </row>
    <row r="31171" spans="24:25">
      <c r="X31171" s="19"/>
      <c r="Y31171" s="20"/>
    </row>
    <row r="31172" spans="24:25">
      <c r="X31172" s="19"/>
      <c r="Y31172" s="20"/>
    </row>
    <row r="31173" spans="24:25">
      <c r="X31173" s="19"/>
      <c r="Y31173" s="20"/>
    </row>
    <row r="31174" spans="24:25">
      <c r="X31174" s="19"/>
      <c r="Y31174" s="20"/>
    </row>
    <row r="31175" spans="24:25">
      <c r="X31175" s="19"/>
      <c r="Y31175" s="20"/>
    </row>
    <row r="31176" spans="24:25">
      <c r="X31176" s="19"/>
      <c r="Y31176" s="20"/>
    </row>
    <row r="31177" spans="24:25">
      <c r="X31177" s="19"/>
      <c r="Y31177" s="20"/>
    </row>
    <row r="31178" spans="24:25">
      <c r="X31178" s="19"/>
      <c r="Y31178" s="20"/>
    </row>
    <row r="31179" spans="24:25">
      <c r="X31179" s="19"/>
      <c r="Y31179" s="20"/>
    </row>
    <row r="31180" spans="24:25">
      <c r="X31180" s="19"/>
      <c r="Y31180" s="20"/>
    </row>
    <row r="31181" spans="24:25">
      <c r="X31181" s="19"/>
      <c r="Y31181" s="20"/>
    </row>
    <row r="31182" spans="24:25">
      <c r="X31182" s="19"/>
      <c r="Y31182" s="20"/>
    </row>
    <row r="31183" spans="24:25">
      <c r="X31183" s="19"/>
      <c r="Y31183" s="20"/>
    </row>
    <row r="31184" spans="24:25">
      <c r="X31184" s="19"/>
      <c r="Y31184" s="20"/>
    </row>
    <row r="31185" spans="24:25">
      <c r="X31185" s="19"/>
      <c r="Y31185" s="20"/>
    </row>
    <row r="31186" spans="24:25">
      <c r="X31186" s="19"/>
      <c r="Y31186" s="20"/>
    </row>
    <row r="31187" spans="24:25">
      <c r="X31187" s="19"/>
      <c r="Y31187" s="20"/>
    </row>
    <row r="31188" spans="24:25">
      <c r="X31188" s="19"/>
      <c r="Y31188" s="20"/>
    </row>
    <row r="31189" spans="24:25">
      <c r="X31189" s="19"/>
      <c r="Y31189" s="20"/>
    </row>
    <row r="31190" spans="24:25">
      <c r="X31190" s="19"/>
      <c r="Y31190" s="20"/>
    </row>
    <row r="31191" spans="24:25">
      <c r="X31191" s="19"/>
      <c r="Y31191" s="20"/>
    </row>
    <row r="31192" spans="24:25">
      <c r="X31192" s="19"/>
      <c r="Y31192" s="20"/>
    </row>
    <row r="31193" spans="24:25">
      <c r="X31193" s="19"/>
      <c r="Y31193" s="20"/>
    </row>
    <row r="31194" spans="24:25">
      <c r="X31194" s="19"/>
      <c r="Y31194" s="20"/>
    </row>
    <row r="31195" spans="24:25">
      <c r="X31195" s="19"/>
      <c r="Y31195" s="20"/>
    </row>
    <row r="31196" spans="24:25">
      <c r="X31196" s="19"/>
      <c r="Y31196" s="20"/>
    </row>
    <row r="31197" spans="24:25">
      <c r="X31197" s="19"/>
      <c r="Y31197" s="20"/>
    </row>
    <row r="31198" spans="24:25">
      <c r="X31198" s="19"/>
      <c r="Y31198" s="20"/>
    </row>
    <row r="31199" spans="24:25">
      <c r="X31199" s="19"/>
      <c r="Y31199" s="20"/>
    </row>
    <row r="31200" spans="24:25">
      <c r="X31200" s="19"/>
      <c r="Y31200" s="20"/>
    </row>
    <row r="31201" spans="24:25">
      <c r="X31201" s="19"/>
      <c r="Y31201" s="20"/>
    </row>
    <row r="31202" spans="24:25">
      <c r="X31202" s="19"/>
      <c r="Y31202" s="20"/>
    </row>
    <row r="31203" spans="24:25">
      <c r="X31203" s="19"/>
      <c r="Y31203" s="20"/>
    </row>
    <row r="31204" spans="24:25">
      <c r="X31204" s="19"/>
      <c r="Y31204" s="20"/>
    </row>
    <row r="31205" spans="24:25">
      <c r="X31205" s="19"/>
      <c r="Y31205" s="20"/>
    </row>
    <row r="31206" spans="24:25">
      <c r="X31206" s="19"/>
      <c r="Y31206" s="20"/>
    </row>
    <row r="31207" spans="24:25">
      <c r="X31207" s="19"/>
      <c r="Y31207" s="20"/>
    </row>
    <row r="31208" spans="24:25">
      <c r="X31208" s="19"/>
      <c r="Y31208" s="20"/>
    </row>
    <row r="31209" spans="24:25">
      <c r="X31209" s="19"/>
      <c r="Y31209" s="20"/>
    </row>
    <row r="31210" spans="24:25">
      <c r="X31210" s="19"/>
      <c r="Y31210" s="20"/>
    </row>
    <row r="31211" spans="24:25">
      <c r="X31211" s="19"/>
      <c r="Y31211" s="20"/>
    </row>
    <row r="31212" spans="24:25">
      <c r="X31212" s="19"/>
      <c r="Y31212" s="20"/>
    </row>
    <row r="31213" spans="24:25">
      <c r="X31213" s="19"/>
      <c r="Y31213" s="20"/>
    </row>
    <row r="31214" spans="24:25">
      <c r="X31214" s="19"/>
      <c r="Y31214" s="20"/>
    </row>
    <row r="31215" spans="24:25">
      <c r="X31215" s="19"/>
      <c r="Y31215" s="20"/>
    </row>
    <row r="31216" spans="24:25">
      <c r="X31216" s="19"/>
      <c r="Y31216" s="20"/>
    </row>
    <row r="31217" spans="24:25">
      <c r="X31217" s="19"/>
      <c r="Y31217" s="20"/>
    </row>
    <row r="31218" spans="24:25">
      <c r="X31218" s="19"/>
      <c r="Y31218" s="20"/>
    </row>
    <row r="31219" spans="24:25">
      <c r="X31219" s="19"/>
      <c r="Y31219" s="20"/>
    </row>
    <row r="31220" spans="24:25">
      <c r="X31220" s="19"/>
      <c r="Y31220" s="20"/>
    </row>
    <row r="31221" spans="24:25">
      <c r="X31221" s="19"/>
      <c r="Y31221" s="20"/>
    </row>
    <row r="31222" spans="24:25">
      <c r="X31222" s="19"/>
      <c r="Y31222" s="20"/>
    </row>
    <row r="31223" spans="24:25">
      <c r="X31223" s="19"/>
      <c r="Y31223" s="20"/>
    </row>
    <row r="31224" spans="24:25">
      <c r="X31224" s="19"/>
      <c r="Y31224" s="20"/>
    </row>
    <row r="31225" spans="24:25">
      <c r="X31225" s="19"/>
      <c r="Y31225" s="20"/>
    </row>
    <row r="31226" spans="24:25">
      <c r="X31226" s="19"/>
      <c r="Y31226" s="20"/>
    </row>
    <row r="31227" spans="24:25">
      <c r="X31227" s="19"/>
      <c r="Y31227" s="20"/>
    </row>
    <row r="31228" spans="24:25">
      <c r="X31228" s="19"/>
      <c r="Y31228" s="20"/>
    </row>
    <row r="31229" spans="24:25">
      <c r="X31229" s="19"/>
      <c r="Y31229" s="20"/>
    </row>
    <row r="31230" spans="24:25">
      <c r="X31230" s="19"/>
      <c r="Y31230" s="20"/>
    </row>
    <row r="31231" spans="24:25">
      <c r="X31231" s="19"/>
      <c r="Y31231" s="20"/>
    </row>
    <row r="31232" spans="24:25">
      <c r="X31232" s="19"/>
      <c r="Y31232" s="20"/>
    </row>
    <row r="31233" spans="24:25">
      <c r="X31233" s="19"/>
      <c r="Y31233" s="20"/>
    </row>
    <row r="31234" spans="24:25">
      <c r="X31234" s="19"/>
      <c r="Y31234" s="20"/>
    </row>
    <row r="31235" spans="24:25">
      <c r="X31235" s="19"/>
      <c r="Y31235" s="20"/>
    </row>
    <row r="31236" spans="24:25">
      <c r="X31236" s="19"/>
      <c r="Y31236" s="20"/>
    </row>
    <row r="31237" spans="24:25">
      <c r="X31237" s="19"/>
      <c r="Y31237" s="20"/>
    </row>
    <row r="31238" spans="24:25">
      <c r="X31238" s="19"/>
      <c r="Y31238" s="20"/>
    </row>
    <row r="31239" spans="24:25">
      <c r="X31239" s="19"/>
      <c r="Y31239" s="20"/>
    </row>
    <row r="31240" spans="24:25">
      <c r="X31240" s="19"/>
      <c r="Y31240" s="20"/>
    </row>
    <row r="31241" spans="24:25">
      <c r="X31241" s="19"/>
      <c r="Y31241" s="20"/>
    </row>
    <row r="31242" spans="24:25">
      <c r="X31242" s="19"/>
      <c r="Y31242" s="20"/>
    </row>
    <row r="31243" spans="24:25">
      <c r="X31243" s="19"/>
      <c r="Y31243" s="20"/>
    </row>
    <row r="31244" spans="24:25">
      <c r="X31244" s="19"/>
      <c r="Y31244" s="20"/>
    </row>
    <row r="31245" spans="24:25">
      <c r="X31245" s="19"/>
      <c r="Y31245" s="20"/>
    </row>
    <row r="31246" spans="24:25">
      <c r="X31246" s="19"/>
      <c r="Y31246" s="20"/>
    </row>
    <row r="31247" spans="24:25">
      <c r="X31247" s="19"/>
      <c r="Y31247" s="20"/>
    </row>
    <row r="31248" spans="24:25">
      <c r="X31248" s="19"/>
      <c r="Y31248" s="20"/>
    </row>
    <row r="31249" spans="24:25">
      <c r="X31249" s="19"/>
      <c r="Y31249" s="20"/>
    </row>
    <row r="31250" spans="24:25">
      <c r="X31250" s="19"/>
      <c r="Y31250" s="20"/>
    </row>
    <row r="31251" spans="24:25">
      <c r="X31251" s="19"/>
      <c r="Y31251" s="20"/>
    </row>
    <row r="31252" spans="24:25">
      <c r="X31252" s="19"/>
      <c r="Y31252" s="20"/>
    </row>
    <row r="31253" spans="24:25">
      <c r="X31253" s="19"/>
      <c r="Y31253" s="20"/>
    </row>
    <row r="31254" spans="24:25">
      <c r="X31254" s="19"/>
      <c r="Y31254" s="20"/>
    </row>
    <row r="31255" spans="24:25">
      <c r="X31255" s="19"/>
      <c r="Y31255" s="20"/>
    </row>
    <row r="31256" spans="24:25">
      <c r="X31256" s="19"/>
      <c r="Y31256" s="20"/>
    </row>
    <row r="31257" spans="24:25">
      <c r="X31257" s="19"/>
      <c r="Y31257" s="20"/>
    </row>
    <row r="31258" spans="24:25">
      <c r="X31258" s="19"/>
      <c r="Y31258" s="20"/>
    </row>
    <row r="31259" spans="24:25">
      <c r="X31259" s="19"/>
      <c r="Y31259" s="20"/>
    </row>
    <row r="31260" spans="24:25">
      <c r="X31260" s="19"/>
      <c r="Y31260" s="20"/>
    </row>
    <row r="31261" spans="24:25">
      <c r="X31261" s="19"/>
      <c r="Y31261" s="20"/>
    </row>
    <row r="31262" spans="24:25">
      <c r="X31262" s="19"/>
      <c r="Y31262" s="20"/>
    </row>
    <row r="31263" spans="24:25">
      <c r="X31263" s="19"/>
      <c r="Y31263" s="20"/>
    </row>
    <row r="31264" spans="24:25">
      <c r="X31264" s="19"/>
      <c r="Y31264" s="20"/>
    </row>
    <row r="31265" spans="24:25">
      <c r="X31265" s="19"/>
      <c r="Y31265" s="20"/>
    </row>
    <row r="31266" spans="24:25">
      <c r="X31266" s="19"/>
      <c r="Y31266" s="20"/>
    </row>
    <row r="31267" spans="24:25">
      <c r="X31267" s="19"/>
      <c r="Y31267" s="20"/>
    </row>
    <row r="31268" spans="24:25">
      <c r="X31268" s="19"/>
      <c r="Y31268" s="20"/>
    </row>
    <row r="31269" spans="24:25">
      <c r="X31269" s="19"/>
      <c r="Y31269" s="20"/>
    </row>
    <row r="31270" spans="24:25">
      <c r="X31270" s="19"/>
      <c r="Y31270" s="20"/>
    </row>
    <row r="31271" spans="24:25">
      <c r="X31271" s="19"/>
      <c r="Y31271" s="20"/>
    </row>
    <row r="31272" spans="24:25">
      <c r="X31272" s="19"/>
      <c r="Y31272" s="20"/>
    </row>
    <row r="31273" spans="24:25">
      <c r="X31273" s="19"/>
      <c r="Y31273" s="20"/>
    </row>
    <row r="31274" spans="24:25">
      <c r="X31274" s="19"/>
      <c r="Y31274" s="20"/>
    </row>
    <row r="31275" spans="24:25">
      <c r="X31275" s="19"/>
      <c r="Y31275" s="20"/>
    </row>
    <row r="31276" spans="24:25">
      <c r="X31276" s="19"/>
      <c r="Y31276" s="20"/>
    </row>
    <row r="31277" spans="24:25">
      <c r="X31277" s="19"/>
      <c r="Y31277" s="20"/>
    </row>
    <row r="31278" spans="24:25">
      <c r="X31278" s="19"/>
      <c r="Y31278" s="20"/>
    </row>
    <row r="31279" spans="24:25">
      <c r="X31279" s="19"/>
      <c r="Y31279" s="20"/>
    </row>
    <row r="31280" spans="24:25">
      <c r="X31280" s="19"/>
      <c r="Y31280" s="20"/>
    </row>
    <row r="31281" spans="24:25">
      <c r="X31281" s="19"/>
      <c r="Y31281" s="20"/>
    </row>
    <row r="31282" spans="24:25">
      <c r="X31282" s="19"/>
      <c r="Y31282" s="20"/>
    </row>
    <row r="31283" spans="24:25">
      <c r="X31283" s="19"/>
      <c r="Y31283" s="20"/>
    </row>
    <row r="31284" spans="24:25">
      <c r="X31284" s="19"/>
      <c r="Y31284" s="20"/>
    </row>
    <row r="31285" spans="24:25">
      <c r="X31285" s="19"/>
      <c r="Y31285" s="20"/>
    </row>
    <row r="31286" spans="24:25">
      <c r="X31286" s="19"/>
      <c r="Y31286" s="20"/>
    </row>
    <row r="31287" spans="24:25">
      <c r="X31287" s="19"/>
      <c r="Y31287" s="20"/>
    </row>
    <row r="31288" spans="24:25">
      <c r="X31288" s="19"/>
      <c r="Y31288" s="20"/>
    </row>
    <row r="31289" spans="24:25">
      <c r="X31289" s="19"/>
      <c r="Y31289" s="20"/>
    </row>
    <row r="31290" spans="24:25">
      <c r="X31290" s="19"/>
      <c r="Y31290" s="20"/>
    </row>
    <row r="31291" spans="24:25">
      <c r="X31291" s="19"/>
      <c r="Y31291" s="20"/>
    </row>
    <row r="31292" spans="24:25">
      <c r="X31292" s="19"/>
      <c r="Y31292" s="20"/>
    </row>
    <row r="31293" spans="24:25">
      <c r="X31293" s="19"/>
      <c r="Y31293" s="20"/>
    </row>
    <row r="31294" spans="24:25">
      <c r="X31294" s="19"/>
      <c r="Y31294" s="20"/>
    </row>
    <row r="31295" spans="24:25">
      <c r="X31295" s="19"/>
      <c r="Y31295" s="20"/>
    </row>
    <row r="31296" spans="24:25">
      <c r="X31296" s="19"/>
      <c r="Y31296" s="20"/>
    </row>
    <row r="31297" spans="24:25">
      <c r="X31297" s="19"/>
      <c r="Y31297" s="20"/>
    </row>
    <row r="31298" spans="24:25">
      <c r="X31298" s="19"/>
      <c r="Y31298" s="20"/>
    </row>
    <row r="31299" spans="24:25">
      <c r="X31299" s="19"/>
      <c r="Y31299" s="20"/>
    </row>
    <row r="31300" spans="24:25">
      <c r="X31300" s="19"/>
      <c r="Y31300" s="20"/>
    </row>
    <row r="31301" spans="24:25">
      <c r="X31301" s="19"/>
      <c r="Y31301" s="20"/>
    </row>
    <row r="31302" spans="24:25">
      <c r="X31302" s="19"/>
      <c r="Y31302" s="20"/>
    </row>
    <row r="31303" spans="24:25">
      <c r="X31303" s="19"/>
      <c r="Y31303" s="20"/>
    </row>
    <row r="31304" spans="24:25">
      <c r="X31304" s="19"/>
      <c r="Y31304" s="20"/>
    </row>
    <row r="31305" spans="24:25">
      <c r="X31305" s="19"/>
      <c r="Y31305" s="20"/>
    </row>
    <row r="31306" spans="24:25">
      <c r="X31306" s="19"/>
      <c r="Y31306" s="20"/>
    </row>
    <row r="31307" spans="24:25">
      <c r="X31307" s="19"/>
      <c r="Y31307" s="20"/>
    </row>
    <row r="31308" spans="24:25">
      <c r="X31308" s="19"/>
      <c r="Y31308" s="20"/>
    </row>
    <row r="31309" spans="24:25">
      <c r="X31309" s="19"/>
      <c r="Y31309" s="20"/>
    </row>
    <row r="31310" spans="24:25">
      <c r="X31310" s="19"/>
      <c r="Y31310" s="20"/>
    </row>
    <row r="31311" spans="24:25">
      <c r="X31311" s="19"/>
      <c r="Y31311" s="20"/>
    </row>
    <row r="31312" spans="24:25">
      <c r="X31312" s="19"/>
      <c r="Y31312" s="20"/>
    </row>
    <row r="31313" spans="24:25">
      <c r="X31313" s="19"/>
      <c r="Y31313" s="20"/>
    </row>
    <row r="31314" spans="24:25">
      <c r="X31314" s="19"/>
      <c r="Y31314" s="20"/>
    </row>
    <row r="31315" spans="24:25">
      <c r="X31315" s="19"/>
      <c r="Y31315" s="20"/>
    </row>
    <row r="31316" spans="24:25">
      <c r="X31316" s="19"/>
      <c r="Y31316" s="20"/>
    </row>
    <row r="31317" spans="24:25">
      <c r="X31317" s="19"/>
      <c r="Y31317" s="20"/>
    </row>
    <row r="31318" spans="24:25">
      <c r="X31318" s="19"/>
      <c r="Y31318" s="20"/>
    </row>
    <row r="31319" spans="24:25">
      <c r="X31319" s="19"/>
      <c r="Y31319" s="20"/>
    </row>
    <row r="31320" spans="24:25">
      <c r="X31320" s="19"/>
      <c r="Y31320" s="20"/>
    </row>
    <row r="31321" spans="24:25">
      <c r="X31321" s="19"/>
      <c r="Y31321" s="20"/>
    </row>
    <row r="31322" spans="24:25">
      <c r="X31322" s="19"/>
      <c r="Y31322" s="20"/>
    </row>
    <row r="31323" spans="24:25">
      <c r="X31323" s="19"/>
      <c r="Y31323" s="20"/>
    </row>
    <row r="31324" spans="24:25">
      <c r="X31324" s="19"/>
      <c r="Y31324" s="20"/>
    </row>
    <row r="31325" spans="24:25">
      <c r="X31325" s="19"/>
      <c r="Y31325" s="20"/>
    </row>
    <row r="31326" spans="24:25">
      <c r="X31326" s="19"/>
      <c r="Y31326" s="20"/>
    </row>
    <row r="31327" spans="24:25">
      <c r="X31327" s="19"/>
      <c r="Y31327" s="20"/>
    </row>
    <row r="31328" spans="24:25">
      <c r="X31328" s="19"/>
      <c r="Y31328" s="20"/>
    </row>
    <row r="31329" spans="24:25">
      <c r="X31329" s="19"/>
      <c r="Y31329" s="20"/>
    </row>
    <row r="31330" spans="24:25">
      <c r="X31330" s="19"/>
      <c r="Y31330" s="20"/>
    </row>
    <row r="31331" spans="24:25">
      <c r="X31331" s="19"/>
      <c r="Y31331" s="20"/>
    </row>
    <row r="31332" spans="24:25">
      <c r="X31332" s="19"/>
      <c r="Y31332" s="20"/>
    </row>
    <row r="31333" spans="24:25">
      <c r="X31333" s="19"/>
      <c r="Y31333" s="20"/>
    </row>
    <row r="31334" spans="24:25">
      <c r="X31334" s="19"/>
      <c r="Y31334" s="20"/>
    </row>
    <row r="31335" spans="24:25">
      <c r="X31335" s="19"/>
      <c r="Y31335" s="20"/>
    </row>
    <row r="31336" spans="24:25">
      <c r="X31336" s="19"/>
      <c r="Y31336" s="20"/>
    </row>
    <row r="31337" spans="24:25">
      <c r="X31337" s="19"/>
      <c r="Y31337" s="20"/>
    </row>
    <row r="31338" spans="24:25">
      <c r="X31338" s="19"/>
      <c r="Y31338" s="20"/>
    </row>
    <row r="31339" spans="24:25">
      <c r="X31339" s="19"/>
      <c r="Y31339" s="20"/>
    </row>
    <row r="31340" spans="24:25">
      <c r="X31340" s="19"/>
      <c r="Y31340" s="20"/>
    </row>
    <row r="31341" spans="24:25">
      <c r="X31341" s="19"/>
      <c r="Y31341" s="20"/>
    </row>
    <row r="31342" spans="24:25">
      <c r="X31342" s="19"/>
      <c r="Y31342" s="20"/>
    </row>
    <row r="31343" spans="24:25">
      <c r="X31343" s="19"/>
      <c r="Y31343" s="20"/>
    </row>
    <row r="31344" spans="24:25">
      <c r="X31344" s="19"/>
      <c r="Y31344" s="20"/>
    </row>
    <row r="31345" spans="24:25">
      <c r="X31345" s="19"/>
      <c r="Y31345" s="20"/>
    </row>
    <row r="31346" spans="24:25">
      <c r="X31346" s="19"/>
      <c r="Y31346" s="20"/>
    </row>
    <row r="31347" spans="24:25">
      <c r="X31347" s="19"/>
      <c r="Y31347" s="20"/>
    </row>
    <row r="31348" spans="24:25">
      <c r="X31348" s="19"/>
      <c r="Y31348" s="20"/>
    </row>
    <row r="31349" spans="24:25">
      <c r="X31349" s="19"/>
      <c r="Y31349" s="20"/>
    </row>
    <row r="31350" spans="24:25">
      <c r="X31350" s="19"/>
      <c r="Y31350" s="20"/>
    </row>
    <row r="31351" spans="24:25">
      <c r="X31351" s="19"/>
      <c r="Y31351" s="20"/>
    </row>
    <row r="31352" spans="24:25">
      <c r="X31352" s="19"/>
      <c r="Y31352" s="20"/>
    </row>
    <row r="31353" spans="24:25">
      <c r="X31353" s="19"/>
      <c r="Y31353" s="20"/>
    </row>
    <row r="31354" spans="24:25">
      <c r="X31354" s="19"/>
      <c r="Y31354" s="20"/>
    </row>
    <row r="31355" spans="24:25">
      <c r="X31355" s="19"/>
      <c r="Y31355" s="20"/>
    </row>
    <row r="31356" spans="24:25">
      <c r="X31356" s="19"/>
      <c r="Y31356" s="20"/>
    </row>
    <row r="31357" spans="24:25">
      <c r="X31357" s="19"/>
      <c r="Y31357" s="20"/>
    </row>
    <row r="31358" spans="24:25">
      <c r="X31358" s="19"/>
      <c r="Y31358" s="20"/>
    </row>
    <row r="31359" spans="24:25">
      <c r="X31359" s="19"/>
      <c r="Y31359" s="20"/>
    </row>
    <row r="31360" spans="24:25">
      <c r="X31360" s="19"/>
      <c r="Y31360" s="20"/>
    </row>
    <row r="31361" spans="24:25">
      <c r="X31361" s="19"/>
      <c r="Y31361" s="20"/>
    </row>
    <row r="31362" spans="24:25">
      <c r="X31362" s="19"/>
      <c r="Y31362" s="20"/>
    </row>
    <row r="31363" spans="24:25">
      <c r="X31363" s="19"/>
      <c r="Y31363" s="20"/>
    </row>
    <row r="31364" spans="24:25">
      <c r="X31364" s="19"/>
      <c r="Y31364" s="20"/>
    </row>
    <row r="31365" spans="24:25">
      <c r="X31365" s="19"/>
      <c r="Y31365" s="20"/>
    </row>
    <row r="31366" spans="24:25">
      <c r="X31366" s="19"/>
      <c r="Y31366" s="20"/>
    </row>
    <row r="31367" spans="24:25">
      <c r="X31367" s="19"/>
      <c r="Y31367" s="20"/>
    </row>
    <row r="31368" spans="24:25">
      <c r="X31368" s="19"/>
      <c r="Y31368" s="20"/>
    </row>
    <row r="31369" spans="24:25">
      <c r="X31369" s="19"/>
      <c r="Y31369" s="20"/>
    </row>
    <row r="31370" spans="24:25">
      <c r="X31370" s="19"/>
      <c r="Y31370" s="20"/>
    </row>
    <row r="31371" spans="24:25">
      <c r="X31371" s="19"/>
      <c r="Y31371" s="20"/>
    </row>
    <row r="31372" spans="24:25">
      <c r="X31372" s="19"/>
      <c r="Y31372" s="20"/>
    </row>
    <row r="31373" spans="24:25">
      <c r="X31373" s="19"/>
      <c r="Y31373" s="20"/>
    </row>
    <row r="31374" spans="24:25">
      <c r="X31374" s="19"/>
      <c r="Y31374" s="20"/>
    </row>
    <row r="31375" spans="24:25">
      <c r="X31375" s="19"/>
      <c r="Y31375" s="20"/>
    </row>
    <row r="31376" spans="24:25">
      <c r="X31376" s="19"/>
      <c r="Y31376" s="20"/>
    </row>
    <row r="31377" spans="24:25">
      <c r="X31377" s="19"/>
      <c r="Y31377" s="20"/>
    </row>
    <row r="31378" spans="24:25">
      <c r="X31378" s="19"/>
      <c r="Y31378" s="20"/>
    </row>
    <row r="31379" spans="24:25">
      <c r="X31379" s="19"/>
      <c r="Y31379" s="20"/>
    </row>
    <row r="31380" spans="24:25">
      <c r="X31380" s="19"/>
      <c r="Y31380" s="20"/>
    </row>
    <row r="31381" spans="24:25">
      <c r="X31381" s="19"/>
      <c r="Y31381" s="20"/>
    </row>
    <row r="31382" spans="24:25">
      <c r="X31382" s="19"/>
      <c r="Y31382" s="20"/>
    </row>
    <row r="31383" spans="24:25">
      <c r="X31383" s="19"/>
      <c r="Y31383" s="20"/>
    </row>
    <row r="31384" spans="24:25">
      <c r="X31384" s="19"/>
      <c r="Y31384" s="20"/>
    </row>
    <row r="31385" spans="24:25">
      <c r="X31385" s="19"/>
      <c r="Y31385" s="20"/>
    </row>
    <row r="31386" spans="24:25">
      <c r="X31386" s="19"/>
      <c r="Y31386" s="20"/>
    </row>
    <row r="31387" spans="24:25">
      <c r="X31387" s="19"/>
      <c r="Y31387" s="20"/>
    </row>
    <row r="31388" spans="24:25">
      <c r="X31388" s="19"/>
      <c r="Y31388" s="20"/>
    </row>
    <row r="31389" spans="24:25">
      <c r="X31389" s="19"/>
      <c r="Y31389" s="20"/>
    </row>
    <row r="31390" spans="24:25">
      <c r="X31390" s="19"/>
      <c r="Y31390" s="20"/>
    </row>
    <row r="31391" spans="24:25">
      <c r="X31391" s="19"/>
      <c r="Y31391" s="20"/>
    </row>
    <row r="31392" spans="24:25">
      <c r="X31392" s="19"/>
      <c r="Y31392" s="20"/>
    </row>
    <row r="31393" spans="24:25">
      <c r="X31393" s="19"/>
      <c r="Y31393" s="20"/>
    </row>
    <row r="31394" spans="24:25">
      <c r="X31394" s="19"/>
      <c r="Y31394" s="20"/>
    </row>
    <row r="31395" spans="24:25">
      <c r="X31395" s="19"/>
      <c r="Y31395" s="20"/>
    </row>
    <row r="31396" spans="24:25">
      <c r="X31396" s="19"/>
      <c r="Y31396" s="20"/>
    </row>
    <row r="31397" spans="24:25">
      <c r="X31397" s="19"/>
      <c r="Y31397" s="20"/>
    </row>
    <row r="31398" spans="24:25">
      <c r="X31398" s="19"/>
      <c r="Y31398" s="20"/>
    </row>
    <row r="31399" spans="24:25">
      <c r="X31399" s="19"/>
      <c r="Y31399" s="20"/>
    </row>
    <row r="31400" spans="24:25">
      <c r="X31400" s="19"/>
      <c r="Y31400" s="20"/>
    </row>
    <row r="31401" spans="24:25">
      <c r="X31401" s="19"/>
      <c r="Y31401" s="20"/>
    </row>
    <row r="31402" spans="24:25">
      <c r="X31402" s="19"/>
      <c r="Y31402" s="20"/>
    </row>
    <row r="31403" spans="24:25">
      <c r="X31403" s="19"/>
      <c r="Y31403" s="20"/>
    </row>
    <row r="31404" spans="24:25">
      <c r="X31404" s="19"/>
      <c r="Y31404" s="20"/>
    </row>
    <row r="31405" spans="24:25">
      <c r="X31405" s="19"/>
      <c r="Y31405" s="20"/>
    </row>
    <row r="31406" spans="24:25">
      <c r="X31406" s="19"/>
      <c r="Y31406" s="20"/>
    </row>
    <row r="31407" spans="24:25">
      <c r="X31407" s="19"/>
      <c r="Y31407" s="20"/>
    </row>
    <row r="31408" spans="24:25">
      <c r="X31408" s="19"/>
      <c r="Y31408" s="20"/>
    </row>
    <row r="31409" spans="24:25">
      <c r="X31409" s="19"/>
      <c r="Y31409" s="20"/>
    </row>
    <row r="31410" spans="24:25">
      <c r="X31410" s="19"/>
      <c r="Y31410" s="20"/>
    </row>
    <row r="31411" spans="24:25">
      <c r="X31411" s="19"/>
      <c r="Y31411" s="20"/>
    </row>
    <row r="31412" spans="24:25">
      <c r="X31412" s="19"/>
      <c r="Y31412" s="20"/>
    </row>
    <row r="31413" spans="24:25">
      <c r="X31413" s="19"/>
      <c r="Y31413" s="20"/>
    </row>
    <row r="31414" spans="24:25">
      <c r="X31414" s="19"/>
      <c r="Y31414" s="20"/>
    </row>
    <row r="31415" spans="24:25">
      <c r="X31415" s="19"/>
      <c r="Y31415" s="20"/>
    </row>
    <row r="31416" spans="24:25">
      <c r="X31416" s="19"/>
      <c r="Y31416" s="20"/>
    </row>
    <row r="31417" spans="24:25">
      <c r="X31417" s="19"/>
      <c r="Y31417" s="20"/>
    </row>
    <row r="31418" spans="24:25">
      <c r="X31418" s="19"/>
      <c r="Y31418" s="20"/>
    </row>
    <row r="31419" spans="24:25">
      <c r="X31419" s="19"/>
      <c r="Y31419" s="20"/>
    </row>
    <row r="31420" spans="24:25">
      <c r="X31420" s="19"/>
      <c r="Y31420" s="20"/>
    </row>
    <row r="31421" spans="24:25">
      <c r="X31421" s="19"/>
      <c r="Y31421" s="20"/>
    </row>
    <row r="31422" spans="24:25">
      <c r="X31422" s="19"/>
      <c r="Y31422" s="20"/>
    </row>
    <row r="31423" spans="24:25">
      <c r="X31423" s="19"/>
      <c r="Y31423" s="20"/>
    </row>
    <row r="31424" spans="24:25">
      <c r="X31424" s="19"/>
      <c r="Y31424" s="20"/>
    </row>
    <row r="31425" spans="24:25">
      <c r="X31425" s="19"/>
      <c r="Y31425" s="20"/>
    </row>
    <row r="31426" spans="24:25">
      <c r="X31426" s="19"/>
      <c r="Y31426" s="20"/>
    </row>
    <row r="31427" spans="24:25">
      <c r="X31427" s="19"/>
      <c r="Y31427" s="20"/>
    </row>
    <row r="31428" spans="24:25">
      <c r="X31428" s="19"/>
      <c r="Y31428" s="20"/>
    </row>
    <row r="31429" spans="24:25">
      <c r="X31429" s="19"/>
      <c r="Y31429" s="20"/>
    </row>
    <row r="31430" spans="24:25">
      <c r="X31430" s="19"/>
      <c r="Y31430" s="20"/>
    </row>
    <row r="31431" spans="24:25">
      <c r="X31431" s="19"/>
      <c r="Y31431" s="20"/>
    </row>
    <row r="31432" spans="24:25">
      <c r="X31432" s="19"/>
      <c r="Y31432" s="20"/>
    </row>
    <row r="31433" spans="24:25">
      <c r="X31433" s="19"/>
      <c r="Y31433" s="20"/>
    </row>
    <row r="31434" spans="24:25">
      <c r="X31434" s="19"/>
      <c r="Y31434" s="20"/>
    </row>
    <row r="31435" spans="24:25">
      <c r="X31435" s="19"/>
      <c r="Y31435" s="20"/>
    </row>
    <row r="31436" spans="24:25">
      <c r="X31436" s="19"/>
      <c r="Y31436" s="20"/>
    </row>
    <row r="31437" spans="24:25">
      <c r="X31437" s="19"/>
      <c r="Y31437" s="20"/>
    </row>
    <row r="31438" spans="24:25">
      <c r="X31438" s="19"/>
      <c r="Y31438" s="20"/>
    </row>
    <row r="31439" spans="24:25">
      <c r="X31439" s="19"/>
      <c r="Y31439" s="20"/>
    </row>
    <row r="31440" spans="24:25">
      <c r="X31440" s="19"/>
      <c r="Y31440" s="20"/>
    </row>
    <row r="31441" spans="24:25">
      <c r="X31441" s="19"/>
      <c r="Y31441" s="20"/>
    </row>
    <row r="31442" spans="24:25">
      <c r="X31442" s="19"/>
      <c r="Y31442" s="20"/>
    </row>
    <row r="31443" spans="24:25">
      <c r="X31443" s="19"/>
      <c r="Y31443" s="20"/>
    </row>
    <row r="31444" spans="24:25">
      <c r="X31444" s="19"/>
      <c r="Y31444" s="20"/>
    </row>
    <row r="31445" spans="24:25">
      <c r="X31445" s="19"/>
      <c r="Y31445" s="20"/>
    </row>
    <row r="31446" spans="24:25">
      <c r="X31446" s="19"/>
      <c r="Y31446" s="20"/>
    </row>
    <row r="31447" spans="24:25">
      <c r="X31447" s="19"/>
      <c r="Y31447" s="20"/>
    </row>
    <row r="31448" spans="24:25">
      <c r="X31448" s="19"/>
      <c r="Y31448" s="20"/>
    </row>
    <row r="31449" spans="24:25">
      <c r="X31449" s="19"/>
      <c r="Y31449" s="20"/>
    </row>
    <row r="31450" spans="24:25">
      <c r="X31450" s="19"/>
      <c r="Y31450" s="20"/>
    </row>
    <row r="31451" spans="24:25">
      <c r="X31451" s="19"/>
      <c r="Y31451" s="20"/>
    </row>
    <row r="31452" spans="24:25">
      <c r="X31452" s="19"/>
      <c r="Y31452" s="20"/>
    </row>
    <row r="31453" spans="24:25">
      <c r="X31453" s="19"/>
      <c r="Y31453" s="20"/>
    </row>
    <row r="31454" spans="24:25">
      <c r="X31454" s="19"/>
      <c r="Y31454" s="20"/>
    </row>
    <row r="31455" spans="24:25">
      <c r="X31455" s="19"/>
      <c r="Y31455" s="20"/>
    </row>
    <row r="31456" spans="24:25">
      <c r="X31456" s="19"/>
      <c r="Y31456" s="20"/>
    </row>
    <row r="31457" spans="24:25">
      <c r="X31457" s="19"/>
      <c r="Y31457" s="20"/>
    </row>
    <row r="31458" spans="24:25">
      <c r="X31458" s="19"/>
      <c r="Y31458" s="20"/>
    </row>
    <row r="31459" spans="24:25">
      <c r="X31459" s="19"/>
      <c r="Y31459" s="20"/>
    </row>
    <row r="31460" spans="24:25">
      <c r="X31460" s="19"/>
      <c r="Y31460" s="20"/>
    </row>
    <row r="31461" spans="24:25">
      <c r="X31461" s="19"/>
      <c r="Y31461" s="20"/>
    </row>
    <row r="31462" spans="24:25">
      <c r="X31462" s="19"/>
      <c r="Y31462" s="20"/>
    </row>
    <row r="31463" spans="24:25">
      <c r="X31463" s="19"/>
      <c r="Y31463" s="20"/>
    </row>
    <row r="31464" spans="24:25">
      <c r="X31464" s="19"/>
      <c r="Y31464" s="20"/>
    </row>
    <row r="31465" spans="24:25">
      <c r="X31465" s="19"/>
      <c r="Y31465" s="20"/>
    </row>
    <row r="31466" spans="24:25">
      <c r="X31466" s="19"/>
      <c r="Y31466" s="20"/>
    </row>
    <row r="31467" spans="24:25">
      <c r="X31467" s="19"/>
      <c r="Y31467" s="20"/>
    </row>
    <row r="31468" spans="24:25">
      <c r="X31468" s="19"/>
      <c r="Y31468" s="20"/>
    </row>
    <row r="31469" spans="24:25">
      <c r="X31469" s="19"/>
      <c r="Y31469" s="20"/>
    </row>
    <row r="31470" spans="24:25">
      <c r="X31470" s="19"/>
      <c r="Y31470" s="20"/>
    </row>
    <row r="31471" spans="24:25">
      <c r="X31471" s="19"/>
      <c r="Y31471" s="20"/>
    </row>
    <row r="31472" spans="24:25">
      <c r="X31472" s="19"/>
      <c r="Y31472" s="20"/>
    </row>
    <row r="31473" spans="24:25">
      <c r="X31473" s="19"/>
      <c r="Y31473" s="20"/>
    </row>
    <row r="31474" spans="24:25">
      <c r="X31474" s="19"/>
      <c r="Y31474" s="20"/>
    </row>
    <row r="31475" spans="24:25">
      <c r="X31475" s="19"/>
      <c r="Y31475" s="20"/>
    </row>
    <row r="31476" spans="24:25">
      <c r="X31476" s="19"/>
      <c r="Y31476" s="20"/>
    </row>
    <row r="31477" spans="24:25">
      <c r="X31477" s="19"/>
      <c r="Y31477" s="20"/>
    </row>
    <row r="31478" spans="24:25">
      <c r="X31478" s="19"/>
      <c r="Y31478" s="20"/>
    </row>
    <row r="31479" spans="24:25">
      <c r="X31479" s="19"/>
      <c r="Y31479" s="20"/>
    </row>
    <row r="31480" spans="24:25">
      <c r="X31480" s="19"/>
      <c r="Y31480" s="20"/>
    </row>
    <row r="31481" spans="24:25">
      <c r="X31481" s="19"/>
      <c r="Y31481" s="20"/>
    </row>
    <row r="31482" spans="24:25">
      <c r="X31482" s="19"/>
      <c r="Y31482" s="20"/>
    </row>
    <row r="31483" spans="24:25">
      <c r="X31483" s="19"/>
      <c r="Y31483" s="20"/>
    </row>
    <row r="31484" spans="24:25">
      <c r="X31484" s="19"/>
      <c r="Y31484" s="20"/>
    </row>
    <row r="31485" spans="24:25">
      <c r="X31485" s="19"/>
      <c r="Y31485" s="20"/>
    </row>
    <row r="31486" spans="24:25">
      <c r="X31486" s="19"/>
      <c r="Y31486" s="20"/>
    </row>
    <row r="31487" spans="24:25">
      <c r="X31487" s="19"/>
      <c r="Y31487" s="20"/>
    </row>
    <row r="31488" spans="24:25">
      <c r="X31488" s="19"/>
      <c r="Y31488" s="20"/>
    </row>
    <row r="31489" spans="24:25">
      <c r="X31489" s="19"/>
      <c r="Y31489" s="20"/>
    </row>
    <row r="31490" spans="24:25">
      <c r="X31490" s="19"/>
      <c r="Y31490" s="20"/>
    </row>
    <row r="31491" spans="24:25">
      <c r="X31491" s="19"/>
      <c r="Y31491" s="20"/>
    </row>
    <row r="31492" spans="24:25">
      <c r="X31492" s="19"/>
      <c r="Y31492" s="20"/>
    </row>
    <row r="31493" spans="24:25">
      <c r="X31493" s="19"/>
      <c r="Y31493" s="20"/>
    </row>
    <row r="31494" spans="24:25">
      <c r="X31494" s="19"/>
      <c r="Y31494" s="20"/>
    </row>
    <row r="31495" spans="24:25">
      <c r="X31495" s="19"/>
      <c r="Y31495" s="20"/>
    </row>
    <row r="31496" spans="24:25">
      <c r="X31496" s="19"/>
      <c r="Y31496" s="20"/>
    </row>
    <row r="31497" spans="24:25">
      <c r="X31497" s="19"/>
      <c r="Y31497" s="20"/>
    </row>
    <row r="31498" spans="24:25">
      <c r="X31498" s="19"/>
      <c r="Y31498" s="20"/>
    </row>
    <row r="31499" spans="24:25">
      <c r="X31499" s="19"/>
      <c r="Y31499" s="20"/>
    </row>
    <row r="31500" spans="24:25">
      <c r="X31500" s="19"/>
      <c r="Y31500" s="20"/>
    </row>
    <row r="31501" spans="24:25">
      <c r="X31501" s="19"/>
      <c r="Y31501" s="20"/>
    </row>
    <row r="31502" spans="24:25">
      <c r="X31502" s="19"/>
      <c r="Y31502" s="20"/>
    </row>
    <row r="31503" spans="24:25">
      <c r="X31503" s="19"/>
      <c r="Y31503" s="20"/>
    </row>
    <row r="31504" spans="24:25">
      <c r="X31504" s="19"/>
      <c r="Y31504" s="20"/>
    </row>
    <row r="31505" spans="24:25">
      <c r="X31505" s="19"/>
      <c r="Y31505" s="20"/>
    </row>
    <row r="31506" spans="24:25">
      <c r="X31506" s="19"/>
      <c r="Y31506" s="20"/>
    </row>
    <row r="31507" spans="24:25">
      <c r="X31507" s="19"/>
      <c r="Y31507" s="20"/>
    </row>
    <row r="31508" spans="24:25">
      <c r="X31508" s="19"/>
      <c r="Y31508" s="20"/>
    </row>
    <row r="31509" spans="24:25">
      <c r="X31509" s="19"/>
      <c r="Y31509" s="20"/>
    </row>
    <row r="31510" spans="24:25">
      <c r="X31510" s="19"/>
      <c r="Y31510" s="20"/>
    </row>
    <row r="31511" spans="24:25">
      <c r="X31511" s="19"/>
      <c r="Y31511" s="20"/>
    </row>
    <row r="31512" spans="24:25">
      <c r="X31512" s="19"/>
      <c r="Y31512" s="20"/>
    </row>
    <row r="31513" spans="24:25">
      <c r="X31513" s="19"/>
      <c r="Y31513" s="20"/>
    </row>
    <row r="31514" spans="24:25">
      <c r="X31514" s="19"/>
      <c r="Y31514" s="20"/>
    </row>
    <row r="31515" spans="24:25">
      <c r="X31515" s="19"/>
      <c r="Y31515" s="20"/>
    </row>
    <row r="31516" spans="24:25">
      <c r="X31516" s="19"/>
      <c r="Y31516" s="20"/>
    </row>
    <row r="31517" spans="24:25">
      <c r="X31517" s="19"/>
      <c r="Y31517" s="20"/>
    </row>
    <row r="31518" spans="24:25">
      <c r="X31518" s="19"/>
      <c r="Y31518" s="20"/>
    </row>
    <row r="31519" spans="24:25">
      <c r="X31519" s="19"/>
      <c r="Y31519" s="20"/>
    </row>
    <row r="31520" spans="24:25">
      <c r="X31520" s="19"/>
      <c r="Y31520" s="20"/>
    </row>
    <row r="31521" spans="24:25">
      <c r="X31521" s="19"/>
      <c r="Y31521" s="20"/>
    </row>
    <row r="31522" spans="24:25">
      <c r="X31522" s="19"/>
      <c r="Y31522" s="20"/>
    </row>
    <row r="31523" spans="24:25">
      <c r="X31523" s="19"/>
      <c r="Y31523" s="20"/>
    </row>
    <row r="31524" spans="24:25">
      <c r="X31524" s="19"/>
      <c r="Y31524" s="20"/>
    </row>
    <row r="31525" spans="24:25">
      <c r="X31525" s="19"/>
      <c r="Y31525" s="20"/>
    </row>
    <row r="31526" spans="24:25">
      <c r="X31526" s="19"/>
      <c r="Y31526" s="20"/>
    </row>
    <row r="31527" spans="24:25">
      <c r="X31527" s="19"/>
      <c r="Y31527" s="20"/>
    </row>
    <row r="31528" spans="24:25">
      <c r="X31528" s="19"/>
      <c r="Y31528" s="20"/>
    </row>
    <row r="31529" spans="24:25">
      <c r="X31529" s="19"/>
      <c r="Y31529" s="20"/>
    </row>
    <row r="31530" spans="24:25">
      <c r="X31530" s="19"/>
      <c r="Y31530" s="20"/>
    </row>
    <row r="31531" spans="24:25">
      <c r="X31531" s="19"/>
      <c r="Y31531" s="20"/>
    </row>
    <row r="31532" spans="24:25">
      <c r="X31532" s="19"/>
      <c r="Y31532" s="20"/>
    </row>
    <row r="31533" spans="24:25">
      <c r="X31533" s="19"/>
      <c r="Y31533" s="20"/>
    </row>
    <row r="31534" spans="24:25">
      <c r="X31534" s="19"/>
      <c r="Y31534" s="20"/>
    </row>
    <row r="31535" spans="24:25">
      <c r="X31535" s="19"/>
      <c r="Y31535" s="20"/>
    </row>
    <row r="31536" spans="24:25">
      <c r="X31536" s="19"/>
      <c r="Y31536" s="20"/>
    </row>
    <row r="31537" spans="24:25">
      <c r="X31537" s="19"/>
      <c r="Y31537" s="20"/>
    </row>
    <row r="31538" spans="24:25">
      <c r="X31538" s="19"/>
      <c r="Y31538" s="20"/>
    </row>
    <row r="31539" spans="24:25">
      <c r="X31539" s="19"/>
      <c r="Y31539" s="20"/>
    </row>
    <row r="31540" spans="24:25">
      <c r="X31540" s="19"/>
      <c r="Y31540" s="20"/>
    </row>
    <row r="31541" spans="24:25">
      <c r="X31541" s="19"/>
      <c r="Y31541" s="20"/>
    </row>
    <row r="31542" spans="24:25">
      <c r="X31542" s="19"/>
      <c r="Y31542" s="20"/>
    </row>
    <row r="31543" spans="24:25">
      <c r="X31543" s="19"/>
      <c r="Y31543" s="20"/>
    </row>
    <row r="31544" spans="24:25">
      <c r="X31544" s="19"/>
      <c r="Y31544" s="20"/>
    </row>
    <row r="31545" spans="24:25">
      <c r="X31545" s="19"/>
      <c r="Y31545" s="20"/>
    </row>
    <row r="31546" spans="24:25">
      <c r="X31546" s="19"/>
      <c r="Y31546" s="20"/>
    </row>
    <row r="31547" spans="24:25">
      <c r="X31547" s="19"/>
      <c r="Y31547" s="20"/>
    </row>
    <row r="31548" spans="24:25">
      <c r="X31548" s="19"/>
      <c r="Y31548" s="20"/>
    </row>
    <row r="31549" spans="24:25">
      <c r="X31549" s="19"/>
      <c r="Y31549" s="20"/>
    </row>
    <row r="31550" spans="24:25">
      <c r="X31550" s="19"/>
      <c r="Y31550" s="20"/>
    </row>
    <row r="31551" spans="24:25">
      <c r="X31551" s="19"/>
      <c r="Y31551" s="20"/>
    </row>
    <row r="31552" spans="24:25">
      <c r="X31552" s="19"/>
      <c r="Y31552" s="20"/>
    </row>
    <row r="31553" spans="24:25">
      <c r="X31553" s="19"/>
      <c r="Y31553" s="20"/>
    </row>
    <row r="31554" spans="24:25">
      <c r="X31554" s="19"/>
      <c r="Y31554" s="20"/>
    </row>
    <row r="31555" spans="24:25">
      <c r="X31555" s="19"/>
      <c r="Y31555" s="20"/>
    </row>
    <row r="31556" spans="24:25">
      <c r="X31556" s="19"/>
      <c r="Y31556" s="20"/>
    </row>
    <row r="31557" spans="24:25">
      <c r="X31557" s="19"/>
      <c r="Y31557" s="20"/>
    </row>
    <row r="31558" spans="24:25">
      <c r="X31558" s="19"/>
      <c r="Y31558" s="20"/>
    </row>
    <row r="31559" spans="24:25">
      <c r="X31559" s="19"/>
      <c r="Y31559" s="20"/>
    </row>
    <row r="31560" spans="24:25">
      <c r="X31560" s="19"/>
      <c r="Y31560" s="20"/>
    </row>
    <row r="31561" spans="24:25">
      <c r="X31561" s="19"/>
      <c r="Y31561" s="20"/>
    </row>
    <row r="31562" spans="24:25">
      <c r="X31562" s="19"/>
      <c r="Y31562" s="20"/>
    </row>
    <row r="31563" spans="24:25">
      <c r="X31563" s="19"/>
      <c r="Y31563" s="20"/>
    </row>
    <row r="31564" spans="24:25">
      <c r="X31564" s="19"/>
      <c r="Y31564" s="20"/>
    </row>
    <row r="31565" spans="24:25">
      <c r="X31565" s="19"/>
      <c r="Y31565" s="20"/>
    </row>
    <row r="31566" spans="24:25">
      <c r="X31566" s="19"/>
      <c r="Y31566" s="20"/>
    </row>
    <row r="31567" spans="24:25">
      <c r="X31567" s="19"/>
      <c r="Y31567" s="20"/>
    </row>
    <row r="31568" spans="24:25">
      <c r="X31568" s="19"/>
      <c r="Y31568" s="20"/>
    </row>
    <row r="31569" spans="24:25">
      <c r="X31569" s="19"/>
      <c r="Y31569" s="20"/>
    </row>
    <row r="31570" spans="24:25">
      <c r="X31570" s="19"/>
      <c r="Y31570" s="20"/>
    </row>
    <row r="31571" spans="24:25">
      <c r="X31571" s="19"/>
      <c r="Y31571" s="20"/>
    </row>
    <row r="31572" spans="24:25">
      <c r="X31572" s="19"/>
      <c r="Y31572" s="20"/>
    </row>
    <row r="31573" spans="24:25">
      <c r="X31573" s="19"/>
      <c r="Y31573" s="20"/>
    </row>
    <row r="31574" spans="24:25">
      <c r="X31574" s="19"/>
      <c r="Y31574" s="20"/>
    </row>
    <row r="31575" spans="24:25">
      <c r="X31575" s="19"/>
      <c r="Y31575" s="20"/>
    </row>
    <row r="31576" spans="24:25">
      <c r="X31576" s="19"/>
      <c r="Y31576" s="20"/>
    </row>
    <row r="31577" spans="24:25">
      <c r="X31577" s="19"/>
      <c r="Y31577" s="20"/>
    </row>
    <row r="31578" spans="24:25">
      <c r="X31578" s="19"/>
      <c r="Y31578" s="20"/>
    </row>
    <row r="31579" spans="24:25">
      <c r="X31579" s="19"/>
      <c r="Y31579" s="20"/>
    </row>
    <row r="31580" spans="24:25">
      <c r="X31580" s="19"/>
      <c r="Y31580" s="20"/>
    </row>
    <row r="31581" spans="24:25">
      <c r="X31581" s="19"/>
      <c r="Y31581" s="20"/>
    </row>
    <row r="31582" spans="24:25">
      <c r="X31582" s="19"/>
      <c r="Y31582" s="20"/>
    </row>
    <row r="31583" spans="24:25">
      <c r="X31583" s="19"/>
      <c r="Y31583" s="20"/>
    </row>
    <row r="31584" spans="24:25">
      <c r="X31584" s="19"/>
      <c r="Y31584" s="20"/>
    </row>
    <row r="31585" spans="24:25">
      <c r="X31585" s="19"/>
      <c r="Y31585" s="20"/>
    </row>
    <row r="31586" spans="24:25">
      <c r="X31586" s="19"/>
      <c r="Y31586" s="20"/>
    </row>
    <row r="31587" spans="24:25">
      <c r="X31587" s="19"/>
      <c r="Y31587" s="20"/>
    </row>
    <row r="31588" spans="24:25">
      <c r="X31588" s="19"/>
      <c r="Y31588" s="20"/>
    </row>
    <row r="31589" spans="24:25">
      <c r="X31589" s="19"/>
      <c r="Y31589" s="20"/>
    </row>
    <row r="31590" spans="24:25">
      <c r="X31590" s="19"/>
      <c r="Y31590" s="20"/>
    </row>
    <row r="31591" spans="24:25">
      <c r="X31591" s="19"/>
      <c r="Y31591" s="20"/>
    </row>
    <row r="31592" spans="24:25">
      <c r="X31592" s="19"/>
      <c r="Y31592" s="20"/>
    </row>
    <row r="31593" spans="24:25">
      <c r="X31593" s="19"/>
      <c r="Y31593" s="20"/>
    </row>
    <row r="31594" spans="24:25">
      <c r="X31594" s="19"/>
      <c r="Y31594" s="20"/>
    </row>
    <row r="31595" spans="24:25">
      <c r="X31595" s="19"/>
      <c r="Y31595" s="20"/>
    </row>
    <row r="31596" spans="24:25">
      <c r="X31596" s="19"/>
      <c r="Y31596" s="20"/>
    </row>
    <row r="31597" spans="24:25">
      <c r="X31597" s="19"/>
      <c r="Y31597" s="20"/>
    </row>
    <row r="31598" spans="24:25">
      <c r="X31598" s="19"/>
      <c r="Y31598" s="20"/>
    </row>
    <row r="31599" spans="24:25">
      <c r="X31599" s="19"/>
      <c r="Y31599" s="20"/>
    </row>
    <row r="31600" spans="24:25">
      <c r="X31600" s="19"/>
      <c r="Y31600" s="20"/>
    </row>
    <row r="31601" spans="24:25">
      <c r="X31601" s="19"/>
      <c r="Y31601" s="20"/>
    </row>
    <row r="31602" spans="24:25">
      <c r="X31602" s="19"/>
      <c r="Y31602" s="20"/>
    </row>
    <row r="31603" spans="24:25">
      <c r="X31603" s="19"/>
      <c r="Y31603" s="20"/>
    </row>
    <row r="31604" spans="24:25">
      <c r="X31604" s="19"/>
      <c r="Y31604" s="20"/>
    </row>
    <row r="31605" spans="24:25">
      <c r="X31605" s="19"/>
      <c r="Y31605" s="20"/>
    </row>
    <row r="31606" spans="24:25">
      <c r="X31606" s="19"/>
      <c r="Y31606" s="20"/>
    </row>
    <row r="31607" spans="24:25">
      <c r="X31607" s="19"/>
      <c r="Y31607" s="20"/>
    </row>
    <row r="31608" spans="24:25">
      <c r="X31608" s="19"/>
      <c r="Y31608" s="20"/>
    </row>
    <row r="31609" spans="24:25">
      <c r="X31609" s="19"/>
      <c r="Y31609" s="20"/>
    </row>
    <row r="31610" spans="24:25">
      <c r="X31610" s="19"/>
      <c r="Y31610" s="20"/>
    </row>
    <row r="31611" spans="24:25">
      <c r="X31611" s="19"/>
      <c r="Y31611" s="20"/>
    </row>
    <row r="31612" spans="24:25">
      <c r="X31612" s="19"/>
      <c r="Y31612" s="20"/>
    </row>
    <row r="31613" spans="24:25">
      <c r="X31613" s="19"/>
      <c r="Y31613" s="20"/>
    </row>
    <row r="31614" spans="24:25">
      <c r="X31614" s="19"/>
      <c r="Y31614" s="20"/>
    </row>
    <row r="31615" spans="24:25">
      <c r="X31615" s="19"/>
      <c r="Y31615" s="20"/>
    </row>
    <row r="31616" spans="24:25">
      <c r="X31616" s="19"/>
      <c r="Y31616" s="20"/>
    </row>
    <row r="31617" spans="24:25">
      <c r="X31617" s="19"/>
      <c r="Y31617" s="20"/>
    </row>
    <row r="31618" spans="24:25">
      <c r="X31618" s="19"/>
      <c r="Y31618" s="20"/>
    </row>
    <row r="31619" spans="24:25">
      <c r="X31619" s="19"/>
      <c r="Y31619" s="20"/>
    </row>
    <row r="31620" spans="24:25">
      <c r="X31620" s="19"/>
      <c r="Y31620" s="20"/>
    </row>
    <row r="31621" spans="24:25">
      <c r="X31621" s="19"/>
      <c r="Y31621" s="20"/>
    </row>
    <row r="31622" spans="24:25">
      <c r="X31622" s="19"/>
      <c r="Y31622" s="20"/>
    </row>
    <row r="31623" spans="24:25">
      <c r="X31623" s="19"/>
      <c r="Y31623" s="20"/>
    </row>
    <row r="31624" spans="24:25">
      <c r="X31624" s="19"/>
      <c r="Y31624" s="20"/>
    </row>
    <row r="31625" spans="24:25">
      <c r="X31625" s="19"/>
      <c r="Y31625" s="20"/>
    </row>
    <row r="31626" spans="24:25">
      <c r="X31626" s="19"/>
      <c r="Y31626" s="20"/>
    </row>
    <row r="31627" spans="24:25">
      <c r="X31627" s="19"/>
      <c r="Y31627" s="20"/>
    </row>
    <row r="31628" spans="24:25">
      <c r="X31628" s="19"/>
      <c r="Y31628" s="20"/>
    </row>
    <row r="31629" spans="24:25">
      <c r="X31629" s="19"/>
      <c r="Y31629" s="20"/>
    </row>
    <row r="31630" spans="24:25">
      <c r="X31630" s="19"/>
      <c r="Y31630" s="20"/>
    </row>
    <row r="31631" spans="24:25">
      <c r="X31631" s="19"/>
      <c r="Y31631" s="20"/>
    </row>
    <row r="31632" spans="24:25">
      <c r="X31632" s="19"/>
      <c r="Y31632" s="20"/>
    </row>
    <row r="31633" spans="24:25">
      <c r="X31633" s="19"/>
      <c r="Y31633" s="20"/>
    </row>
    <row r="31634" spans="24:25">
      <c r="X31634" s="19"/>
      <c r="Y31634" s="20"/>
    </row>
    <row r="31635" spans="24:25">
      <c r="X31635" s="19"/>
      <c r="Y31635" s="20"/>
    </row>
    <row r="31636" spans="24:25">
      <c r="X31636" s="19"/>
      <c r="Y31636" s="20"/>
    </row>
    <row r="31637" spans="24:25">
      <c r="X31637" s="19"/>
      <c r="Y31637" s="20"/>
    </row>
    <row r="31638" spans="24:25">
      <c r="X31638" s="19"/>
      <c r="Y31638" s="20"/>
    </row>
    <row r="31639" spans="24:25">
      <c r="X31639" s="19"/>
      <c r="Y31639" s="20"/>
    </row>
    <row r="31640" spans="24:25">
      <c r="X31640" s="19"/>
      <c r="Y31640" s="20"/>
    </row>
    <row r="31641" spans="24:25">
      <c r="X31641" s="19"/>
      <c r="Y31641" s="20"/>
    </row>
    <row r="31642" spans="24:25">
      <c r="X31642" s="19"/>
      <c r="Y31642" s="20"/>
    </row>
    <row r="31643" spans="24:25">
      <c r="X31643" s="19"/>
      <c r="Y31643" s="20"/>
    </row>
    <row r="31644" spans="24:25">
      <c r="X31644" s="19"/>
      <c r="Y31644" s="20"/>
    </row>
    <row r="31645" spans="24:25">
      <c r="X31645" s="19"/>
      <c r="Y31645" s="20"/>
    </row>
    <row r="31646" spans="24:25">
      <c r="X31646" s="19"/>
      <c r="Y31646" s="20"/>
    </row>
    <row r="31647" spans="24:25">
      <c r="X31647" s="19"/>
      <c r="Y31647" s="20"/>
    </row>
    <row r="31648" spans="24:25">
      <c r="X31648" s="19"/>
      <c r="Y31648" s="20"/>
    </row>
    <row r="31649" spans="24:25">
      <c r="X31649" s="19"/>
      <c r="Y31649" s="20"/>
    </row>
    <row r="31650" spans="24:25">
      <c r="X31650" s="19"/>
      <c r="Y31650" s="20"/>
    </row>
    <row r="31651" spans="24:25">
      <c r="X31651" s="19"/>
      <c r="Y31651" s="20"/>
    </row>
    <row r="31652" spans="24:25">
      <c r="X31652" s="19"/>
      <c r="Y31652" s="20"/>
    </row>
    <row r="31653" spans="24:25">
      <c r="X31653" s="19"/>
      <c r="Y31653" s="20"/>
    </row>
    <row r="31654" spans="24:25">
      <c r="X31654" s="19"/>
      <c r="Y31654" s="20"/>
    </row>
    <row r="31655" spans="24:25">
      <c r="X31655" s="19"/>
      <c r="Y31655" s="20"/>
    </row>
    <row r="31656" spans="24:25">
      <c r="X31656" s="19"/>
      <c r="Y31656" s="20"/>
    </row>
    <row r="31657" spans="24:25">
      <c r="X31657" s="19"/>
      <c r="Y31657" s="20"/>
    </row>
    <row r="31658" spans="24:25">
      <c r="X31658" s="19"/>
      <c r="Y31658" s="20"/>
    </row>
    <row r="31659" spans="24:25">
      <c r="X31659" s="19"/>
      <c r="Y31659" s="20"/>
    </row>
    <row r="31660" spans="24:25">
      <c r="X31660" s="19"/>
      <c r="Y31660" s="20"/>
    </row>
    <row r="31661" spans="24:25">
      <c r="X31661" s="19"/>
      <c r="Y31661" s="20"/>
    </row>
    <row r="31662" spans="24:25">
      <c r="X31662" s="19"/>
      <c r="Y31662" s="20"/>
    </row>
    <row r="31663" spans="24:25">
      <c r="X31663" s="19"/>
      <c r="Y31663" s="20"/>
    </row>
    <row r="31664" spans="24:25">
      <c r="X31664" s="19"/>
      <c r="Y31664" s="20"/>
    </row>
    <row r="31665" spans="24:25">
      <c r="X31665" s="19"/>
      <c r="Y31665" s="20"/>
    </row>
    <row r="31666" spans="24:25">
      <c r="X31666" s="19"/>
      <c r="Y31666" s="20"/>
    </row>
    <row r="31667" spans="24:25">
      <c r="X31667" s="19"/>
      <c r="Y31667" s="20"/>
    </row>
    <row r="31668" spans="24:25">
      <c r="X31668" s="19"/>
      <c r="Y31668" s="20"/>
    </row>
    <row r="31669" spans="24:25">
      <c r="X31669" s="19"/>
      <c r="Y31669" s="20"/>
    </row>
    <row r="31670" spans="24:25">
      <c r="X31670" s="19"/>
      <c r="Y31670" s="20"/>
    </row>
    <row r="31671" spans="24:25">
      <c r="X31671" s="19"/>
      <c r="Y31671" s="20"/>
    </row>
    <row r="31672" spans="24:25">
      <c r="X31672" s="19"/>
      <c r="Y31672" s="20"/>
    </row>
    <row r="31673" spans="24:25">
      <c r="X31673" s="19"/>
      <c r="Y31673" s="20"/>
    </row>
    <row r="31674" spans="24:25">
      <c r="X31674" s="19"/>
      <c r="Y31674" s="20"/>
    </row>
    <row r="31675" spans="24:25">
      <c r="X31675" s="19"/>
      <c r="Y31675" s="20"/>
    </row>
    <row r="31676" spans="24:25">
      <c r="X31676" s="19"/>
      <c r="Y31676" s="20"/>
    </row>
    <row r="31677" spans="24:25">
      <c r="X31677" s="19"/>
      <c r="Y31677" s="20"/>
    </row>
    <row r="31678" spans="24:25">
      <c r="X31678" s="19"/>
      <c r="Y31678" s="20"/>
    </row>
    <row r="31679" spans="24:25">
      <c r="X31679" s="19"/>
      <c r="Y31679" s="20"/>
    </row>
    <row r="31680" spans="24:25">
      <c r="X31680" s="19"/>
      <c r="Y31680" s="20"/>
    </row>
    <row r="31681" spans="24:25">
      <c r="X31681" s="19"/>
      <c r="Y31681" s="20"/>
    </row>
    <row r="31682" spans="24:25">
      <c r="X31682" s="19"/>
      <c r="Y31682" s="20"/>
    </row>
    <row r="31683" spans="24:25">
      <c r="X31683" s="19"/>
      <c r="Y31683" s="20"/>
    </row>
    <row r="31684" spans="24:25">
      <c r="X31684" s="19"/>
      <c r="Y31684" s="20"/>
    </row>
    <row r="31685" spans="24:25">
      <c r="X31685" s="19"/>
      <c r="Y31685" s="20"/>
    </row>
    <row r="31686" spans="24:25">
      <c r="X31686" s="19"/>
      <c r="Y31686" s="20"/>
    </row>
    <row r="31687" spans="24:25">
      <c r="X31687" s="19"/>
      <c r="Y31687" s="20"/>
    </row>
    <row r="31688" spans="24:25">
      <c r="X31688" s="19"/>
      <c r="Y31688" s="20"/>
    </row>
    <row r="31689" spans="24:25">
      <c r="X31689" s="19"/>
      <c r="Y31689" s="20"/>
    </row>
    <row r="31690" spans="24:25">
      <c r="X31690" s="19"/>
      <c r="Y31690" s="20"/>
    </row>
    <row r="31691" spans="24:25">
      <c r="X31691" s="19"/>
      <c r="Y31691" s="20"/>
    </row>
    <row r="31692" spans="24:25">
      <c r="X31692" s="19"/>
      <c r="Y31692" s="20"/>
    </row>
    <row r="31693" spans="24:25">
      <c r="X31693" s="19"/>
      <c r="Y31693" s="20"/>
    </row>
    <row r="31694" spans="24:25">
      <c r="X31694" s="19"/>
      <c r="Y31694" s="20"/>
    </row>
    <row r="31695" spans="24:25">
      <c r="X31695" s="19"/>
      <c r="Y31695" s="20"/>
    </row>
    <row r="31696" spans="24:25">
      <c r="X31696" s="19"/>
      <c r="Y31696" s="20"/>
    </row>
    <row r="31697" spans="24:25">
      <c r="X31697" s="19"/>
      <c r="Y31697" s="20"/>
    </row>
    <row r="31698" spans="24:25">
      <c r="X31698" s="19"/>
      <c r="Y31698" s="20"/>
    </row>
    <row r="31699" spans="24:25">
      <c r="X31699" s="19"/>
      <c r="Y31699" s="20"/>
    </row>
    <row r="31700" spans="24:25">
      <c r="X31700" s="19"/>
      <c r="Y31700" s="20"/>
    </row>
    <row r="31701" spans="24:25">
      <c r="X31701" s="19"/>
      <c r="Y31701" s="20"/>
    </row>
    <row r="31702" spans="24:25">
      <c r="X31702" s="19"/>
      <c r="Y31702" s="20"/>
    </row>
    <row r="31703" spans="24:25">
      <c r="X31703" s="19"/>
      <c r="Y31703" s="20"/>
    </row>
    <row r="31704" spans="24:25">
      <c r="X31704" s="19"/>
      <c r="Y31704" s="20"/>
    </row>
    <row r="31705" spans="24:25">
      <c r="X31705" s="19"/>
      <c r="Y31705" s="20"/>
    </row>
    <row r="31706" spans="24:25">
      <c r="X31706" s="19"/>
      <c r="Y31706" s="20"/>
    </row>
    <row r="31707" spans="24:25">
      <c r="X31707" s="19"/>
      <c r="Y31707" s="20"/>
    </row>
    <row r="31708" spans="24:25">
      <c r="X31708" s="19"/>
      <c r="Y31708" s="20"/>
    </row>
    <row r="31709" spans="24:25">
      <c r="X31709" s="19"/>
      <c r="Y31709" s="20"/>
    </row>
    <row r="31710" spans="24:25">
      <c r="X31710" s="19"/>
      <c r="Y31710" s="20"/>
    </row>
    <row r="31711" spans="24:25">
      <c r="X31711" s="19"/>
      <c r="Y31711" s="20"/>
    </row>
    <row r="31712" spans="24:25">
      <c r="X31712" s="19"/>
      <c r="Y31712" s="20"/>
    </row>
    <row r="31713" spans="24:25">
      <c r="X31713" s="19"/>
      <c r="Y31713" s="20"/>
    </row>
    <row r="31714" spans="24:25">
      <c r="X31714" s="19"/>
      <c r="Y31714" s="20"/>
    </row>
    <row r="31715" spans="24:25">
      <c r="X31715" s="19"/>
      <c r="Y31715" s="20"/>
    </row>
    <row r="31716" spans="24:25">
      <c r="X31716" s="19"/>
      <c r="Y31716" s="20"/>
    </row>
    <row r="31717" spans="24:25">
      <c r="X31717" s="19"/>
      <c r="Y31717" s="20"/>
    </row>
    <row r="31718" spans="24:25">
      <c r="X31718" s="19"/>
      <c r="Y31718" s="20"/>
    </row>
    <row r="31719" spans="24:25">
      <c r="X31719" s="19"/>
      <c r="Y31719" s="20"/>
    </row>
    <row r="31720" spans="24:25">
      <c r="X31720" s="19"/>
      <c r="Y31720" s="20"/>
    </row>
    <row r="31721" spans="24:25">
      <c r="X31721" s="19"/>
      <c r="Y31721" s="20"/>
    </row>
    <row r="31722" spans="24:25">
      <c r="X31722" s="19"/>
      <c r="Y31722" s="20"/>
    </row>
    <row r="31723" spans="24:25">
      <c r="X31723" s="19"/>
      <c r="Y31723" s="20"/>
    </row>
    <row r="31724" spans="24:25">
      <c r="X31724" s="19"/>
      <c r="Y31724" s="20"/>
    </row>
    <row r="31725" spans="24:25">
      <c r="X31725" s="19"/>
      <c r="Y31725" s="20"/>
    </row>
    <row r="31726" spans="24:25">
      <c r="X31726" s="19"/>
      <c r="Y31726" s="20"/>
    </row>
    <row r="31727" spans="24:25">
      <c r="X31727" s="19"/>
      <c r="Y31727" s="20"/>
    </row>
    <row r="31728" spans="24:25">
      <c r="X31728" s="19"/>
      <c r="Y31728" s="20"/>
    </row>
    <row r="31729" spans="24:25">
      <c r="X31729" s="19"/>
      <c r="Y31729" s="20"/>
    </row>
    <row r="31730" spans="24:25">
      <c r="X31730" s="19"/>
      <c r="Y31730" s="20"/>
    </row>
    <row r="31731" spans="24:25">
      <c r="X31731" s="19"/>
      <c r="Y31731" s="20"/>
    </row>
    <row r="31732" spans="24:25">
      <c r="X31732" s="19"/>
      <c r="Y31732" s="20"/>
    </row>
    <row r="31733" spans="24:25">
      <c r="X31733" s="19"/>
      <c r="Y31733" s="20"/>
    </row>
    <row r="31734" spans="24:25">
      <c r="X31734" s="19"/>
      <c r="Y31734" s="20"/>
    </row>
    <row r="31735" spans="24:25">
      <c r="X31735" s="19"/>
      <c r="Y31735" s="20"/>
    </row>
    <row r="31736" spans="24:25">
      <c r="X31736" s="19"/>
      <c r="Y31736" s="20"/>
    </row>
    <row r="31737" spans="24:25">
      <c r="X31737" s="19"/>
      <c r="Y31737" s="20"/>
    </row>
    <row r="31738" spans="24:25">
      <c r="X31738" s="19"/>
      <c r="Y31738" s="20"/>
    </row>
    <row r="31739" spans="24:25">
      <c r="X31739" s="19"/>
      <c r="Y31739" s="20"/>
    </row>
    <row r="31740" spans="24:25">
      <c r="X31740" s="19"/>
      <c r="Y31740" s="20"/>
    </row>
    <row r="31741" spans="24:25">
      <c r="X31741" s="19"/>
      <c r="Y31741" s="20"/>
    </row>
    <row r="31742" spans="24:25">
      <c r="X31742" s="19"/>
      <c r="Y31742" s="20"/>
    </row>
    <row r="31743" spans="24:25">
      <c r="X31743" s="19"/>
      <c r="Y31743" s="20"/>
    </row>
    <row r="31744" spans="24:25">
      <c r="X31744" s="19"/>
      <c r="Y31744" s="20"/>
    </row>
    <row r="31745" spans="24:25">
      <c r="X31745" s="19"/>
      <c r="Y31745" s="20"/>
    </row>
    <row r="31746" spans="24:25">
      <c r="X31746" s="19"/>
      <c r="Y31746" s="20"/>
    </row>
    <row r="31747" spans="24:25">
      <c r="X31747" s="19"/>
      <c r="Y31747" s="20"/>
    </row>
    <row r="31748" spans="24:25">
      <c r="X31748" s="19"/>
      <c r="Y31748" s="20"/>
    </row>
    <row r="31749" spans="24:25">
      <c r="X31749" s="19"/>
      <c r="Y31749" s="20"/>
    </row>
    <row r="31750" spans="24:25">
      <c r="X31750" s="19"/>
      <c r="Y31750" s="20"/>
    </row>
    <row r="31751" spans="24:25">
      <c r="X31751" s="19"/>
      <c r="Y31751" s="20"/>
    </row>
    <row r="31752" spans="24:25">
      <c r="X31752" s="19"/>
      <c r="Y31752" s="20"/>
    </row>
    <row r="31753" spans="24:25">
      <c r="X31753" s="19"/>
      <c r="Y31753" s="20"/>
    </row>
    <row r="31754" spans="24:25">
      <c r="X31754" s="19"/>
      <c r="Y31754" s="20"/>
    </row>
    <row r="31755" spans="24:25">
      <c r="X31755" s="19"/>
      <c r="Y31755" s="20"/>
    </row>
    <row r="31756" spans="24:25">
      <c r="X31756" s="19"/>
      <c r="Y31756" s="20"/>
    </row>
    <row r="31757" spans="24:25">
      <c r="X31757" s="19"/>
      <c r="Y31757" s="20"/>
    </row>
    <row r="31758" spans="24:25">
      <c r="X31758" s="19"/>
      <c r="Y31758" s="20"/>
    </row>
    <row r="31759" spans="24:25">
      <c r="X31759" s="19"/>
      <c r="Y31759" s="20"/>
    </row>
    <row r="31760" spans="24:25">
      <c r="X31760" s="19"/>
      <c r="Y31760" s="20"/>
    </row>
    <row r="31761" spans="24:25">
      <c r="X31761" s="19"/>
      <c r="Y31761" s="20"/>
    </row>
    <row r="31762" spans="24:25">
      <c r="X31762" s="19"/>
      <c r="Y31762" s="20"/>
    </row>
    <row r="31763" spans="24:25">
      <c r="X31763" s="19"/>
      <c r="Y31763" s="20"/>
    </row>
    <row r="31764" spans="24:25">
      <c r="X31764" s="19"/>
      <c r="Y31764" s="20"/>
    </row>
    <row r="31765" spans="24:25">
      <c r="X31765" s="19"/>
      <c r="Y31765" s="20"/>
    </row>
    <row r="31766" spans="24:25">
      <c r="X31766" s="19"/>
      <c r="Y31766" s="20"/>
    </row>
    <row r="31767" spans="24:25">
      <c r="X31767" s="19"/>
      <c r="Y31767" s="20"/>
    </row>
    <row r="31768" spans="24:25">
      <c r="X31768" s="19"/>
      <c r="Y31768" s="20"/>
    </row>
    <row r="31769" spans="24:25">
      <c r="X31769" s="19"/>
      <c r="Y31769" s="20"/>
    </row>
    <row r="31770" spans="24:25">
      <c r="X31770" s="19"/>
      <c r="Y31770" s="20"/>
    </row>
    <row r="31771" spans="24:25">
      <c r="X31771" s="19"/>
      <c r="Y31771" s="20"/>
    </row>
    <row r="31772" spans="24:25">
      <c r="X31772" s="19"/>
      <c r="Y31772" s="20"/>
    </row>
    <row r="31773" spans="24:25">
      <c r="X31773" s="19"/>
      <c r="Y31773" s="20"/>
    </row>
    <row r="31774" spans="24:25">
      <c r="X31774" s="19"/>
      <c r="Y31774" s="20"/>
    </row>
    <row r="31775" spans="24:25">
      <c r="X31775" s="19"/>
      <c r="Y31775" s="20"/>
    </row>
    <row r="31776" spans="24:25">
      <c r="X31776" s="19"/>
      <c r="Y31776" s="20"/>
    </row>
    <row r="31777" spans="24:25">
      <c r="X31777" s="19"/>
      <c r="Y31777" s="20"/>
    </row>
    <row r="31778" spans="24:25">
      <c r="X31778" s="19"/>
      <c r="Y31778" s="20"/>
    </row>
    <row r="31779" spans="24:25">
      <c r="X31779" s="19"/>
      <c r="Y31779" s="20"/>
    </row>
    <row r="31780" spans="24:25">
      <c r="X31780" s="19"/>
      <c r="Y31780" s="20"/>
    </row>
    <row r="31781" spans="24:25">
      <c r="X31781" s="19"/>
      <c r="Y31781" s="20"/>
    </row>
    <row r="31782" spans="24:25">
      <c r="X31782" s="19"/>
      <c r="Y31782" s="20"/>
    </row>
    <row r="31783" spans="24:25">
      <c r="X31783" s="19"/>
      <c r="Y31783" s="20"/>
    </row>
    <row r="31784" spans="24:25">
      <c r="X31784" s="19"/>
      <c r="Y31784" s="20"/>
    </row>
    <row r="31785" spans="24:25">
      <c r="X31785" s="19"/>
      <c r="Y31785" s="20"/>
    </row>
    <row r="31786" spans="24:25">
      <c r="X31786" s="19"/>
      <c r="Y31786" s="20"/>
    </row>
    <row r="31787" spans="24:25">
      <c r="X31787" s="19"/>
      <c r="Y31787" s="20"/>
    </row>
    <row r="31788" spans="24:25">
      <c r="X31788" s="19"/>
      <c r="Y31788" s="20"/>
    </row>
    <row r="31789" spans="24:25">
      <c r="X31789" s="19"/>
      <c r="Y31789" s="20"/>
    </row>
    <row r="31790" spans="24:25">
      <c r="X31790" s="19"/>
      <c r="Y31790" s="20"/>
    </row>
    <row r="31791" spans="24:25">
      <c r="X31791" s="19"/>
      <c r="Y31791" s="20"/>
    </row>
    <row r="31792" spans="24:25">
      <c r="X31792" s="19"/>
      <c r="Y31792" s="20"/>
    </row>
    <row r="31793" spans="24:25">
      <c r="X31793" s="19"/>
      <c r="Y31793" s="20"/>
    </row>
    <row r="31794" spans="24:25">
      <c r="X31794" s="19"/>
      <c r="Y31794" s="20"/>
    </row>
    <row r="31795" spans="24:25">
      <c r="X31795" s="19"/>
      <c r="Y31795" s="20"/>
    </row>
    <row r="31796" spans="24:25">
      <c r="X31796" s="19"/>
      <c r="Y31796" s="20"/>
    </row>
    <row r="31797" spans="24:25">
      <c r="X31797" s="19"/>
      <c r="Y31797" s="20"/>
    </row>
    <row r="31798" spans="24:25">
      <c r="X31798" s="19"/>
      <c r="Y31798" s="20"/>
    </row>
    <row r="31799" spans="24:25">
      <c r="X31799" s="19"/>
      <c r="Y31799" s="20"/>
    </row>
    <row r="31800" spans="24:25">
      <c r="X31800" s="19"/>
      <c r="Y31800" s="20"/>
    </row>
    <row r="31801" spans="24:25">
      <c r="X31801" s="19"/>
      <c r="Y31801" s="20"/>
    </row>
    <row r="31802" spans="24:25">
      <c r="X31802" s="19"/>
      <c r="Y31802" s="20"/>
    </row>
    <row r="31803" spans="24:25">
      <c r="X31803" s="19"/>
      <c r="Y31803" s="20"/>
    </row>
    <row r="31804" spans="24:25">
      <c r="X31804" s="19"/>
      <c r="Y31804" s="20"/>
    </row>
    <row r="31805" spans="24:25">
      <c r="X31805" s="19"/>
      <c r="Y31805" s="20"/>
    </row>
    <row r="31806" spans="24:25">
      <c r="X31806" s="19"/>
      <c r="Y31806" s="20"/>
    </row>
    <row r="31807" spans="24:25">
      <c r="X31807" s="19"/>
      <c r="Y31807" s="20"/>
    </row>
    <row r="31808" spans="24:25">
      <c r="X31808" s="19"/>
      <c r="Y31808" s="20"/>
    </row>
    <row r="31809" spans="24:25">
      <c r="X31809" s="19"/>
      <c r="Y31809" s="20"/>
    </row>
    <row r="31810" spans="24:25">
      <c r="X31810" s="19"/>
      <c r="Y31810" s="20"/>
    </row>
    <row r="31811" spans="24:25">
      <c r="X31811" s="19"/>
      <c r="Y31811" s="20"/>
    </row>
    <row r="31812" spans="24:25">
      <c r="X31812" s="19"/>
      <c r="Y31812" s="20"/>
    </row>
    <row r="31813" spans="24:25">
      <c r="X31813" s="19"/>
      <c r="Y31813" s="20"/>
    </row>
    <row r="31814" spans="24:25">
      <c r="X31814" s="19"/>
      <c r="Y31814" s="20"/>
    </row>
    <row r="31815" spans="24:25">
      <c r="X31815" s="19"/>
      <c r="Y31815" s="20"/>
    </row>
    <row r="31816" spans="24:25">
      <c r="X31816" s="19"/>
      <c r="Y31816" s="20"/>
    </row>
    <row r="31817" spans="24:25">
      <c r="X31817" s="19"/>
      <c r="Y31817" s="20"/>
    </row>
    <row r="31818" spans="24:25">
      <c r="X31818" s="19"/>
      <c r="Y31818" s="20"/>
    </row>
    <row r="31819" spans="24:25">
      <c r="X31819" s="19"/>
      <c r="Y31819" s="20"/>
    </row>
    <row r="31820" spans="24:25">
      <c r="X31820" s="19"/>
      <c r="Y31820" s="20"/>
    </row>
    <row r="31821" spans="24:25">
      <c r="X31821" s="19"/>
      <c r="Y31821" s="20"/>
    </row>
    <row r="31822" spans="24:25">
      <c r="X31822" s="19"/>
      <c r="Y31822" s="20"/>
    </row>
    <row r="31823" spans="24:25">
      <c r="X31823" s="19"/>
      <c r="Y31823" s="20"/>
    </row>
    <row r="31824" spans="24:25">
      <c r="X31824" s="19"/>
      <c r="Y31824" s="20"/>
    </row>
    <row r="31825" spans="24:25">
      <c r="X31825" s="19"/>
      <c r="Y31825" s="20"/>
    </row>
    <row r="31826" spans="24:25">
      <c r="X31826" s="19"/>
      <c r="Y31826" s="20"/>
    </row>
    <row r="31827" spans="24:25">
      <c r="X31827" s="19"/>
      <c r="Y31827" s="20"/>
    </row>
    <row r="31828" spans="24:25">
      <c r="X31828" s="19"/>
      <c r="Y31828" s="20"/>
    </row>
    <row r="31829" spans="24:25">
      <c r="X31829" s="19"/>
      <c r="Y31829" s="20"/>
    </row>
    <row r="31830" spans="24:25">
      <c r="X31830" s="19"/>
      <c r="Y31830" s="20"/>
    </row>
    <row r="31831" spans="24:25">
      <c r="X31831" s="19"/>
      <c r="Y31831" s="20"/>
    </row>
    <row r="31832" spans="24:25">
      <c r="X31832" s="19"/>
      <c r="Y31832" s="20"/>
    </row>
    <row r="31833" spans="24:25">
      <c r="X31833" s="19"/>
      <c r="Y31833" s="20"/>
    </row>
    <row r="31834" spans="24:25">
      <c r="X31834" s="19"/>
      <c r="Y31834" s="20"/>
    </row>
    <row r="31835" spans="24:25">
      <c r="X31835" s="19"/>
      <c r="Y31835" s="20"/>
    </row>
    <row r="31836" spans="24:25">
      <c r="X31836" s="19"/>
      <c r="Y31836" s="20"/>
    </row>
    <row r="31837" spans="24:25">
      <c r="X31837" s="19"/>
      <c r="Y31837" s="20"/>
    </row>
    <row r="31838" spans="24:25">
      <c r="X31838" s="19"/>
      <c r="Y31838" s="20"/>
    </row>
    <row r="31839" spans="24:25">
      <c r="X31839" s="19"/>
      <c r="Y31839" s="20"/>
    </row>
    <row r="31840" spans="24:25">
      <c r="X31840" s="19"/>
      <c r="Y31840" s="20"/>
    </row>
    <row r="31841" spans="24:25">
      <c r="X31841" s="19"/>
      <c r="Y31841" s="20"/>
    </row>
    <row r="31842" spans="24:25">
      <c r="X31842" s="19"/>
      <c r="Y31842" s="20"/>
    </row>
    <row r="31843" spans="24:25">
      <c r="X31843" s="19"/>
      <c r="Y31843" s="20"/>
    </row>
    <row r="31844" spans="24:25">
      <c r="X31844" s="19"/>
      <c r="Y31844" s="20"/>
    </row>
    <row r="31845" spans="24:25">
      <c r="X31845" s="19"/>
      <c r="Y31845" s="20"/>
    </row>
    <row r="31846" spans="24:25">
      <c r="X31846" s="19"/>
      <c r="Y31846" s="20"/>
    </row>
    <row r="31847" spans="24:25">
      <c r="X31847" s="19"/>
      <c r="Y31847" s="20"/>
    </row>
    <row r="31848" spans="24:25">
      <c r="X31848" s="19"/>
      <c r="Y31848" s="20"/>
    </row>
    <row r="31849" spans="24:25">
      <c r="X31849" s="19"/>
      <c r="Y31849" s="20"/>
    </row>
    <row r="31850" spans="24:25">
      <c r="X31850" s="19"/>
      <c r="Y31850" s="20"/>
    </row>
    <row r="31851" spans="24:25">
      <c r="X31851" s="19"/>
      <c r="Y31851" s="20"/>
    </row>
    <row r="31852" spans="24:25">
      <c r="X31852" s="19"/>
      <c r="Y31852" s="20"/>
    </row>
    <row r="31853" spans="24:25">
      <c r="X31853" s="19"/>
      <c r="Y31853" s="20"/>
    </row>
    <row r="31854" spans="24:25">
      <c r="X31854" s="19"/>
      <c r="Y31854" s="20"/>
    </row>
    <row r="31855" spans="24:25">
      <c r="X31855" s="19"/>
      <c r="Y31855" s="20"/>
    </row>
    <row r="31856" spans="24:25">
      <c r="X31856" s="19"/>
      <c r="Y31856" s="20"/>
    </row>
    <row r="31857" spans="24:25">
      <c r="X31857" s="19"/>
      <c r="Y31857" s="20"/>
    </row>
    <row r="31858" spans="24:25">
      <c r="X31858" s="19"/>
      <c r="Y31858" s="20"/>
    </row>
    <row r="31859" spans="24:25">
      <c r="X31859" s="19"/>
      <c r="Y31859" s="20"/>
    </row>
    <row r="31860" spans="24:25">
      <c r="X31860" s="19"/>
      <c r="Y31860" s="20"/>
    </row>
    <row r="31861" spans="24:25">
      <c r="X31861" s="19"/>
      <c r="Y31861" s="20"/>
    </row>
    <row r="31862" spans="24:25">
      <c r="X31862" s="19"/>
      <c r="Y31862" s="20"/>
    </row>
    <row r="31863" spans="24:25">
      <c r="X31863" s="19"/>
      <c r="Y31863" s="20"/>
    </row>
    <row r="31864" spans="24:25">
      <c r="X31864" s="19"/>
      <c r="Y31864" s="20"/>
    </row>
    <row r="31865" spans="24:25">
      <c r="X31865" s="19"/>
      <c r="Y31865" s="20"/>
    </row>
    <row r="31866" spans="24:25">
      <c r="X31866" s="19"/>
      <c r="Y31866" s="20"/>
    </row>
    <row r="31867" spans="24:25">
      <c r="X31867" s="19"/>
      <c r="Y31867" s="20"/>
    </row>
    <row r="31868" spans="24:25">
      <c r="X31868" s="19"/>
      <c r="Y31868" s="20"/>
    </row>
    <row r="31869" spans="24:25">
      <c r="X31869" s="19"/>
      <c r="Y31869" s="20"/>
    </row>
    <row r="31870" spans="24:25">
      <c r="X31870" s="19"/>
      <c r="Y31870" s="20"/>
    </row>
    <row r="31871" spans="24:25">
      <c r="X31871" s="19"/>
      <c r="Y31871" s="20"/>
    </row>
    <row r="31872" spans="24:25">
      <c r="X31872" s="19"/>
      <c r="Y31872" s="20"/>
    </row>
    <row r="31873" spans="24:25">
      <c r="X31873" s="19"/>
      <c r="Y31873" s="20"/>
    </row>
    <row r="31874" spans="24:25">
      <c r="X31874" s="19"/>
      <c r="Y31874" s="20"/>
    </row>
    <row r="31875" spans="24:25">
      <c r="X31875" s="19"/>
      <c r="Y31875" s="20"/>
    </row>
    <row r="31876" spans="24:25">
      <c r="X31876" s="19"/>
      <c r="Y31876" s="20"/>
    </row>
    <row r="31877" spans="24:25">
      <c r="X31877" s="19"/>
      <c r="Y31877" s="20"/>
    </row>
    <row r="31878" spans="24:25">
      <c r="X31878" s="19"/>
      <c r="Y31878" s="20"/>
    </row>
    <row r="31879" spans="24:25">
      <c r="X31879" s="19"/>
      <c r="Y31879" s="20"/>
    </row>
    <row r="31880" spans="24:25">
      <c r="X31880" s="19"/>
      <c r="Y31880" s="20"/>
    </row>
    <row r="31881" spans="24:25">
      <c r="X31881" s="19"/>
      <c r="Y31881" s="20"/>
    </row>
    <row r="31882" spans="24:25">
      <c r="X31882" s="19"/>
      <c r="Y31882" s="20"/>
    </row>
    <row r="31883" spans="24:25">
      <c r="X31883" s="19"/>
      <c r="Y31883" s="20"/>
    </row>
    <row r="31884" spans="24:25">
      <c r="X31884" s="19"/>
      <c r="Y31884" s="20"/>
    </row>
    <row r="31885" spans="24:25">
      <c r="X31885" s="19"/>
      <c r="Y31885" s="20"/>
    </row>
    <row r="31886" spans="24:25">
      <c r="X31886" s="19"/>
      <c r="Y31886" s="20"/>
    </row>
    <row r="31887" spans="24:25">
      <c r="X31887" s="19"/>
      <c r="Y31887" s="20"/>
    </row>
    <row r="31888" spans="24:25">
      <c r="X31888" s="19"/>
      <c r="Y31888" s="20"/>
    </row>
    <row r="31889" spans="24:25">
      <c r="X31889" s="19"/>
      <c r="Y31889" s="20"/>
    </row>
    <row r="31890" spans="24:25">
      <c r="X31890" s="19"/>
      <c r="Y31890" s="20"/>
    </row>
    <row r="31891" spans="24:25">
      <c r="X31891" s="19"/>
      <c r="Y31891" s="20"/>
    </row>
    <row r="31892" spans="24:25">
      <c r="X31892" s="19"/>
      <c r="Y31892" s="20"/>
    </row>
    <row r="31893" spans="24:25">
      <c r="X31893" s="19"/>
      <c r="Y31893" s="20"/>
    </row>
    <row r="31894" spans="24:25">
      <c r="X31894" s="19"/>
      <c r="Y31894" s="20"/>
    </row>
    <row r="31895" spans="24:25">
      <c r="X31895" s="19"/>
      <c r="Y31895" s="20"/>
    </row>
    <row r="31896" spans="24:25">
      <c r="X31896" s="19"/>
      <c r="Y31896" s="20"/>
    </row>
    <row r="31897" spans="24:25">
      <c r="X31897" s="19"/>
      <c r="Y31897" s="20"/>
    </row>
    <row r="31898" spans="24:25">
      <c r="X31898" s="19"/>
      <c r="Y31898" s="20"/>
    </row>
    <row r="31899" spans="24:25">
      <c r="X31899" s="19"/>
      <c r="Y31899" s="20"/>
    </row>
    <row r="31900" spans="24:25">
      <c r="X31900" s="19"/>
      <c r="Y31900" s="20"/>
    </row>
    <row r="31901" spans="24:25">
      <c r="X31901" s="19"/>
      <c r="Y31901" s="20"/>
    </row>
    <row r="31902" spans="24:25">
      <c r="X31902" s="19"/>
      <c r="Y31902" s="20"/>
    </row>
    <row r="31903" spans="24:25">
      <c r="X31903" s="19"/>
      <c r="Y31903" s="20"/>
    </row>
    <row r="31904" spans="24:25">
      <c r="X31904" s="19"/>
      <c r="Y31904" s="20"/>
    </row>
    <row r="31905" spans="24:25">
      <c r="X31905" s="19"/>
      <c r="Y31905" s="20"/>
    </row>
    <row r="31906" spans="24:25">
      <c r="X31906" s="19"/>
      <c r="Y31906" s="20"/>
    </row>
    <row r="31907" spans="24:25">
      <c r="X31907" s="19"/>
      <c r="Y31907" s="20"/>
    </row>
    <row r="31908" spans="24:25">
      <c r="X31908" s="19"/>
      <c r="Y31908" s="20"/>
    </row>
    <row r="31909" spans="24:25">
      <c r="X31909" s="19"/>
      <c r="Y31909" s="20"/>
    </row>
    <row r="31910" spans="24:25">
      <c r="X31910" s="19"/>
      <c r="Y31910" s="20"/>
    </row>
    <row r="31911" spans="24:25">
      <c r="X31911" s="19"/>
      <c r="Y31911" s="20"/>
    </row>
    <row r="31912" spans="24:25">
      <c r="X31912" s="19"/>
      <c r="Y31912" s="20"/>
    </row>
    <row r="31913" spans="24:25">
      <c r="X31913" s="19"/>
      <c r="Y31913" s="20"/>
    </row>
    <row r="31914" spans="24:25">
      <c r="X31914" s="19"/>
      <c r="Y31914" s="20"/>
    </row>
    <row r="31915" spans="24:25">
      <c r="X31915" s="19"/>
      <c r="Y31915" s="20"/>
    </row>
    <row r="31916" spans="24:25">
      <c r="X31916" s="19"/>
      <c r="Y31916" s="20"/>
    </row>
    <row r="31917" spans="24:25">
      <c r="X31917" s="19"/>
      <c r="Y31917" s="20"/>
    </row>
    <row r="31918" spans="24:25">
      <c r="X31918" s="19"/>
      <c r="Y31918" s="20"/>
    </row>
    <row r="31919" spans="24:25">
      <c r="X31919" s="19"/>
      <c r="Y31919" s="20"/>
    </row>
    <row r="31920" spans="24:25">
      <c r="X31920" s="19"/>
      <c r="Y31920" s="20"/>
    </row>
    <row r="31921" spans="24:25">
      <c r="X31921" s="19"/>
      <c r="Y31921" s="20"/>
    </row>
    <row r="31922" spans="24:25">
      <c r="X31922" s="19"/>
      <c r="Y31922" s="20"/>
    </row>
    <row r="31923" spans="24:25">
      <c r="X31923" s="19"/>
      <c r="Y31923" s="20"/>
    </row>
    <row r="31924" spans="24:25">
      <c r="X31924" s="19"/>
      <c r="Y31924" s="20"/>
    </row>
    <row r="31925" spans="24:25">
      <c r="X31925" s="19"/>
      <c r="Y31925" s="20"/>
    </row>
    <row r="31926" spans="24:25">
      <c r="X31926" s="19"/>
      <c r="Y31926" s="20"/>
    </row>
    <row r="31927" spans="24:25">
      <c r="X31927" s="19"/>
      <c r="Y31927" s="20"/>
    </row>
    <row r="31928" spans="24:25">
      <c r="X31928" s="19"/>
      <c r="Y31928" s="20"/>
    </row>
    <row r="31929" spans="24:25">
      <c r="X31929" s="19"/>
      <c r="Y31929" s="20"/>
    </row>
    <row r="31930" spans="24:25">
      <c r="X31930" s="19"/>
      <c r="Y31930" s="20"/>
    </row>
    <row r="31931" spans="24:25">
      <c r="X31931" s="19"/>
      <c r="Y31931" s="20"/>
    </row>
    <row r="31932" spans="24:25">
      <c r="X31932" s="19"/>
      <c r="Y31932" s="20"/>
    </row>
    <row r="31933" spans="24:25">
      <c r="X31933" s="19"/>
      <c r="Y31933" s="20"/>
    </row>
    <row r="31934" spans="24:25">
      <c r="X31934" s="19"/>
      <c r="Y31934" s="20"/>
    </row>
    <row r="31935" spans="24:25">
      <c r="X31935" s="19"/>
      <c r="Y31935" s="20"/>
    </row>
    <row r="31936" spans="24:25">
      <c r="X31936" s="19"/>
      <c r="Y31936" s="20"/>
    </row>
    <row r="31937" spans="24:25">
      <c r="X31937" s="19"/>
      <c r="Y31937" s="20"/>
    </row>
    <row r="31938" spans="24:25">
      <c r="X31938" s="19"/>
      <c r="Y31938" s="20"/>
    </row>
    <row r="31939" spans="24:25">
      <c r="X31939" s="19"/>
      <c r="Y31939" s="20"/>
    </row>
    <row r="31940" spans="24:25">
      <c r="X31940" s="19"/>
      <c r="Y31940" s="20"/>
    </row>
    <row r="31941" spans="24:25">
      <c r="X31941" s="19"/>
      <c r="Y31941" s="20"/>
    </row>
    <row r="31942" spans="24:25">
      <c r="X31942" s="19"/>
      <c r="Y31942" s="20"/>
    </row>
    <row r="31943" spans="24:25">
      <c r="X31943" s="19"/>
      <c r="Y31943" s="20"/>
    </row>
    <row r="31944" spans="24:25">
      <c r="X31944" s="19"/>
      <c r="Y31944" s="20"/>
    </row>
    <row r="31945" spans="24:25">
      <c r="X31945" s="19"/>
      <c r="Y31945" s="20"/>
    </row>
    <row r="31946" spans="24:25">
      <c r="X31946" s="19"/>
      <c r="Y31946" s="20"/>
    </row>
    <row r="31947" spans="24:25">
      <c r="X31947" s="19"/>
      <c r="Y31947" s="20"/>
    </row>
    <row r="31948" spans="24:25">
      <c r="X31948" s="19"/>
      <c r="Y31948" s="20"/>
    </row>
    <row r="31949" spans="24:25">
      <c r="X31949" s="19"/>
      <c r="Y31949" s="20"/>
    </row>
    <row r="31950" spans="24:25">
      <c r="X31950" s="19"/>
      <c r="Y31950" s="20"/>
    </row>
    <row r="31951" spans="24:25">
      <c r="X31951" s="19"/>
      <c r="Y31951" s="20"/>
    </row>
    <row r="31952" spans="24:25">
      <c r="X31952" s="19"/>
      <c r="Y31952" s="20"/>
    </row>
    <row r="31953" spans="24:25">
      <c r="X31953" s="19"/>
      <c r="Y31953" s="20"/>
    </row>
    <row r="31954" spans="24:25">
      <c r="X31954" s="19"/>
      <c r="Y31954" s="20"/>
    </row>
    <row r="31955" spans="24:25">
      <c r="X31955" s="19"/>
      <c r="Y31955" s="20"/>
    </row>
    <row r="31956" spans="24:25">
      <c r="X31956" s="19"/>
      <c r="Y31956" s="20"/>
    </row>
    <row r="31957" spans="24:25">
      <c r="X31957" s="19"/>
      <c r="Y31957" s="20"/>
    </row>
    <row r="31958" spans="24:25">
      <c r="X31958" s="19"/>
      <c r="Y31958" s="20"/>
    </row>
    <row r="31959" spans="24:25">
      <c r="X31959" s="19"/>
      <c r="Y31959" s="20"/>
    </row>
    <row r="31960" spans="24:25">
      <c r="X31960" s="19"/>
      <c r="Y31960" s="20"/>
    </row>
    <row r="31961" spans="24:25">
      <c r="X31961" s="19"/>
      <c r="Y31961" s="20"/>
    </row>
    <row r="31962" spans="24:25">
      <c r="X31962" s="19"/>
      <c r="Y31962" s="20"/>
    </row>
    <row r="31963" spans="24:25">
      <c r="X31963" s="19"/>
      <c r="Y31963" s="20"/>
    </row>
    <row r="31964" spans="24:25">
      <c r="X31964" s="19"/>
      <c r="Y31964" s="20"/>
    </row>
    <row r="31965" spans="24:25">
      <c r="X31965" s="19"/>
      <c r="Y31965" s="20"/>
    </row>
    <row r="31966" spans="24:25">
      <c r="X31966" s="19"/>
      <c r="Y31966" s="20"/>
    </row>
    <row r="31967" spans="24:25">
      <c r="X31967" s="19"/>
      <c r="Y31967" s="20"/>
    </row>
    <row r="31968" spans="24:25">
      <c r="X31968" s="19"/>
      <c r="Y31968" s="20"/>
    </row>
    <row r="31969" spans="24:25">
      <c r="X31969" s="19"/>
      <c r="Y31969" s="20"/>
    </row>
    <row r="31970" spans="24:25">
      <c r="X31970" s="19"/>
      <c r="Y31970" s="20"/>
    </row>
    <row r="31971" spans="24:25">
      <c r="X31971" s="19"/>
      <c r="Y31971" s="20"/>
    </row>
    <row r="31972" spans="24:25">
      <c r="X31972" s="19"/>
      <c r="Y31972" s="20"/>
    </row>
    <row r="31973" spans="24:25">
      <c r="X31973" s="19"/>
      <c r="Y31973" s="20"/>
    </row>
    <row r="31974" spans="24:25">
      <c r="X31974" s="19"/>
      <c r="Y31974" s="20"/>
    </row>
    <row r="31975" spans="24:25">
      <c r="X31975" s="19"/>
      <c r="Y31975" s="20"/>
    </row>
    <row r="31976" spans="24:25">
      <c r="X31976" s="19"/>
      <c r="Y31976" s="20"/>
    </row>
    <row r="31977" spans="24:25">
      <c r="X31977" s="19"/>
      <c r="Y31977" s="20"/>
    </row>
    <row r="31978" spans="24:25">
      <c r="X31978" s="19"/>
      <c r="Y31978" s="20"/>
    </row>
    <row r="31979" spans="24:25">
      <c r="X31979" s="19"/>
      <c r="Y31979" s="20"/>
    </row>
    <row r="31980" spans="24:25">
      <c r="X31980" s="19"/>
      <c r="Y31980" s="20"/>
    </row>
    <row r="31981" spans="24:25">
      <c r="X31981" s="19"/>
      <c r="Y31981" s="20"/>
    </row>
    <row r="31982" spans="24:25">
      <c r="X31982" s="19"/>
      <c r="Y31982" s="20"/>
    </row>
    <row r="31983" spans="24:25">
      <c r="X31983" s="19"/>
      <c r="Y31983" s="20"/>
    </row>
    <row r="31984" spans="24:25">
      <c r="X31984" s="19"/>
      <c r="Y31984" s="20"/>
    </row>
    <row r="31985" spans="24:25">
      <c r="X31985" s="19"/>
      <c r="Y31985" s="20"/>
    </row>
    <row r="31986" spans="24:25">
      <c r="X31986" s="19"/>
      <c r="Y31986" s="20"/>
    </row>
    <row r="31987" spans="24:25">
      <c r="X31987" s="19"/>
      <c r="Y31987" s="20"/>
    </row>
    <row r="31988" spans="24:25">
      <c r="X31988" s="19"/>
      <c r="Y31988" s="20"/>
    </row>
    <row r="31989" spans="24:25">
      <c r="X31989" s="19"/>
      <c r="Y31989" s="20"/>
    </row>
    <row r="31990" spans="24:25">
      <c r="X31990" s="19"/>
      <c r="Y31990" s="20"/>
    </row>
    <row r="31991" spans="24:25">
      <c r="X31991" s="19"/>
      <c r="Y31991" s="20"/>
    </row>
    <row r="31992" spans="24:25">
      <c r="X31992" s="19"/>
      <c r="Y31992" s="20"/>
    </row>
    <row r="31993" spans="24:25">
      <c r="X31993" s="19"/>
      <c r="Y31993" s="20"/>
    </row>
    <row r="31994" spans="24:25">
      <c r="X31994" s="19"/>
      <c r="Y31994" s="20"/>
    </row>
    <row r="31995" spans="24:25">
      <c r="X31995" s="19"/>
      <c r="Y31995" s="20"/>
    </row>
    <row r="31996" spans="24:25">
      <c r="X31996" s="19"/>
      <c r="Y31996" s="20"/>
    </row>
    <row r="31997" spans="24:25">
      <c r="X31997" s="19"/>
      <c r="Y31997" s="20"/>
    </row>
    <row r="31998" spans="24:25">
      <c r="X31998" s="19"/>
      <c r="Y31998" s="20"/>
    </row>
    <row r="31999" spans="24:25">
      <c r="X31999" s="19"/>
      <c r="Y31999" s="20"/>
    </row>
    <row r="32000" spans="24:25">
      <c r="X32000" s="19"/>
      <c r="Y32000" s="20"/>
    </row>
    <row r="32001" spans="24:25">
      <c r="X32001" s="19"/>
      <c r="Y32001" s="20"/>
    </row>
    <row r="32002" spans="24:25">
      <c r="X32002" s="19"/>
      <c r="Y32002" s="20"/>
    </row>
    <row r="32003" spans="24:25">
      <c r="X32003" s="19"/>
      <c r="Y32003" s="20"/>
    </row>
    <row r="32004" spans="24:25">
      <c r="X32004" s="19"/>
      <c r="Y32004" s="20"/>
    </row>
    <row r="32005" spans="24:25">
      <c r="X32005" s="19"/>
      <c r="Y32005" s="20"/>
    </row>
    <row r="32006" spans="24:25">
      <c r="X32006" s="19"/>
      <c r="Y32006" s="20"/>
    </row>
    <row r="32007" spans="24:25">
      <c r="X32007" s="19"/>
      <c r="Y32007" s="20"/>
    </row>
    <row r="32008" spans="24:25">
      <c r="X32008" s="19"/>
      <c r="Y32008" s="20"/>
    </row>
    <row r="32009" spans="24:25">
      <c r="X32009" s="19"/>
      <c r="Y32009" s="20"/>
    </row>
    <row r="32010" spans="24:25">
      <c r="X32010" s="21"/>
      <c r="Y32010" s="22"/>
    </row>
  </sheetData>
  <sortState ref="AD11:AG73">
    <sortCondition ref="AD11:AD73"/>
    <sortCondition ref="AE11:AE73"/>
    <sortCondition ref="AF11:AF73"/>
  </sortState>
  <mergeCells count="1">
    <mergeCell ref="B1:N1"/>
  </mergeCells>
  <phoneticPr fontId="2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control shapeId="3077" r:id="rId4" name="CommandButton1"/>
    <control shapeId="3084" r:id="rId5" name="CheckBox1"/>
    <control shapeId="3085" r:id="rId6" name="CheckBox2"/>
    <control shapeId="3086" r:id="rId7" name="CheckBox3"/>
    <control shapeId="3087" r:id="rId8" name="CheckBox4"/>
    <control shapeId="3088" r:id="rId9" name="CheckBox5"/>
    <control shapeId="3089" r:id="rId10" name="Label1"/>
    <control shapeId="3090" r:id="rId11" name="TextBox1"/>
    <control shapeId="3091" r:id="rId12" name="Label2"/>
    <control shapeId="3093" r:id="rId13" name="Label3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B2:S190"/>
  <sheetViews>
    <sheetView zoomScaleNormal="100" workbookViewId="0">
      <selection activeCell="M10" sqref="M10:N10"/>
    </sheetView>
  </sheetViews>
  <sheetFormatPr defaultRowHeight="12.75"/>
  <cols>
    <col min="1" max="4" width="9.140625" style="45"/>
    <col min="5" max="5" width="12.42578125" style="45" bestFit="1" customWidth="1"/>
    <col min="6" max="10" width="9.140625" style="45"/>
    <col min="11" max="11" width="12.42578125" style="45" bestFit="1" customWidth="1"/>
    <col min="12" max="12" width="9.140625" style="45"/>
    <col min="13" max="13" width="12.42578125" style="45" bestFit="1" customWidth="1"/>
    <col min="14" max="14" width="9.140625" style="45"/>
    <col min="15" max="15" width="12.42578125" style="45" bestFit="1" customWidth="1"/>
    <col min="16" max="16384" width="9.140625" style="45"/>
  </cols>
  <sheetData>
    <row r="2" spans="2:19">
      <c r="I2" s="45">
        <v>3.5000000000000003E-2</v>
      </c>
      <c r="J2" s="45">
        <v>0</v>
      </c>
      <c r="L2" s="45">
        <v>0</v>
      </c>
      <c r="M2" s="45">
        <f>I2</f>
        <v>3.5000000000000003E-2</v>
      </c>
    </row>
    <row r="3" spans="2:19">
      <c r="I3" s="45">
        <f>-I2</f>
        <v>-3.5000000000000003E-2</v>
      </c>
      <c r="J3" s="45">
        <v>0</v>
      </c>
      <c r="L3" s="45">
        <v>0</v>
      </c>
      <c r="M3" s="45">
        <f>I3</f>
        <v>-3.5000000000000003E-2</v>
      </c>
    </row>
    <row r="4" spans="2:19">
      <c r="B4" s="45">
        <v>1</v>
      </c>
      <c r="C4" s="45">
        <v>0</v>
      </c>
      <c r="E4" s="45">
        <f>K10</f>
        <v>3.3152278294834206E-17</v>
      </c>
      <c r="F4" s="45">
        <f>L10</f>
        <v>0.54119610014619701</v>
      </c>
      <c r="I4" s="45">
        <v>1</v>
      </c>
      <c r="J4" s="45">
        <v>0</v>
      </c>
      <c r="L4" s="45">
        <v>0</v>
      </c>
      <c r="M4" s="45">
        <v>1</v>
      </c>
      <c r="O4" s="45">
        <f>-(2^0.5/2)</f>
        <v>-0.70710678118654757</v>
      </c>
      <c r="P4" s="45">
        <f>-(2^0.5/2)</f>
        <v>-0.70710678118654757</v>
      </c>
      <c r="R4" s="45">
        <f>-(2^0.5/2)</f>
        <v>-0.70710678118654757</v>
      </c>
      <c r="S4" s="45">
        <f>2^0.5/2</f>
        <v>0.70710678118654757</v>
      </c>
    </row>
    <row r="5" spans="2:19">
      <c r="B5" s="45">
        <v>0.99939082701909576</v>
      </c>
      <c r="C5" s="45">
        <v>-3.4899496702500969E-2</v>
      </c>
      <c r="E5" s="45">
        <f t="shared" ref="E5:E68" si="0">K11</f>
        <v>1.8887471512458648E-2</v>
      </c>
      <c r="F5" s="45">
        <f t="shared" ref="F5:F68" si="1">L11</f>
        <v>0.54086641810461722</v>
      </c>
      <c r="I5" s="45">
        <v>-1</v>
      </c>
      <c r="J5" s="45">
        <v>0</v>
      </c>
      <c r="L5" s="45">
        <v>0</v>
      </c>
      <c r="M5" s="45">
        <v>-1</v>
      </c>
      <c r="O5" s="45">
        <f>2^0.5/2</f>
        <v>0.70710678118654757</v>
      </c>
      <c r="P5" s="45">
        <f>2^0.5/2</f>
        <v>0.70710678118654757</v>
      </c>
      <c r="R5" s="45">
        <f>2^0.5/2</f>
        <v>0.70710678118654757</v>
      </c>
      <c r="S5" s="45">
        <f>-(2^0.5/2)</f>
        <v>-0.70710678118654757</v>
      </c>
    </row>
    <row r="6" spans="2:19">
      <c r="B6" s="45">
        <v>0.9975640502598242</v>
      </c>
      <c r="C6" s="45">
        <v>-6.9756473744125302E-2</v>
      </c>
      <c r="E6" s="45">
        <f t="shared" si="0"/>
        <v>3.7751931550271282E-2</v>
      </c>
      <c r="F6" s="45">
        <f t="shared" si="1"/>
        <v>0.53987777364666167</v>
      </c>
    </row>
    <row r="7" spans="2:19">
      <c r="B7" s="45">
        <v>0.99452189536827329</v>
      </c>
      <c r="C7" s="45">
        <v>-0.10452846326765346</v>
      </c>
      <c r="E7" s="45">
        <f t="shared" si="0"/>
        <v>5.6570396674729059E-2</v>
      </c>
      <c r="F7" s="45">
        <f t="shared" si="1"/>
        <v>0.53823137128331366</v>
      </c>
    </row>
    <row r="8" spans="2:19">
      <c r="B8" s="45">
        <v>0.99026806874157036</v>
      </c>
      <c r="C8" s="45">
        <v>-0.13917310096006544</v>
      </c>
      <c r="E8" s="45">
        <f t="shared" si="0"/>
        <v>7.5319939484840503E-2</v>
      </c>
      <c r="F8" s="45">
        <f t="shared" si="1"/>
        <v>0.53592921690224404</v>
      </c>
      <c r="J8" s="45">
        <v>45</v>
      </c>
      <c r="P8" s="45">
        <v>0.01</v>
      </c>
    </row>
    <row r="9" spans="2:19">
      <c r="B9" s="45">
        <v>0.98480775301220802</v>
      </c>
      <c r="C9" s="45">
        <v>-0.17364817766693033</v>
      </c>
      <c r="E9" s="45">
        <f t="shared" si="0"/>
        <v>9.3977716550836699E-2</v>
      </c>
      <c r="F9" s="45">
        <f t="shared" si="1"/>
        <v>0.53297411532394623</v>
      </c>
    </row>
    <row r="10" spans="2:19">
      <c r="B10" s="45">
        <v>0.97814760073380569</v>
      </c>
      <c r="C10" s="45">
        <v>-0.20791169081775931</v>
      </c>
      <c r="E10" s="45">
        <f t="shared" si="0"/>
        <v>0.1125209962453733</v>
      </c>
      <c r="F10" s="45">
        <f t="shared" si="1"/>
        <v>0.52936966688449494</v>
      </c>
      <c r="J10" s="45">
        <v>0</v>
      </c>
      <c r="K10" s="45">
        <f>COS((90-J10)*PI()/180)*SIN((90-J$8)/2*PI()/180)*2^0.5</f>
        <v>3.3152278294834206E-17</v>
      </c>
      <c r="L10" s="45">
        <f>SIN((90-J10)*PI()/180)*SIN((90-J$8)/2*PI()/180)*2^0.5</f>
        <v>0.54119610014619701</v>
      </c>
      <c r="M10" s="45">
        <v>10</v>
      </c>
      <c r="N10" s="45">
        <v>90</v>
      </c>
      <c r="O10" s="45">
        <f>COS((90-N10)*PI()/180)*SIN((90-M10)/2*PI()/180)*2^0.5</f>
        <v>0.9090389553440873</v>
      </c>
      <c r="P10" s="45">
        <f>P8</f>
        <v>0.01</v>
      </c>
    </row>
    <row r="11" spans="2:19">
      <c r="B11" s="45">
        <v>0.97029572627599647</v>
      </c>
      <c r="C11" s="45">
        <v>-0.24192189559966773</v>
      </c>
      <c r="E11" s="45">
        <f t="shared" si="0"/>
        <v>0.1309271864385157</v>
      </c>
      <c r="F11" s="45">
        <f t="shared" si="1"/>
        <v>0.52512026304909121</v>
      </c>
      <c r="J11" s="45">
        <v>2</v>
      </c>
      <c r="K11" s="45">
        <f t="shared" ref="K11:K74" si="2">COS((90-J11)*PI()/180)*SIN((90-J$8)/2*PI()/180)*2^0.5</f>
        <v>1.8887471512458648E-2</v>
      </c>
      <c r="L11" s="45">
        <f t="shared" ref="L11:L74" si="3">SIN((90-J11)*PI()/180)*SIN((90-J$8)/2*PI()/180)*2^0.5</f>
        <v>0.54086641810461722</v>
      </c>
      <c r="O11" s="45">
        <f>O10</f>
        <v>0.9090389553440873</v>
      </c>
      <c r="P11" s="45">
        <f>-P10</f>
        <v>-0.01</v>
      </c>
    </row>
    <row r="12" spans="2:19">
      <c r="B12" s="45">
        <v>0.96126169593831889</v>
      </c>
      <c r="C12" s="45">
        <v>-0.27563735581699916</v>
      </c>
      <c r="E12" s="45">
        <f t="shared" si="0"/>
        <v>0.14917386202276961</v>
      </c>
      <c r="F12" s="45">
        <f t="shared" si="1"/>
        <v>0.52023108106173765</v>
      </c>
      <c r="J12" s="45">
        <v>4</v>
      </c>
      <c r="K12" s="45">
        <f t="shared" si="2"/>
        <v>3.7751931550271282E-2</v>
      </c>
      <c r="L12" s="45">
        <f t="shared" si="3"/>
        <v>0.53987777364666167</v>
      </c>
    </row>
    <row r="13" spans="2:19">
      <c r="B13" s="45">
        <v>0.95105651629515353</v>
      </c>
      <c r="C13" s="45">
        <v>-0.3090169943749474</v>
      </c>
      <c r="E13" s="45">
        <f t="shared" si="0"/>
        <v>0.16723879223462088</v>
      </c>
      <c r="F13" s="45">
        <f t="shared" si="1"/>
        <v>0.51470807763756521</v>
      </c>
      <c r="J13" s="45">
        <v>6</v>
      </c>
      <c r="K13" s="45">
        <f t="shared" si="2"/>
        <v>5.6570396674729059E-2</v>
      </c>
      <c r="L13" s="45">
        <f t="shared" si="3"/>
        <v>0.53823137128331366</v>
      </c>
      <c r="M13" s="45">
        <v>20</v>
      </c>
      <c r="N13" s="45">
        <v>90</v>
      </c>
      <c r="O13" s="45">
        <f>COS((90-N13)*PI()/180)*SIN((90-M13)/2*PI()/180)*2^0.5</f>
        <v>0.81115957534527772</v>
      </c>
      <c r="P13" s="45">
        <f>P10</f>
        <v>0.01</v>
      </c>
    </row>
    <row r="14" spans="2:19">
      <c r="B14" s="45">
        <v>0.93969262078590843</v>
      </c>
      <c r="C14" s="45">
        <v>-0.34202014332566871</v>
      </c>
      <c r="E14" s="45">
        <f t="shared" si="0"/>
        <v>0.18509996773929535</v>
      </c>
      <c r="F14" s="45">
        <f t="shared" si="1"/>
        <v>0.50855798170549282</v>
      </c>
      <c r="J14" s="45">
        <v>8</v>
      </c>
      <c r="K14" s="45">
        <f t="shared" si="2"/>
        <v>7.5319939484840503E-2</v>
      </c>
      <c r="L14" s="45">
        <f t="shared" si="3"/>
        <v>0.53592921690224404</v>
      </c>
      <c r="O14" s="45">
        <f>O13</f>
        <v>0.81115957534527772</v>
      </c>
      <c r="P14" s="45">
        <f>P11</f>
        <v>-0.01</v>
      </c>
    </row>
    <row r="15" spans="2:19">
      <c r="B15" s="45">
        <v>0.92718385456678742</v>
      </c>
      <c r="C15" s="45">
        <v>-0.37460659341591201</v>
      </c>
      <c r="E15" s="45">
        <f t="shared" si="0"/>
        <v>0.20273562744574361</v>
      </c>
      <c r="F15" s="45">
        <f t="shared" si="1"/>
        <v>0.50178828621006411</v>
      </c>
      <c r="J15" s="45">
        <v>10</v>
      </c>
      <c r="K15" s="45">
        <f t="shared" si="2"/>
        <v>9.3977716550836699E-2</v>
      </c>
      <c r="L15" s="45">
        <f t="shared" si="3"/>
        <v>0.53297411532394623</v>
      </c>
    </row>
    <row r="16" spans="2:19">
      <c r="B16" s="45">
        <v>0.91354545764260087</v>
      </c>
      <c r="C16" s="45">
        <v>-0.40673664307580015</v>
      </c>
      <c r="E16" s="45">
        <f t="shared" si="0"/>
        <v>0.22012428501917877</v>
      </c>
      <c r="F16" s="45">
        <f t="shared" si="1"/>
        <v>0.49440723898244837</v>
      </c>
      <c r="J16" s="45">
        <v>12</v>
      </c>
      <c r="K16" s="45">
        <f t="shared" si="2"/>
        <v>0.1125209962453733</v>
      </c>
      <c r="L16" s="45">
        <f t="shared" si="3"/>
        <v>0.52936966688449494</v>
      </c>
      <c r="M16" s="45">
        <v>30</v>
      </c>
      <c r="N16" s="45">
        <v>90</v>
      </c>
      <c r="O16" s="45">
        <f>COS((90-N16)*PI()/180)*SIN((90-M16)/2*PI()/180)*2^0.5</f>
        <v>0.70710678118654746</v>
      </c>
      <c r="P16" s="45">
        <f>P13</f>
        <v>0.01</v>
      </c>
    </row>
    <row r="17" spans="2:16">
      <c r="B17" s="45">
        <v>0.89879404629916704</v>
      </c>
      <c r="C17" s="45">
        <v>-0.4383711467890774</v>
      </c>
      <c r="E17" s="45">
        <f t="shared" si="0"/>
        <v>0.2372447550588648</v>
      </c>
      <c r="F17" s="45">
        <f t="shared" si="1"/>
        <v>0.48642383269172962</v>
      </c>
      <c r="J17" s="45">
        <v>14</v>
      </c>
      <c r="K17" s="45">
        <f t="shared" si="2"/>
        <v>0.1309271864385157</v>
      </c>
      <c r="L17" s="45">
        <f t="shared" si="3"/>
        <v>0.52512026304909121</v>
      </c>
      <c r="O17" s="45">
        <f>O16</f>
        <v>0.70710678118654746</v>
      </c>
      <c r="P17" s="45">
        <f>P14</f>
        <v>-0.01</v>
      </c>
    </row>
    <row r="18" spans="2:16">
      <c r="B18" s="45">
        <v>0.88294759285892699</v>
      </c>
      <c r="C18" s="45">
        <v>-0.46947156278589081</v>
      </c>
      <c r="E18" s="45">
        <f t="shared" si="0"/>
        <v>0.25407617890926465</v>
      </c>
      <c r="F18" s="45">
        <f t="shared" si="1"/>
        <v>0.47784779388872339</v>
      </c>
      <c r="J18" s="45">
        <v>16</v>
      </c>
      <c r="K18" s="45">
        <f t="shared" si="2"/>
        <v>0.14917386202276961</v>
      </c>
      <c r="L18" s="45">
        <f t="shared" si="3"/>
        <v>0.52023108106173765</v>
      </c>
    </row>
    <row r="19" spans="2:16">
      <c r="B19" s="45">
        <v>0.86602540378443871</v>
      </c>
      <c r="C19" s="45">
        <v>-0.5</v>
      </c>
      <c r="E19" s="45">
        <f t="shared" si="0"/>
        <v>0.27059805007309862</v>
      </c>
      <c r="F19" s="45">
        <f t="shared" si="1"/>
        <v>0.46868957115567378</v>
      </c>
      <c r="J19" s="45">
        <v>18</v>
      </c>
      <c r="K19" s="45">
        <f t="shared" si="2"/>
        <v>0.16723879223462088</v>
      </c>
      <c r="L19" s="45">
        <f t="shared" si="3"/>
        <v>0.51470807763756521</v>
      </c>
      <c r="M19" s="45">
        <v>40</v>
      </c>
      <c r="N19" s="45">
        <v>90</v>
      </c>
      <c r="O19" s="45">
        <f>COS((90-N19)*PI()/180)*SIN((90-M19)/2*PI()/180)*2^0.5</f>
        <v>0.59767247746023966</v>
      </c>
      <c r="P19" s="45">
        <f>P16</f>
        <v>0.01</v>
      </c>
    </row>
    <row r="20" spans="2:16">
      <c r="B20" s="45">
        <v>0.84804809615642596</v>
      </c>
      <c r="C20" s="45">
        <v>-0.5299192642332049</v>
      </c>
      <c r="E20" s="45">
        <f t="shared" si="0"/>
        <v>0.28679023919535263</v>
      </c>
      <c r="F20" s="45">
        <f t="shared" si="1"/>
        <v>0.45896032237626483</v>
      </c>
      <c r="J20" s="45">
        <v>20</v>
      </c>
      <c r="K20" s="45">
        <f t="shared" si="2"/>
        <v>0.18509996773929535</v>
      </c>
      <c r="L20" s="45">
        <f t="shared" si="3"/>
        <v>0.50855798170549282</v>
      </c>
      <c r="O20" s="45">
        <f>O19</f>
        <v>0.59767247746023966</v>
      </c>
      <c r="P20" s="45">
        <f>P17</f>
        <v>-0.01</v>
      </c>
    </row>
    <row r="21" spans="2:16">
      <c r="B21" s="45">
        <v>0.82903757255504162</v>
      </c>
      <c r="C21" s="45">
        <v>-0.5591929034707469</v>
      </c>
      <c r="E21" s="45">
        <f t="shared" si="0"/>
        <v>0.30263301858779701</v>
      </c>
      <c r="F21" s="45">
        <f t="shared" si="1"/>
        <v>0.4486719011414585</v>
      </c>
      <c r="J21" s="45">
        <v>22</v>
      </c>
      <c r="K21" s="45">
        <f t="shared" si="2"/>
        <v>0.20273562744574361</v>
      </c>
      <c r="L21" s="45">
        <f t="shared" si="3"/>
        <v>0.50178828621006411</v>
      </c>
    </row>
    <row r="22" spans="2:16">
      <c r="B22" s="45">
        <v>0.80901699437494745</v>
      </c>
      <c r="C22" s="45">
        <v>-0.58778525229247314</v>
      </c>
      <c r="E22" s="45">
        <f t="shared" si="0"/>
        <v>0.31810708626413498</v>
      </c>
      <c r="F22" s="45">
        <f t="shared" si="1"/>
        <v>0.43783684230771941</v>
      </c>
      <c r="J22" s="45">
        <v>24</v>
      </c>
      <c r="K22" s="45">
        <f t="shared" si="2"/>
        <v>0.22012428501917877</v>
      </c>
      <c r="L22" s="45">
        <f t="shared" si="3"/>
        <v>0.49440723898244837</v>
      </c>
      <c r="M22" s="45">
        <v>50</v>
      </c>
      <c r="N22" s="45">
        <v>90</v>
      </c>
      <c r="O22" s="45">
        <f>COS((90-N22)*PI()/180)*SIN((90-M22)/2*PI()/180)*2^0.5</f>
        <v>0.48368952529595055</v>
      </c>
      <c r="P22" s="45">
        <f>P19</f>
        <v>0.01</v>
      </c>
    </row>
    <row r="23" spans="2:16">
      <c r="B23" s="45">
        <v>0.78801075360672201</v>
      </c>
      <c r="C23" s="45">
        <v>-0.61566147532565818</v>
      </c>
      <c r="E23" s="45">
        <f t="shared" si="0"/>
        <v>0.33319358945650041</v>
      </c>
      <c r="F23" s="45">
        <f t="shared" si="1"/>
        <v>0.42646834672522371</v>
      </c>
      <c r="J23" s="45">
        <v>26</v>
      </c>
      <c r="K23" s="45">
        <f t="shared" si="2"/>
        <v>0.2372447550588648</v>
      </c>
      <c r="L23" s="45">
        <f t="shared" si="3"/>
        <v>0.48642383269172962</v>
      </c>
      <c r="O23" s="45">
        <f>O22</f>
        <v>0.48368952529595055</v>
      </c>
      <c r="P23" s="45">
        <f>P20</f>
        <v>-0.01</v>
      </c>
    </row>
    <row r="24" spans="2:16">
      <c r="B24" s="45">
        <v>0.76604444311897801</v>
      </c>
      <c r="C24" s="45">
        <v>-0.64278760968653925</v>
      </c>
      <c r="E24" s="45">
        <f t="shared" si="0"/>
        <v>0.34787414758465096</v>
      </c>
      <c r="F24" s="45">
        <f t="shared" si="1"/>
        <v>0.41458026515465618</v>
      </c>
      <c r="J24" s="45">
        <v>28</v>
      </c>
      <c r="K24" s="45">
        <f t="shared" si="2"/>
        <v>0.25407617890926465</v>
      </c>
      <c r="L24" s="45">
        <f t="shared" si="3"/>
        <v>0.47784779388872339</v>
      </c>
    </row>
    <row r="25" spans="2:16">
      <c r="B25" s="45">
        <v>0.74314482547739424</v>
      </c>
      <c r="C25" s="45">
        <v>-0.66913060635885824</v>
      </c>
      <c r="E25" s="45">
        <f t="shared" si="0"/>
        <v>0.3621308746498742</v>
      </c>
      <c r="F25" s="45">
        <f t="shared" si="1"/>
        <v>0.40218708139219195</v>
      </c>
      <c r="J25" s="45">
        <v>30</v>
      </c>
      <c r="K25" s="45">
        <f t="shared" si="2"/>
        <v>0.27059805007309862</v>
      </c>
      <c r="L25" s="45">
        <f t="shared" si="3"/>
        <v>0.46868957115567378</v>
      </c>
      <c r="M25" s="45">
        <v>60</v>
      </c>
      <c r="N25" s="45">
        <v>90</v>
      </c>
      <c r="O25" s="45">
        <f>COS((90-N25)*PI()/180)*SIN((90-M25)/2*PI()/180)*2^0.5</f>
        <v>0.36602540378443865</v>
      </c>
      <c r="P25" s="45">
        <f>P22</f>
        <v>0.01</v>
      </c>
    </row>
    <row r="26" spans="2:16">
      <c r="B26" s="45">
        <v>0.71933980033865119</v>
      </c>
      <c r="C26" s="45">
        <v>-0.69465837045899725</v>
      </c>
      <c r="E26" s="45">
        <f t="shared" si="0"/>
        <v>0.37594640102632154</v>
      </c>
      <c r="F26" s="45">
        <f t="shared" si="1"/>
        <v>0.38930389462322201</v>
      </c>
      <c r="J26" s="45">
        <v>32</v>
      </c>
      <c r="K26" s="45">
        <f t="shared" si="2"/>
        <v>0.28679023919535263</v>
      </c>
      <c r="L26" s="45">
        <f t="shared" si="3"/>
        <v>0.45896032237626483</v>
      </c>
      <c r="O26" s="45">
        <f>O25</f>
        <v>0.36602540378443865</v>
      </c>
      <c r="P26" s="45">
        <f>P23</f>
        <v>-0.01</v>
      </c>
    </row>
    <row r="27" spans="2:16">
      <c r="B27" s="45">
        <v>0.69465837045899737</v>
      </c>
      <c r="C27" s="45">
        <v>-0.71933980033865108</v>
      </c>
      <c r="E27" s="45">
        <f t="shared" si="0"/>
        <v>0.38930389462322207</v>
      </c>
      <c r="F27" s="45">
        <f t="shared" si="1"/>
        <v>0.37594640102632149</v>
      </c>
      <c r="J27" s="45">
        <v>34</v>
      </c>
      <c r="K27" s="45">
        <f t="shared" si="2"/>
        <v>0.30263301858779701</v>
      </c>
      <c r="L27" s="45">
        <f t="shared" si="3"/>
        <v>0.4486719011414585</v>
      </c>
    </row>
    <row r="28" spans="2:16">
      <c r="B28" s="45">
        <v>0.66913060635885824</v>
      </c>
      <c r="C28" s="45">
        <v>-0.74314482547739413</v>
      </c>
      <c r="E28" s="45">
        <f t="shared" si="0"/>
        <v>0.40218708139219195</v>
      </c>
      <c r="F28" s="45">
        <f t="shared" si="1"/>
        <v>0.3621308746498742</v>
      </c>
      <c r="J28" s="45">
        <v>36</v>
      </c>
      <c r="K28" s="45">
        <f t="shared" si="2"/>
        <v>0.31810708626413498</v>
      </c>
      <c r="L28" s="45">
        <f t="shared" si="3"/>
        <v>0.43783684230771941</v>
      </c>
      <c r="M28" s="45">
        <v>70</v>
      </c>
      <c r="N28" s="45">
        <v>90</v>
      </c>
      <c r="O28" s="45">
        <f>COS((90-N28)*PI()/180)*SIN((90-M28)/2*PI()/180)*2^0.5</f>
        <v>0.24557560793794569</v>
      </c>
      <c r="P28" s="45">
        <f>P25</f>
        <v>0.01</v>
      </c>
    </row>
    <row r="29" spans="2:16">
      <c r="B29" s="45">
        <v>0.64278760968653936</v>
      </c>
      <c r="C29" s="45">
        <v>-0.76604444311897801</v>
      </c>
      <c r="E29" s="45">
        <f t="shared" si="0"/>
        <v>0.41458026515465618</v>
      </c>
      <c r="F29" s="45">
        <f t="shared" si="1"/>
        <v>0.34787414758465091</v>
      </c>
      <c r="J29" s="45">
        <v>38</v>
      </c>
      <c r="K29" s="45">
        <f t="shared" si="2"/>
        <v>0.33319358945650041</v>
      </c>
      <c r="L29" s="45">
        <f t="shared" si="3"/>
        <v>0.42646834672522371</v>
      </c>
      <c r="O29" s="45">
        <f>O28</f>
        <v>0.24557560793794569</v>
      </c>
      <c r="P29" s="45">
        <f>P26</f>
        <v>-0.01</v>
      </c>
    </row>
    <row r="30" spans="2:16">
      <c r="B30" s="45">
        <v>0.61566147532565829</v>
      </c>
      <c r="C30" s="45">
        <v>-0.78801075360672201</v>
      </c>
      <c r="E30" s="45">
        <f t="shared" si="0"/>
        <v>0.42646834672522371</v>
      </c>
      <c r="F30" s="45">
        <f t="shared" si="1"/>
        <v>0.33319358945650029</v>
      </c>
      <c r="J30" s="45">
        <v>40</v>
      </c>
      <c r="K30" s="45">
        <f t="shared" si="2"/>
        <v>0.34787414758465096</v>
      </c>
      <c r="L30" s="45">
        <f t="shared" si="3"/>
        <v>0.41458026515465618</v>
      </c>
    </row>
    <row r="31" spans="2:16">
      <c r="B31" s="45">
        <v>0.58778525229247314</v>
      </c>
      <c r="C31" s="45">
        <v>-0.80901699437494745</v>
      </c>
      <c r="E31" s="45">
        <f t="shared" si="0"/>
        <v>0.43783684230771941</v>
      </c>
      <c r="F31" s="45">
        <f t="shared" si="1"/>
        <v>0.31810708626413498</v>
      </c>
      <c r="J31" s="45">
        <v>42</v>
      </c>
      <c r="K31" s="45">
        <f t="shared" si="2"/>
        <v>0.3621308746498742</v>
      </c>
      <c r="L31" s="45">
        <f t="shared" si="3"/>
        <v>0.40218708139219195</v>
      </c>
      <c r="M31" s="45">
        <v>80</v>
      </c>
      <c r="N31" s="45">
        <v>90</v>
      </c>
      <c r="O31" s="45">
        <f>COS((90-N31)*PI()/180)*SIN((90-M31)/2*PI()/180)*2^0.5</f>
        <v>0.12325683343243871</v>
      </c>
      <c r="P31" s="45">
        <f>P28</f>
        <v>0.01</v>
      </c>
    </row>
    <row r="32" spans="2:16">
      <c r="B32" s="45">
        <v>0.55919290347074679</v>
      </c>
      <c r="C32" s="45">
        <v>-0.82903757255504174</v>
      </c>
      <c r="E32" s="45">
        <f t="shared" si="0"/>
        <v>0.44867190114145838</v>
      </c>
      <c r="F32" s="45">
        <f t="shared" si="1"/>
        <v>0.30263301858779701</v>
      </c>
      <c r="J32" s="45">
        <v>44</v>
      </c>
      <c r="K32" s="45">
        <f t="shared" si="2"/>
        <v>0.37594640102632154</v>
      </c>
      <c r="L32" s="45">
        <f t="shared" si="3"/>
        <v>0.38930389462322201</v>
      </c>
      <c r="O32" s="45">
        <f>O31</f>
        <v>0.12325683343243871</v>
      </c>
      <c r="P32" s="45">
        <f>P29</f>
        <v>-0.01</v>
      </c>
    </row>
    <row r="33" spans="2:16">
      <c r="B33" s="45">
        <v>0.5299192642332049</v>
      </c>
      <c r="C33" s="45">
        <v>-0.84804809615642596</v>
      </c>
      <c r="E33" s="45">
        <f t="shared" si="0"/>
        <v>0.45896032237626483</v>
      </c>
      <c r="F33" s="45">
        <f t="shared" si="1"/>
        <v>0.28679023919535263</v>
      </c>
      <c r="J33" s="45">
        <v>46</v>
      </c>
      <c r="K33" s="45">
        <f t="shared" si="2"/>
        <v>0.38930389462322207</v>
      </c>
      <c r="L33" s="45">
        <f t="shared" si="3"/>
        <v>0.37594640102632149</v>
      </c>
    </row>
    <row r="34" spans="2:16">
      <c r="B34" s="45">
        <v>0.5</v>
      </c>
      <c r="C34" s="45">
        <v>-0.8660254037844386</v>
      </c>
      <c r="E34" s="45">
        <f t="shared" si="0"/>
        <v>0.46868957115567378</v>
      </c>
      <c r="F34" s="45">
        <f t="shared" si="1"/>
        <v>0.27059805007309851</v>
      </c>
      <c r="J34" s="45">
        <v>48</v>
      </c>
      <c r="K34" s="45">
        <f t="shared" si="2"/>
        <v>0.40218708139219195</v>
      </c>
      <c r="L34" s="45">
        <f t="shared" si="3"/>
        <v>0.3621308746498742</v>
      </c>
      <c r="M34" s="45">
        <v>10</v>
      </c>
      <c r="N34" s="45">
        <v>270</v>
      </c>
      <c r="O34" s="45">
        <f>COS((90-N34)*PI()/180)*SIN((90-M34)/2*PI()/180)*2^0.5</f>
        <v>-0.9090389553440873</v>
      </c>
      <c r="P34" s="45">
        <f>P31</f>
        <v>0.01</v>
      </c>
    </row>
    <row r="35" spans="2:16">
      <c r="B35" s="45">
        <v>0.46947156278589086</v>
      </c>
      <c r="C35" s="45">
        <v>-0.88294759285892688</v>
      </c>
      <c r="E35" s="45">
        <f t="shared" si="0"/>
        <v>0.47784779388872345</v>
      </c>
      <c r="F35" s="45">
        <f t="shared" si="1"/>
        <v>0.25407617890926459</v>
      </c>
      <c r="J35" s="45">
        <v>50</v>
      </c>
      <c r="K35" s="45">
        <f t="shared" si="2"/>
        <v>0.41458026515465618</v>
      </c>
      <c r="L35" s="45">
        <f t="shared" si="3"/>
        <v>0.34787414758465091</v>
      </c>
      <c r="O35" s="45">
        <f>O34</f>
        <v>-0.9090389553440873</v>
      </c>
      <c r="P35" s="45">
        <f>-P34</f>
        <v>-0.01</v>
      </c>
    </row>
    <row r="36" spans="2:16">
      <c r="B36" s="45">
        <v>0.43837114678907746</v>
      </c>
      <c r="C36" s="45">
        <v>-0.89879404629916704</v>
      </c>
      <c r="E36" s="45">
        <f t="shared" si="0"/>
        <v>0.48642383269172962</v>
      </c>
      <c r="F36" s="45">
        <f t="shared" si="1"/>
        <v>0.23724475505886475</v>
      </c>
      <c r="J36" s="45">
        <v>52</v>
      </c>
      <c r="K36" s="45">
        <f t="shared" si="2"/>
        <v>0.42646834672522371</v>
      </c>
      <c r="L36" s="45">
        <f t="shared" si="3"/>
        <v>0.33319358945650029</v>
      </c>
    </row>
    <row r="37" spans="2:16">
      <c r="B37" s="45">
        <v>0.40673664307580021</v>
      </c>
      <c r="C37" s="45">
        <v>-0.91354545764260087</v>
      </c>
      <c r="E37" s="45">
        <f t="shared" si="0"/>
        <v>0.49440723898244837</v>
      </c>
      <c r="F37" s="45">
        <f t="shared" si="1"/>
        <v>0.22012428501917872</v>
      </c>
      <c r="J37" s="45">
        <v>54</v>
      </c>
      <c r="K37" s="45">
        <f t="shared" si="2"/>
        <v>0.43783684230771941</v>
      </c>
      <c r="L37" s="45">
        <f t="shared" si="3"/>
        <v>0.31810708626413498</v>
      </c>
      <c r="M37" s="45">
        <v>20</v>
      </c>
      <c r="N37" s="45">
        <v>270</v>
      </c>
      <c r="O37" s="45">
        <f>COS((90-N37)*PI()/180)*SIN((90-M37)/2*PI()/180)*2^0.5</f>
        <v>-0.81115957534527772</v>
      </c>
      <c r="P37" s="45">
        <f>P34</f>
        <v>0.01</v>
      </c>
    </row>
    <row r="38" spans="2:16">
      <c r="B38" s="45">
        <v>0.37460659341591196</v>
      </c>
      <c r="C38" s="45">
        <v>-0.92718385456678742</v>
      </c>
      <c r="E38" s="45">
        <f t="shared" si="0"/>
        <v>0.50178828621006411</v>
      </c>
      <c r="F38" s="45">
        <f t="shared" si="1"/>
        <v>0.20273562744574361</v>
      </c>
      <c r="J38" s="45">
        <v>56</v>
      </c>
      <c r="K38" s="45">
        <f t="shared" si="2"/>
        <v>0.44867190114145838</v>
      </c>
      <c r="L38" s="45">
        <f t="shared" si="3"/>
        <v>0.30263301858779701</v>
      </c>
      <c r="O38" s="45">
        <f>O37</f>
        <v>-0.81115957534527772</v>
      </c>
      <c r="P38" s="45">
        <f>P35</f>
        <v>-0.01</v>
      </c>
    </row>
    <row r="39" spans="2:16">
      <c r="B39" s="45">
        <v>0.34202014332566882</v>
      </c>
      <c r="C39" s="45">
        <v>-0.93969262078590832</v>
      </c>
      <c r="E39" s="45">
        <f t="shared" si="0"/>
        <v>0.50855798170549293</v>
      </c>
      <c r="F39" s="45">
        <f t="shared" si="1"/>
        <v>0.18509996773929527</v>
      </c>
      <c r="J39" s="45">
        <v>58</v>
      </c>
      <c r="K39" s="45">
        <f t="shared" si="2"/>
        <v>0.45896032237626483</v>
      </c>
      <c r="L39" s="45">
        <f t="shared" si="3"/>
        <v>0.28679023919535263</v>
      </c>
    </row>
    <row r="40" spans="2:16">
      <c r="B40" s="45">
        <v>0.30901699437494745</v>
      </c>
      <c r="C40" s="45">
        <v>-0.95105651629515353</v>
      </c>
      <c r="E40" s="45">
        <f t="shared" si="0"/>
        <v>0.51470807763756521</v>
      </c>
      <c r="F40" s="45">
        <f t="shared" si="1"/>
        <v>0.16723879223462085</v>
      </c>
      <c r="J40" s="45">
        <v>60</v>
      </c>
      <c r="K40" s="45">
        <f t="shared" si="2"/>
        <v>0.46868957115567378</v>
      </c>
      <c r="L40" s="45">
        <f t="shared" si="3"/>
        <v>0.27059805007309851</v>
      </c>
      <c r="M40" s="45">
        <v>30</v>
      </c>
      <c r="N40" s="45">
        <v>270</v>
      </c>
      <c r="O40" s="45">
        <f>COS((90-N40)*PI()/180)*SIN((90-M40)/2*PI()/180)*2^0.5</f>
        <v>-0.70710678118654746</v>
      </c>
      <c r="P40" s="45">
        <f>P37</f>
        <v>0.01</v>
      </c>
    </row>
    <row r="41" spans="2:16">
      <c r="B41" s="45">
        <v>0.27563735581699916</v>
      </c>
      <c r="C41" s="45">
        <v>-0.96126169593831889</v>
      </c>
      <c r="E41" s="45">
        <f t="shared" si="0"/>
        <v>0.52023108106173765</v>
      </c>
      <c r="F41" s="45">
        <f t="shared" si="1"/>
        <v>0.14917386202276961</v>
      </c>
      <c r="J41" s="45">
        <v>62</v>
      </c>
      <c r="K41" s="45">
        <f t="shared" si="2"/>
        <v>0.47784779388872345</v>
      </c>
      <c r="L41" s="45">
        <f t="shared" si="3"/>
        <v>0.25407617890926459</v>
      </c>
      <c r="O41" s="45">
        <f>O40</f>
        <v>-0.70710678118654746</v>
      </c>
      <c r="P41" s="45">
        <f>P38</f>
        <v>-0.01</v>
      </c>
    </row>
    <row r="42" spans="2:16">
      <c r="B42" s="45">
        <v>0.2419218955996679</v>
      </c>
      <c r="C42" s="45">
        <v>-0.97029572627599647</v>
      </c>
      <c r="E42" s="45">
        <f t="shared" si="0"/>
        <v>0.52512026304909121</v>
      </c>
      <c r="F42" s="45">
        <f t="shared" si="1"/>
        <v>0.13092718643851561</v>
      </c>
      <c r="J42" s="45">
        <v>64</v>
      </c>
      <c r="K42" s="45">
        <f t="shared" si="2"/>
        <v>0.48642383269172962</v>
      </c>
      <c r="L42" s="45">
        <f t="shared" si="3"/>
        <v>0.23724475505886475</v>
      </c>
    </row>
    <row r="43" spans="2:16">
      <c r="B43" s="45">
        <v>0.20791169081775945</v>
      </c>
      <c r="C43" s="45">
        <v>-0.97814760073380558</v>
      </c>
      <c r="E43" s="45">
        <f t="shared" si="0"/>
        <v>0.52936966688449505</v>
      </c>
      <c r="F43" s="45">
        <f t="shared" si="1"/>
        <v>0.11252099624537323</v>
      </c>
      <c r="J43" s="45">
        <v>66</v>
      </c>
      <c r="K43" s="45">
        <f t="shared" si="2"/>
        <v>0.49440723898244837</v>
      </c>
      <c r="L43" s="45">
        <f t="shared" si="3"/>
        <v>0.22012428501917872</v>
      </c>
      <c r="M43" s="45">
        <v>40</v>
      </c>
      <c r="N43" s="45">
        <v>270</v>
      </c>
      <c r="O43" s="45">
        <f>COS((90-N43)*PI()/180)*SIN((90-M43)/2*PI()/180)*2^0.5</f>
        <v>-0.59767247746023966</v>
      </c>
      <c r="P43" s="45">
        <f>P40</f>
        <v>0.01</v>
      </c>
    </row>
    <row r="44" spans="2:16">
      <c r="B44" s="45">
        <v>0.17364817766693041</v>
      </c>
      <c r="C44" s="45">
        <v>-0.98480775301220802</v>
      </c>
      <c r="E44" s="45">
        <f t="shared" si="0"/>
        <v>0.53297411532394623</v>
      </c>
      <c r="F44" s="45">
        <f t="shared" si="1"/>
        <v>9.3977716550836629E-2</v>
      </c>
      <c r="J44" s="45">
        <v>68</v>
      </c>
      <c r="K44" s="45">
        <f t="shared" si="2"/>
        <v>0.50178828621006411</v>
      </c>
      <c r="L44" s="45">
        <f t="shared" si="3"/>
        <v>0.20273562744574361</v>
      </c>
      <c r="O44" s="45">
        <f>O43</f>
        <v>-0.59767247746023966</v>
      </c>
      <c r="P44" s="45">
        <f>P41</f>
        <v>-0.01</v>
      </c>
    </row>
    <row r="45" spans="2:16">
      <c r="B45" s="45">
        <v>0.13917310096006569</v>
      </c>
      <c r="C45" s="45">
        <v>-0.99026806874157025</v>
      </c>
      <c r="E45" s="45">
        <f t="shared" si="0"/>
        <v>0.53592921690224404</v>
      </c>
      <c r="F45" s="45">
        <f t="shared" si="1"/>
        <v>7.5319939484840365E-2</v>
      </c>
      <c r="J45" s="45">
        <v>70</v>
      </c>
      <c r="K45" s="45">
        <f t="shared" si="2"/>
        <v>0.50855798170549293</v>
      </c>
      <c r="L45" s="45">
        <f t="shared" si="3"/>
        <v>0.18509996773929527</v>
      </c>
    </row>
    <row r="46" spans="2:16">
      <c r="B46" s="45">
        <v>0.10452846326765346</v>
      </c>
      <c r="C46" s="45">
        <v>-0.99452189536827329</v>
      </c>
      <c r="E46" s="45">
        <f t="shared" si="0"/>
        <v>0.53823137128331366</v>
      </c>
      <c r="F46" s="45">
        <f t="shared" si="1"/>
        <v>5.6570396674729059E-2</v>
      </c>
      <c r="J46" s="45">
        <v>72</v>
      </c>
      <c r="K46" s="45">
        <f t="shared" si="2"/>
        <v>0.51470807763756521</v>
      </c>
      <c r="L46" s="45">
        <f t="shared" si="3"/>
        <v>0.16723879223462085</v>
      </c>
      <c r="M46" s="45">
        <v>50</v>
      </c>
      <c r="N46" s="45">
        <v>270</v>
      </c>
      <c r="O46" s="45">
        <f>COS((90-N46)*PI()/180)*SIN((90-M46)/2*PI()/180)*2^0.5</f>
        <v>-0.48368952529595055</v>
      </c>
      <c r="P46" s="45">
        <f>P43</f>
        <v>0.01</v>
      </c>
    </row>
    <row r="47" spans="2:16">
      <c r="B47" s="45">
        <v>6.9756473744125455E-2</v>
      </c>
      <c r="C47" s="45">
        <v>-0.9975640502598242</v>
      </c>
      <c r="E47" s="45">
        <f t="shared" si="0"/>
        <v>0.53987777364666167</v>
      </c>
      <c r="F47" s="45">
        <f t="shared" si="1"/>
        <v>3.7751931550271199E-2</v>
      </c>
      <c r="J47" s="45">
        <v>74</v>
      </c>
      <c r="K47" s="45">
        <f t="shared" si="2"/>
        <v>0.52023108106173765</v>
      </c>
      <c r="L47" s="45">
        <f t="shared" si="3"/>
        <v>0.14917386202276961</v>
      </c>
      <c r="O47" s="45">
        <f>O46</f>
        <v>-0.48368952529595055</v>
      </c>
      <c r="P47" s="45">
        <f>P44</f>
        <v>-0.01</v>
      </c>
    </row>
    <row r="48" spans="2:16">
      <c r="B48" s="45">
        <v>3.489949670250108E-2</v>
      </c>
      <c r="C48" s="45">
        <v>-0.99939082701909576</v>
      </c>
      <c r="E48" s="45">
        <f t="shared" si="0"/>
        <v>0.54086641810461722</v>
      </c>
      <c r="F48" s="45">
        <f t="shared" si="1"/>
        <v>1.8887471512458589E-2</v>
      </c>
      <c r="J48" s="45">
        <v>76</v>
      </c>
      <c r="K48" s="45">
        <f t="shared" si="2"/>
        <v>0.52512026304909121</v>
      </c>
      <c r="L48" s="45">
        <f t="shared" si="3"/>
        <v>0.13092718643851561</v>
      </c>
    </row>
    <row r="49" spans="2:16">
      <c r="B49" s="45">
        <v>6.1257422745431001E-17</v>
      </c>
      <c r="C49" s="45">
        <v>-1</v>
      </c>
      <c r="E49" s="45">
        <f t="shared" si="0"/>
        <v>0.54119610014619701</v>
      </c>
      <c r="F49" s="45">
        <f t="shared" si="1"/>
        <v>0</v>
      </c>
      <c r="J49" s="45">
        <v>78</v>
      </c>
      <c r="K49" s="45">
        <f t="shared" si="2"/>
        <v>0.52936966688449505</v>
      </c>
      <c r="L49" s="45">
        <f t="shared" si="3"/>
        <v>0.11252099624537323</v>
      </c>
      <c r="M49" s="45">
        <v>60</v>
      </c>
      <c r="N49" s="45">
        <v>270</v>
      </c>
      <c r="O49" s="45">
        <f>COS((90-N49)*PI()/180)*SIN((90-M49)/2*PI()/180)*2^0.5</f>
        <v>-0.36602540378443865</v>
      </c>
      <c r="P49" s="45">
        <f>P46</f>
        <v>0.01</v>
      </c>
    </row>
    <row r="50" spans="2:16">
      <c r="B50" s="45">
        <v>-3.4899496702500733E-2</v>
      </c>
      <c r="C50" s="45">
        <v>-0.99939082701909576</v>
      </c>
      <c r="E50" s="45">
        <f t="shared" si="0"/>
        <v>0.54086641810461722</v>
      </c>
      <c r="F50" s="45">
        <f t="shared" si="1"/>
        <v>-1.8887471512458589E-2</v>
      </c>
      <c r="J50" s="45">
        <v>80</v>
      </c>
      <c r="K50" s="45">
        <f t="shared" si="2"/>
        <v>0.53297411532394623</v>
      </c>
      <c r="L50" s="45">
        <f t="shared" si="3"/>
        <v>9.3977716550836629E-2</v>
      </c>
      <c r="O50" s="45">
        <f>O49</f>
        <v>-0.36602540378443865</v>
      </c>
      <c r="P50" s="45">
        <f>P47</f>
        <v>-0.01</v>
      </c>
    </row>
    <row r="51" spans="2:16">
      <c r="B51" s="45">
        <v>-6.975647374412533E-2</v>
      </c>
      <c r="C51" s="45">
        <v>-0.9975640502598242</v>
      </c>
      <c r="E51" s="45">
        <f t="shared" si="0"/>
        <v>0.53987777364666167</v>
      </c>
      <c r="F51" s="45">
        <f t="shared" si="1"/>
        <v>-3.7751931550271199E-2</v>
      </c>
      <c r="J51" s="45">
        <v>82</v>
      </c>
      <c r="K51" s="45">
        <f t="shared" si="2"/>
        <v>0.53592921690224404</v>
      </c>
      <c r="L51" s="45">
        <f t="shared" si="3"/>
        <v>7.5319939484840365E-2</v>
      </c>
    </row>
    <row r="52" spans="2:16">
      <c r="B52" s="45">
        <v>-0.10452846326765333</v>
      </c>
      <c r="C52" s="45">
        <v>-0.9945218953682734</v>
      </c>
      <c r="E52" s="45">
        <f t="shared" si="0"/>
        <v>0.53823137128331366</v>
      </c>
      <c r="F52" s="45">
        <f t="shared" si="1"/>
        <v>-5.6570396674729059E-2</v>
      </c>
      <c r="J52" s="45">
        <v>84</v>
      </c>
      <c r="K52" s="45">
        <f t="shared" si="2"/>
        <v>0.53823137128331366</v>
      </c>
      <c r="L52" s="45">
        <f t="shared" si="3"/>
        <v>5.6570396674729059E-2</v>
      </c>
      <c r="M52" s="45">
        <v>70</v>
      </c>
      <c r="N52" s="45">
        <v>270</v>
      </c>
      <c r="O52" s="45">
        <f>COS((90-N52)*PI()/180)*SIN((90-M52)/2*PI()/180)*2^0.5</f>
        <v>-0.24557560793794569</v>
      </c>
      <c r="P52" s="45">
        <f>P49</f>
        <v>0.01</v>
      </c>
    </row>
    <row r="53" spans="2:16">
      <c r="B53" s="45">
        <v>-0.13917310096006535</v>
      </c>
      <c r="C53" s="45">
        <v>-0.99026806874157036</v>
      </c>
      <c r="E53" s="45">
        <f t="shared" si="0"/>
        <v>0.53592921690224404</v>
      </c>
      <c r="F53" s="45">
        <f t="shared" si="1"/>
        <v>-7.5319939484840365E-2</v>
      </c>
      <c r="J53" s="45">
        <v>86</v>
      </c>
      <c r="K53" s="45">
        <f t="shared" si="2"/>
        <v>0.53987777364666167</v>
      </c>
      <c r="L53" s="45">
        <f t="shared" si="3"/>
        <v>3.7751931550271199E-2</v>
      </c>
      <c r="O53" s="45">
        <f>O52</f>
        <v>-0.24557560793794569</v>
      </c>
      <c r="P53" s="45">
        <f>P50</f>
        <v>-0.01</v>
      </c>
    </row>
    <row r="54" spans="2:16">
      <c r="B54" s="45">
        <v>-0.1736481776669303</v>
      </c>
      <c r="C54" s="45">
        <v>-0.98480775301220802</v>
      </c>
      <c r="E54" s="45">
        <f t="shared" si="0"/>
        <v>0.53297411532394623</v>
      </c>
      <c r="F54" s="45">
        <f t="shared" si="1"/>
        <v>-9.3977716550836629E-2</v>
      </c>
      <c r="J54" s="45">
        <v>88</v>
      </c>
      <c r="K54" s="45">
        <f t="shared" si="2"/>
        <v>0.54086641810461722</v>
      </c>
      <c r="L54" s="45">
        <f t="shared" si="3"/>
        <v>1.8887471512458589E-2</v>
      </c>
    </row>
    <row r="55" spans="2:16">
      <c r="B55" s="45">
        <v>-0.20791169081775912</v>
      </c>
      <c r="C55" s="45">
        <v>-0.97814760073380569</v>
      </c>
      <c r="E55" s="45">
        <f t="shared" si="0"/>
        <v>0.52936966688449505</v>
      </c>
      <c r="F55" s="45">
        <f t="shared" si="1"/>
        <v>-0.11252099624537323</v>
      </c>
      <c r="J55" s="45">
        <v>90</v>
      </c>
      <c r="K55" s="45">
        <f t="shared" si="2"/>
        <v>0.54119610014619701</v>
      </c>
      <c r="L55" s="45">
        <f t="shared" si="3"/>
        <v>0</v>
      </c>
      <c r="M55" s="45">
        <v>80</v>
      </c>
      <c r="N55" s="45">
        <v>270</v>
      </c>
      <c r="O55" s="45">
        <f>COS((90-N55)*PI()/180)*SIN((90-M55)/2*PI()/180)*2^0.5</f>
        <v>-0.12325683343243871</v>
      </c>
      <c r="P55" s="45">
        <f>P52</f>
        <v>0.01</v>
      </c>
    </row>
    <row r="56" spans="2:16">
      <c r="B56" s="45">
        <v>-0.24192189559966779</v>
      </c>
      <c r="C56" s="45">
        <v>-0.97029572627599647</v>
      </c>
      <c r="E56" s="45">
        <f t="shared" si="0"/>
        <v>0.52512026304909121</v>
      </c>
      <c r="F56" s="45">
        <f t="shared" si="1"/>
        <v>-0.13092718643851561</v>
      </c>
      <c r="J56" s="45">
        <v>92</v>
      </c>
      <c r="K56" s="45">
        <f t="shared" si="2"/>
        <v>0.54086641810461722</v>
      </c>
      <c r="L56" s="45">
        <f t="shared" si="3"/>
        <v>-1.8887471512458589E-2</v>
      </c>
      <c r="O56" s="45">
        <f>O55</f>
        <v>-0.12325683343243871</v>
      </c>
      <c r="P56" s="45">
        <f>P53</f>
        <v>-0.01</v>
      </c>
    </row>
    <row r="57" spans="2:16">
      <c r="B57" s="45">
        <v>-0.27563735581699905</v>
      </c>
      <c r="C57" s="45">
        <v>-0.96126169593831889</v>
      </c>
      <c r="E57" s="45">
        <f t="shared" si="0"/>
        <v>0.52023108106173765</v>
      </c>
      <c r="F57" s="45">
        <f t="shared" si="1"/>
        <v>-0.14917386202276961</v>
      </c>
      <c r="J57" s="45">
        <v>94</v>
      </c>
      <c r="K57" s="45">
        <f t="shared" si="2"/>
        <v>0.53987777364666167</v>
      </c>
      <c r="L57" s="45">
        <f t="shared" si="3"/>
        <v>-3.7751931550271199E-2</v>
      </c>
    </row>
    <row r="58" spans="2:16">
      <c r="B58" s="45">
        <v>-0.30901699437494734</v>
      </c>
      <c r="C58" s="45">
        <v>-0.95105651629515364</v>
      </c>
      <c r="E58" s="45">
        <f t="shared" si="0"/>
        <v>0.51470807763756521</v>
      </c>
      <c r="F58" s="45">
        <f t="shared" si="1"/>
        <v>-0.16723879223462085</v>
      </c>
      <c r="J58" s="45">
        <v>96</v>
      </c>
      <c r="K58" s="45">
        <f t="shared" si="2"/>
        <v>0.53823137128331366</v>
      </c>
      <c r="L58" s="45">
        <f t="shared" si="3"/>
        <v>-5.6570396674729059E-2</v>
      </c>
    </row>
    <row r="59" spans="2:16">
      <c r="B59" s="45">
        <v>-0.34202014332566871</v>
      </c>
      <c r="C59" s="45">
        <v>-0.93969262078590843</v>
      </c>
      <c r="E59" s="45">
        <f t="shared" si="0"/>
        <v>0.50855798170549293</v>
      </c>
      <c r="F59" s="45">
        <f t="shared" si="1"/>
        <v>-0.18509996773929527</v>
      </c>
      <c r="J59" s="45">
        <v>98</v>
      </c>
      <c r="K59" s="45">
        <f t="shared" si="2"/>
        <v>0.53592921690224404</v>
      </c>
      <c r="L59" s="45">
        <f t="shared" si="3"/>
        <v>-7.5319939484840365E-2</v>
      </c>
      <c r="O59" s="45">
        <f>P10</f>
        <v>0.01</v>
      </c>
      <c r="P59" s="45">
        <f>O10</f>
        <v>0.9090389553440873</v>
      </c>
    </row>
    <row r="60" spans="2:16">
      <c r="B60" s="45">
        <v>-0.37460659341591207</v>
      </c>
      <c r="C60" s="45">
        <v>-0.92718385456678742</v>
      </c>
      <c r="E60" s="45">
        <f t="shared" si="0"/>
        <v>0.50178828621006411</v>
      </c>
      <c r="F60" s="45">
        <f t="shared" si="1"/>
        <v>-0.20273562744574361</v>
      </c>
      <c r="J60" s="45">
        <v>100</v>
      </c>
      <c r="K60" s="45">
        <f t="shared" si="2"/>
        <v>0.53297411532394623</v>
      </c>
      <c r="L60" s="45">
        <f t="shared" si="3"/>
        <v>-9.3977716550836629E-2</v>
      </c>
      <c r="O60" s="45">
        <f>P11</f>
        <v>-0.01</v>
      </c>
      <c r="P60" s="45">
        <f>O11</f>
        <v>0.9090389553440873</v>
      </c>
    </row>
    <row r="61" spans="2:16">
      <c r="B61" s="45">
        <v>-0.40673664307580004</v>
      </c>
      <c r="C61" s="45">
        <v>-0.91354545764260098</v>
      </c>
      <c r="E61" s="45">
        <f t="shared" si="0"/>
        <v>0.49440723898244837</v>
      </c>
      <c r="F61" s="45">
        <f t="shared" si="1"/>
        <v>-0.22012428501917872</v>
      </c>
      <c r="J61" s="45">
        <v>102</v>
      </c>
      <c r="K61" s="45">
        <f t="shared" si="2"/>
        <v>0.52936966688449505</v>
      </c>
      <c r="L61" s="45">
        <f t="shared" si="3"/>
        <v>-0.11252099624537323</v>
      </c>
    </row>
    <row r="62" spans="2:16">
      <c r="B62" s="45">
        <v>-0.43837114678907751</v>
      </c>
      <c r="C62" s="45">
        <v>-0.89879404629916693</v>
      </c>
      <c r="E62" s="45">
        <f t="shared" si="0"/>
        <v>0.48642383269172962</v>
      </c>
      <c r="F62" s="45">
        <f t="shared" si="1"/>
        <v>-0.23724475505886475</v>
      </c>
      <c r="J62" s="45">
        <v>104</v>
      </c>
      <c r="K62" s="45">
        <f t="shared" si="2"/>
        <v>0.52512026304909121</v>
      </c>
      <c r="L62" s="45">
        <f t="shared" si="3"/>
        <v>-0.13092718643851561</v>
      </c>
      <c r="O62" s="45">
        <f>P13</f>
        <v>0.01</v>
      </c>
      <c r="P62" s="45">
        <f>O13</f>
        <v>0.81115957534527772</v>
      </c>
    </row>
    <row r="63" spans="2:16">
      <c r="B63" s="45">
        <v>-0.46947156278589053</v>
      </c>
      <c r="C63" s="45">
        <v>-0.8829475928589271</v>
      </c>
      <c r="E63" s="45">
        <f t="shared" si="0"/>
        <v>0.47784779388872345</v>
      </c>
      <c r="F63" s="45">
        <f t="shared" si="1"/>
        <v>-0.25407617890926459</v>
      </c>
      <c r="J63" s="45">
        <v>106</v>
      </c>
      <c r="K63" s="45">
        <f t="shared" si="2"/>
        <v>0.52023108106173765</v>
      </c>
      <c r="L63" s="45">
        <f t="shared" si="3"/>
        <v>-0.14917386202276961</v>
      </c>
      <c r="O63" s="45">
        <f>P14</f>
        <v>-0.01</v>
      </c>
      <c r="P63" s="45">
        <f>O14</f>
        <v>0.81115957534527772</v>
      </c>
    </row>
    <row r="64" spans="2:16">
      <c r="B64" s="45">
        <v>-0.5</v>
      </c>
      <c r="C64" s="45">
        <v>-0.86602540378443871</v>
      </c>
      <c r="E64" s="45">
        <f t="shared" si="0"/>
        <v>0.46868957115567378</v>
      </c>
      <c r="F64" s="45">
        <f t="shared" si="1"/>
        <v>-0.27059805007309851</v>
      </c>
      <c r="J64" s="45">
        <v>108</v>
      </c>
      <c r="K64" s="45">
        <f t="shared" si="2"/>
        <v>0.51470807763756521</v>
      </c>
      <c r="L64" s="45">
        <f t="shared" si="3"/>
        <v>-0.16723879223462085</v>
      </c>
    </row>
    <row r="65" spans="2:16">
      <c r="B65" s="45">
        <v>-0.52991926423320479</v>
      </c>
      <c r="C65" s="45">
        <v>-0.84804809615642607</v>
      </c>
      <c r="E65" s="45">
        <f t="shared" si="0"/>
        <v>0.45896032237626483</v>
      </c>
      <c r="F65" s="45">
        <f t="shared" si="1"/>
        <v>-0.28679023919535263</v>
      </c>
      <c r="J65" s="45">
        <v>110</v>
      </c>
      <c r="K65" s="45">
        <f t="shared" si="2"/>
        <v>0.50855798170549293</v>
      </c>
      <c r="L65" s="45">
        <f t="shared" si="3"/>
        <v>-0.18509996773929527</v>
      </c>
      <c r="O65" s="45">
        <f>P16</f>
        <v>0.01</v>
      </c>
      <c r="P65" s="45">
        <f>O16</f>
        <v>0.70710678118654746</v>
      </c>
    </row>
    <row r="66" spans="2:16">
      <c r="B66" s="45">
        <v>-0.55919290347074668</v>
      </c>
      <c r="C66" s="45">
        <v>-0.82903757255504174</v>
      </c>
      <c r="E66" s="45">
        <f t="shared" si="0"/>
        <v>0.44867190114145838</v>
      </c>
      <c r="F66" s="45">
        <f t="shared" si="1"/>
        <v>-0.30263301858779701</v>
      </c>
      <c r="J66" s="45">
        <v>112</v>
      </c>
      <c r="K66" s="45">
        <f t="shared" si="2"/>
        <v>0.50178828621006411</v>
      </c>
      <c r="L66" s="45">
        <f t="shared" si="3"/>
        <v>-0.20273562744574361</v>
      </c>
      <c r="O66" s="45">
        <f>P17</f>
        <v>-0.01</v>
      </c>
      <c r="P66" s="45">
        <f>O17</f>
        <v>0.70710678118654746</v>
      </c>
    </row>
    <row r="67" spans="2:16">
      <c r="B67" s="45">
        <v>-0.58778525229247303</v>
      </c>
      <c r="C67" s="45">
        <v>-0.80901699437494745</v>
      </c>
      <c r="E67" s="45">
        <f t="shared" si="0"/>
        <v>0.43783684230771941</v>
      </c>
      <c r="F67" s="45">
        <f t="shared" si="1"/>
        <v>-0.31810708626413498</v>
      </c>
      <c r="J67" s="45">
        <v>114</v>
      </c>
      <c r="K67" s="45">
        <f t="shared" si="2"/>
        <v>0.49440723898244837</v>
      </c>
      <c r="L67" s="45">
        <f t="shared" si="3"/>
        <v>-0.22012428501917872</v>
      </c>
    </row>
    <row r="68" spans="2:16">
      <c r="B68" s="45">
        <v>-0.61566147532565829</v>
      </c>
      <c r="C68" s="45">
        <v>-0.78801075360672201</v>
      </c>
      <c r="E68" s="45">
        <f t="shared" si="0"/>
        <v>0.42646834672522371</v>
      </c>
      <c r="F68" s="45">
        <f t="shared" si="1"/>
        <v>-0.33319358945650029</v>
      </c>
      <c r="J68" s="45">
        <v>116</v>
      </c>
      <c r="K68" s="45">
        <f t="shared" si="2"/>
        <v>0.48642383269172962</v>
      </c>
      <c r="L68" s="45">
        <f t="shared" si="3"/>
        <v>-0.23724475505886475</v>
      </c>
      <c r="O68" s="45">
        <f>P19</f>
        <v>0.01</v>
      </c>
      <c r="P68" s="45">
        <f>O19</f>
        <v>0.59767247746023966</v>
      </c>
    </row>
    <row r="69" spans="2:16">
      <c r="B69" s="45">
        <v>-0.64278760968653936</v>
      </c>
      <c r="C69" s="45">
        <v>-0.76604444311897801</v>
      </c>
      <c r="E69" s="45">
        <f t="shared" ref="E69:E132" si="4">K75</f>
        <v>0.41458026515465618</v>
      </c>
      <c r="F69" s="45">
        <f t="shared" ref="F69:F132" si="5">L75</f>
        <v>-0.34787414758465091</v>
      </c>
      <c r="J69" s="45">
        <v>118</v>
      </c>
      <c r="K69" s="45">
        <f t="shared" si="2"/>
        <v>0.47784779388872345</v>
      </c>
      <c r="L69" s="45">
        <f t="shared" si="3"/>
        <v>-0.25407617890926459</v>
      </c>
      <c r="O69" s="45">
        <f>P20</f>
        <v>-0.01</v>
      </c>
      <c r="P69" s="45">
        <f>O20</f>
        <v>0.59767247746023966</v>
      </c>
    </row>
    <row r="70" spans="2:16">
      <c r="B70" s="45">
        <v>-0.66913060635885824</v>
      </c>
      <c r="C70" s="45">
        <v>-0.74314482547739424</v>
      </c>
      <c r="E70" s="45">
        <f t="shared" si="4"/>
        <v>0.40218708139219195</v>
      </c>
      <c r="F70" s="45">
        <f t="shared" si="5"/>
        <v>-0.3621308746498742</v>
      </c>
      <c r="J70" s="45">
        <v>120</v>
      </c>
      <c r="K70" s="45">
        <f t="shared" si="2"/>
        <v>0.46868957115567378</v>
      </c>
      <c r="L70" s="45">
        <f t="shared" si="3"/>
        <v>-0.27059805007309851</v>
      </c>
    </row>
    <row r="71" spans="2:16">
      <c r="B71" s="45">
        <v>-0.69465837045899703</v>
      </c>
      <c r="C71" s="45">
        <v>-0.71933980033865141</v>
      </c>
      <c r="E71" s="45">
        <f t="shared" si="4"/>
        <v>0.38930389462322207</v>
      </c>
      <c r="F71" s="45">
        <f t="shared" si="5"/>
        <v>-0.37594640102632149</v>
      </c>
      <c r="J71" s="45">
        <v>122</v>
      </c>
      <c r="K71" s="45">
        <f t="shared" si="2"/>
        <v>0.45896032237626483</v>
      </c>
      <c r="L71" s="45">
        <f t="shared" si="3"/>
        <v>-0.28679023919535263</v>
      </c>
      <c r="O71" s="45">
        <f>P22</f>
        <v>0.01</v>
      </c>
      <c r="P71" s="45">
        <f>O22</f>
        <v>0.48368952529595055</v>
      </c>
    </row>
    <row r="72" spans="2:16">
      <c r="B72" s="45">
        <v>-0.71933980033865119</v>
      </c>
      <c r="C72" s="45">
        <v>-0.69465837045899714</v>
      </c>
      <c r="E72" s="45">
        <f t="shared" si="4"/>
        <v>0.37594640102632154</v>
      </c>
      <c r="F72" s="45">
        <f t="shared" si="5"/>
        <v>-0.38930389462322201</v>
      </c>
      <c r="J72" s="45">
        <v>124</v>
      </c>
      <c r="K72" s="45">
        <f t="shared" si="2"/>
        <v>0.44867190114145838</v>
      </c>
      <c r="L72" s="45">
        <f t="shared" si="3"/>
        <v>-0.30263301858779701</v>
      </c>
      <c r="O72" s="45">
        <f>P23</f>
        <v>-0.01</v>
      </c>
      <c r="P72" s="45">
        <f>O23</f>
        <v>0.48368952529595055</v>
      </c>
    </row>
    <row r="73" spans="2:16">
      <c r="B73" s="45">
        <v>-0.74314482547739402</v>
      </c>
      <c r="C73" s="45">
        <v>-0.66913060635885835</v>
      </c>
      <c r="E73" s="45">
        <f t="shared" si="4"/>
        <v>0.3621308746498742</v>
      </c>
      <c r="F73" s="45">
        <f t="shared" si="5"/>
        <v>-0.40218708139219195</v>
      </c>
      <c r="J73" s="45">
        <v>126</v>
      </c>
      <c r="K73" s="45">
        <f t="shared" si="2"/>
        <v>0.43783684230771941</v>
      </c>
      <c r="L73" s="45">
        <f t="shared" si="3"/>
        <v>-0.31810708626413498</v>
      </c>
    </row>
    <row r="74" spans="2:16">
      <c r="B74" s="45">
        <v>-0.7660444431189779</v>
      </c>
      <c r="C74" s="45">
        <v>-0.64278760968653947</v>
      </c>
      <c r="E74" s="45">
        <f t="shared" si="4"/>
        <v>0.34787414758465096</v>
      </c>
      <c r="F74" s="45">
        <f t="shared" si="5"/>
        <v>-0.41458026515465618</v>
      </c>
      <c r="J74" s="45">
        <v>128</v>
      </c>
      <c r="K74" s="45">
        <f t="shared" si="2"/>
        <v>0.42646834672522371</v>
      </c>
      <c r="L74" s="45">
        <f t="shared" si="3"/>
        <v>-0.33319358945650029</v>
      </c>
      <c r="O74" s="45">
        <f>P25</f>
        <v>0.01</v>
      </c>
      <c r="P74" s="45">
        <f>O25</f>
        <v>0.36602540378443865</v>
      </c>
    </row>
    <row r="75" spans="2:16">
      <c r="B75" s="45">
        <v>-0.7880107536067219</v>
      </c>
      <c r="C75" s="45">
        <v>-0.6156614753256584</v>
      </c>
      <c r="E75" s="45">
        <f t="shared" si="4"/>
        <v>0.33319358945650041</v>
      </c>
      <c r="F75" s="45">
        <f t="shared" si="5"/>
        <v>-0.42646834672522371</v>
      </c>
      <c r="J75" s="45">
        <v>130</v>
      </c>
      <c r="K75" s="45">
        <f t="shared" ref="K75:K138" si="6">COS((90-J75)*PI()/180)*SIN((90-J$8)/2*PI()/180)*2^0.5</f>
        <v>0.41458026515465618</v>
      </c>
      <c r="L75" s="45">
        <f t="shared" ref="L75:L138" si="7">SIN((90-J75)*PI()/180)*SIN((90-J$8)/2*PI()/180)*2^0.5</f>
        <v>-0.34787414758465091</v>
      </c>
      <c r="O75" s="45">
        <f>P26</f>
        <v>-0.01</v>
      </c>
      <c r="P75" s="45">
        <f>O26</f>
        <v>0.36602540378443865</v>
      </c>
    </row>
    <row r="76" spans="2:16">
      <c r="B76" s="45">
        <v>-0.80901699437494734</v>
      </c>
      <c r="C76" s="45">
        <v>-0.58778525229247325</v>
      </c>
      <c r="E76" s="45">
        <f t="shared" si="4"/>
        <v>0.31810708626413498</v>
      </c>
      <c r="F76" s="45">
        <f t="shared" si="5"/>
        <v>-0.43783684230771941</v>
      </c>
      <c r="J76" s="45">
        <v>132</v>
      </c>
      <c r="K76" s="45">
        <f t="shared" si="6"/>
        <v>0.40218708139219195</v>
      </c>
      <c r="L76" s="45">
        <f t="shared" si="7"/>
        <v>-0.3621308746498742</v>
      </c>
    </row>
    <row r="77" spans="2:16">
      <c r="B77" s="45">
        <v>-0.82903757255504162</v>
      </c>
      <c r="C77" s="45">
        <v>-0.5591929034707469</v>
      </c>
      <c r="E77" s="45">
        <f t="shared" si="4"/>
        <v>0.30263301858779701</v>
      </c>
      <c r="F77" s="45">
        <f t="shared" si="5"/>
        <v>-0.4486719011414585</v>
      </c>
      <c r="J77" s="45">
        <v>134</v>
      </c>
      <c r="K77" s="45">
        <f t="shared" si="6"/>
        <v>0.38930389462322207</v>
      </c>
      <c r="L77" s="45">
        <f t="shared" si="7"/>
        <v>-0.37594640102632149</v>
      </c>
      <c r="O77" s="45">
        <f>P28</f>
        <v>0.01</v>
      </c>
      <c r="P77" s="45">
        <f>O28</f>
        <v>0.24557560793794569</v>
      </c>
    </row>
    <row r="78" spans="2:16">
      <c r="B78" s="45">
        <v>-0.84804809615642596</v>
      </c>
      <c r="C78" s="45">
        <v>-0.5299192642332049</v>
      </c>
      <c r="E78" s="45">
        <f t="shared" si="4"/>
        <v>0.28679023919535263</v>
      </c>
      <c r="F78" s="45">
        <f t="shared" si="5"/>
        <v>-0.45896032237626483</v>
      </c>
      <c r="J78" s="45">
        <v>136</v>
      </c>
      <c r="K78" s="45">
        <f t="shared" si="6"/>
        <v>0.37594640102632154</v>
      </c>
      <c r="L78" s="45">
        <f t="shared" si="7"/>
        <v>-0.38930389462322201</v>
      </c>
      <c r="O78" s="45">
        <f>P29</f>
        <v>-0.01</v>
      </c>
      <c r="P78" s="45">
        <f>O29</f>
        <v>0.24557560793794569</v>
      </c>
    </row>
    <row r="79" spans="2:16">
      <c r="B79" s="45">
        <v>-0.86602540378443871</v>
      </c>
      <c r="C79" s="45">
        <v>-0.5</v>
      </c>
      <c r="E79" s="45">
        <f t="shared" si="4"/>
        <v>0.27059805007309862</v>
      </c>
      <c r="F79" s="45">
        <f t="shared" si="5"/>
        <v>-0.46868957115567378</v>
      </c>
      <c r="J79" s="45">
        <v>138</v>
      </c>
      <c r="K79" s="45">
        <f t="shared" si="6"/>
        <v>0.3621308746498742</v>
      </c>
      <c r="L79" s="45">
        <f t="shared" si="7"/>
        <v>-0.40218708139219195</v>
      </c>
    </row>
    <row r="80" spans="2:16">
      <c r="B80" s="45">
        <v>-0.88294759285892677</v>
      </c>
      <c r="C80" s="45">
        <v>-0.46947156278589108</v>
      </c>
      <c r="E80" s="45">
        <f t="shared" si="4"/>
        <v>0.25407617890926465</v>
      </c>
      <c r="F80" s="45">
        <f t="shared" si="5"/>
        <v>-0.47784779388872339</v>
      </c>
      <c r="J80" s="45">
        <v>140</v>
      </c>
      <c r="K80" s="45">
        <f t="shared" si="6"/>
        <v>0.34787414758465096</v>
      </c>
      <c r="L80" s="45">
        <f t="shared" si="7"/>
        <v>-0.41458026515465618</v>
      </c>
      <c r="O80" s="45">
        <f>P31</f>
        <v>0.01</v>
      </c>
      <c r="P80" s="45">
        <f>O31</f>
        <v>0.12325683343243871</v>
      </c>
    </row>
    <row r="81" spans="2:16">
      <c r="B81" s="45">
        <v>-0.89879404629916704</v>
      </c>
      <c r="C81" s="45">
        <v>-0.43837114678907729</v>
      </c>
      <c r="E81" s="45">
        <f t="shared" si="4"/>
        <v>0.2372447550588648</v>
      </c>
      <c r="F81" s="45">
        <f t="shared" si="5"/>
        <v>-0.48642383269172962</v>
      </c>
      <c r="J81" s="45">
        <v>142</v>
      </c>
      <c r="K81" s="45">
        <f t="shared" si="6"/>
        <v>0.33319358945650041</v>
      </c>
      <c r="L81" s="45">
        <f t="shared" si="7"/>
        <v>-0.42646834672522371</v>
      </c>
      <c r="O81" s="45">
        <f>P32</f>
        <v>-0.01</v>
      </c>
      <c r="P81" s="45">
        <f>O32</f>
        <v>0.12325683343243871</v>
      </c>
    </row>
    <row r="82" spans="2:16">
      <c r="B82" s="45">
        <v>-0.91354545764260076</v>
      </c>
      <c r="C82" s="45">
        <v>-0.40673664307580043</v>
      </c>
      <c r="E82" s="45">
        <f t="shared" si="4"/>
        <v>0.22012428501917877</v>
      </c>
      <c r="F82" s="45">
        <f t="shared" si="5"/>
        <v>-0.49440723898244837</v>
      </c>
      <c r="J82" s="45">
        <v>144</v>
      </c>
      <c r="K82" s="45">
        <f t="shared" si="6"/>
        <v>0.31810708626413498</v>
      </c>
      <c r="L82" s="45">
        <f t="shared" si="7"/>
        <v>-0.43783684230771941</v>
      </c>
    </row>
    <row r="83" spans="2:16">
      <c r="B83" s="45">
        <v>-0.92718385456678731</v>
      </c>
      <c r="C83" s="45">
        <v>-0.37460659341591224</v>
      </c>
      <c r="E83" s="45">
        <f t="shared" si="4"/>
        <v>0.20273562744574361</v>
      </c>
      <c r="F83" s="45">
        <f t="shared" si="5"/>
        <v>-0.50178828621006411</v>
      </c>
      <c r="J83" s="45">
        <v>146</v>
      </c>
      <c r="K83" s="45">
        <f t="shared" si="6"/>
        <v>0.30263301858779701</v>
      </c>
      <c r="L83" s="45">
        <f t="shared" si="7"/>
        <v>-0.4486719011414585</v>
      </c>
      <c r="O83" s="45">
        <f>P34</f>
        <v>0.01</v>
      </c>
      <c r="P83" s="45">
        <f>O34</f>
        <v>-0.9090389553440873</v>
      </c>
    </row>
    <row r="84" spans="2:16">
      <c r="B84" s="45">
        <v>-0.93969262078590832</v>
      </c>
      <c r="C84" s="45">
        <v>-0.34202014332566888</v>
      </c>
      <c r="E84" s="45">
        <f t="shared" si="4"/>
        <v>0.18509996773929535</v>
      </c>
      <c r="F84" s="45">
        <f t="shared" si="5"/>
        <v>-0.50855798170549282</v>
      </c>
      <c r="J84" s="45">
        <v>148</v>
      </c>
      <c r="K84" s="45">
        <f t="shared" si="6"/>
        <v>0.28679023919535263</v>
      </c>
      <c r="L84" s="45">
        <f t="shared" si="7"/>
        <v>-0.45896032237626483</v>
      </c>
      <c r="O84" s="45">
        <f>P35</f>
        <v>-0.01</v>
      </c>
      <c r="P84" s="45">
        <f>O35</f>
        <v>-0.9090389553440873</v>
      </c>
    </row>
    <row r="85" spans="2:16">
      <c r="B85" s="45">
        <v>-0.95105651629515353</v>
      </c>
      <c r="C85" s="45">
        <v>-0.30901699437494751</v>
      </c>
      <c r="E85" s="45">
        <f t="shared" si="4"/>
        <v>0.16723879223462088</v>
      </c>
      <c r="F85" s="45">
        <f t="shared" si="5"/>
        <v>-0.51470807763756521</v>
      </c>
      <c r="J85" s="45">
        <v>150</v>
      </c>
      <c r="K85" s="45">
        <f t="shared" si="6"/>
        <v>0.27059805007309862</v>
      </c>
      <c r="L85" s="45">
        <f t="shared" si="7"/>
        <v>-0.46868957115567378</v>
      </c>
    </row>
    <row r="86" spans="2:16">
      <c r="B86" s="45">
        <v>-0.96126169593831867</v>
      </c>
      <c r="C86" s="45">
        <v>-0.27563735581699966</v>
      </c>
      <c r="E86" s="45">
        <f t="shared" si="4"/>
        <v>0.14917386202276961</v>
      </c>
      <c r="F86" s="45">
        <f t="shared" si="5"/>
        <v>-0.52023108106173765</v>
      </c>
      <c r="J86" s="45">
        <v>152</v>
      </c>
      <c r="K86" s="45">
        <f t="shared" si="6"/>
        <v>0.25407617890926465</v>
      </c>
      <c r="L86" s="45">
        <f t="shared" si="7"/>
        <v>-0.47784779388872339</v>
      </c>
      <c r="O86" s="45">
        <f>P37</f>
        <v>0.01</v>
      </c>
      <c r="P86" s="45">
        <f>O37</f>
        <v>-0.81115957534527772</v>
      </c>
    </row>
    <row r="87" spans="2:16">
      <c r="B87" s="45">
        <v>-0.97029572627599647</v>
      </c>
      <c r="C87" s="45">
        <v>-0.24192189559966773</v>
      </c>
      <c r="E87" s="45">
        <f t="shared" si="4"/>
        <v>0.1309271864385157</v>
      </c>
      <c r="F87" s="45">
        <f t="shared" si="5"/>
        <v>-0.52512026304909121</v>
      </c>
      <c r="J87" s="45">
        <v>154</v>
      </c>
      <c r="K87" s="45">
        <f t="shared" si="6"/>
        <v>0.2372447550588648</v>
      </c>
      <c r="L87" s="45">
        <f t="shared" si="7"/>
        <v>-0.48642383269172962</v>
      </c>
      <c r="O87" s="45">
        <f>P38</f>
        <v>-0.01</v>
      </c>
      <c r="P87" s="45">
        <f>O38</f>
        <v>-0.81115957534527772</v>
      </c>
    </row>
    <row r="88" spans="2:16">
      <c r="B88" s="45">
        <v>-0.97814760073380569</v>
      </c>
      <c r="C88" s="45">
        <v>-0.20791169081775931</v>
      </c>
      <c r="E88" s="45">
        <f t="shared" si="4"/>
        <v>0.1125209962453733</v>
      </c>
      <c r="F88" s="45">
        <f t="shared" si="5"/>
        <v>-0.52936966688449494</v>
      </c>
      <c r="J88" s="45">
        <v>156</v>
      </c>
      <c r="K88" s="45">
        <f t="shared" si="6"/>
        <v>0.22012428501917877</v>
      </c>
      <c r="L88" s="45">
        <f t="shared" si="7"/>
        <v>-0.49440723898244837</v>
      </c>
    </row>
    <row r="89" spans="2:16">
      <c r="B89" s="45">
        <v>-0.98480775301220802</v>
      </c>
      <c r="C89" s="45">
        <v>-0.17364817766693028</v>
      </c>
      <c r="E89" s="45">
        <f t="shared" si="4"/>
        <v>9.3977716550836699E-2</v>
      </c>
      <c r="F89" s="45">
        <f t="shared" si="5"/>
        <v>-0.53297411532394623</v>
      </c>
      <c r="J89" s="45">
        <v>158</v>
      </c>
      <c r="K89" s="45">
        <f t="shared" si="6"/>
        <v>0.20273562744574361</v>
      </c>
      <c r="L89" s="45">
        <f t="shared" si="7"/>
        <v>-0.50178828621006411</v>
      </c>
      <c r="O89" s="45">
        <f>P40</f>
        <v>0.01</v>
      </c>
      <c r="P89" s="45">
        <f>O40</f>
        <v>-0.70710678118654746</v>
      </c>
    </row>
    <row r="90" spans="2:16">
      <c r="B90" s="45">
        <v>-0.99026806874157025</v>
      </c>
      <c r="C90" s="45">
        <v>-0.13917310096006574</v>
      </c>
      <c r="E90" s="45">
        <f t="shared" si="4"/>
        <v>7.5319939484840503E-2</v>
      </c>
      <c r="F90" s="45">
        <f t="shared" si="5"/>
        <v>-0.53592921690224404</v>
      </c>
      <c r="J90" s="45">
        <v>160</v>
      </c>
      <c r="K90" s="45">
        <f t="shared" si="6"/>
        <v>0.18509996773929535</v>
      </c>
      <c r="L90" s="45">
        <f t="shared" si="7"/>
        <v>-0.50855798170549282</v>
      </c>
      <c r="O90" s="45">
        <f>P41</f>
        <v>-0.01</v>
      </c>
      <c r="P90" s="45">
        <f>O41</f>
        <v>-0.70710678118654746</v>
      </c>
    </row>
    <row r="91" spans="2:16">
      <c r="B91" s="45">
        <v>-0.99452189536827329</v>
      </c>
      <c r="C91" s="45">
        <v>-0.10452846326765373</v>
      </c>
      <c r="E91" s="45">
        <f t="shared" si="4"/>
        <v>5.6570396674729059E-2</v>
      </c>
      <c r="F91" s="45">
        <f t="shared" si="5"/>
        <v>-0.53823137128331366</v>
      </c>
      <c r="J91" s="45">
        <v>162</v>
      </c>
      <c r="K91" s="45">
        <f t="shared" si="6"/>
        <v>0.16723879223462088</v>
      </c>
      <c r="L91" s="45">
        <f t="shared" si="7"/>
        <v>-0.51470807763756521</v>
      </c>
    </row>
    <row r="92" spans="2:16">
      <c r="B92" s="45">
        <v>-0.9975640502598242</v>
      </c>
      <c r="C92" s="45">
        <v>-6.9756473744125524E-2</v>
      </c>
      <c r="E92" s="45">
        <f t="shared" si="4"/>
        <v>3.7751931550271282E-2</v>
      </c>
      <c r="F92" s="45">
        <f t="shared" si="5"/>
        <v>-0.53987777364666167</v>
      </c>
      <c r="J92" s="45">
        <v>164</v>
      </c>
      <c r="K92" s="45">
        <f t="shared" si="6"/>
        <v>0.14917386202276961</v>
      </c>
      <c r="L92" s="45">
        <f t="shared" si="7"/>
        <v>-0.52023108106173765</v>
      </c>
      <c r="O92" s="45">
        <f>P43</f>
        <v>0.01</v>
      </c>
      <c r="P92" s="45">
        <f>O43</f>
        <v>-0.59767247746023966</v>
      </c>
    </row>
    <row r="93" spans="2:16">
      <c r="B93" s="45">
        <v>-0.99939082701909576</v>
      </c>
      <c r="C93" s="45">
        <v>-3.4899496702500699E-2</v>
      </c>
      <c r="E93" s="45">
        <f t="shared" si="4"/>
        <v>1.8887471512458648E-2</v>
      </c>
      <c r="F93" s="45">
        <f t="shared" si="5"/>
        <v>-0.54086641810461722</v>
      </c>
      <c r="J93" s="45">
        <v>166</v>
      </c>
      <c r="K93" s="45">
        <f t="shared" si="6"/>
        <v>0.1309271864385157</v>
      </c>
      <c r="L93" s="45">
        <f t="shared" si="7"/>
        <v>-0.52512026304909121</v>
      </c>
      <c r="O93" s="45">
        <f>P44</f>
        <v>-0.01</v>
      </c>
      <c r="P93" s="45">
        <f>O44</f>
        <v>-0.59767247746023966</v>
      </c>
    </row>
    <row r="94" spans="2:16">
      <c r="B94" s="45">
        <v>-1</v>
      </c>
      <c r="C94" s="45">
        <v>-1.22514845490862E-16</v>
      </c>
      <c r="E94" s="45">
        <f t="shared" si="4"/>
        <v>3.3152278294834206E-17</v>
      </c>
      <c r="F94" s="45">
        <f t="shared" si="5"/>
        <v>-0.54119610014619701</v>
      </c>
      <c r="J94" s="45">
        <v>168</v>
      </c>
      <c r="K94" s="45">
        <f t="shared" si="6"/>
        <v>0.1125209962453733</v>
      </c>
      <c r="L94" s="45">
        <f t="shared" si="7"/>
        <v>-0.52936966688449494</v>
      </c>
    </row>
    <row r="95" spans="2:16">
      <c r="B95" s="45">
        <v>-0.99939082701909576</v>
      </c>
      <c r="C95" s="45">
        <v>3.48994967025009E-2</v>
      </c>
      <c r="E95" s="45">
        <f t="shared" si="4"/>
        <v>-1.8887471512458461E-2</v>
      </c>
      <c r="F95" s="45">
        <f t="shared" si="5"/>
        <v>-0.54086641810461722</v>
      </c>
      <c r="J95" s="45">
        <v>170</v>
      </c>
      <c r="K95" s="45">
        <f t="shared" si="6"/>
        <v>9.3977716550836699E-2</v>
      </c>
      <c r="L95" s="45">
        <f t="shared" si="7"/>
        <v>-0.53297411532394623</v>
      </c>
      <c r="O95" s="45">
        <f>P46</f>
        <v>0.01</v>
      </c>
      <c r="P95" s="45">
        <f>O46</f>
        <v>-0.48368952529595055</v>
      </c>
    </row>
    <row r="96" spans="2:16">
      <c r="B96" s="45">
        <v>-0.99756405025982431</v>
      </c>
      <c r="C96" s="45">
        <v>6.9756473744124831E-2</v>
      </c>
      <c r="E96" s="45">
        <f t="shared" si="4"/>
        <v>-3.7751931550271213E-2</v>
      </c>
      <c r="F96" s="45">
        <f t="shared" si="5"/>
        <v>-0.53987777364666167</v>
      </c>
      <c r="J96" s="45">
        <v>172</v>
      </c>
      <c r="K96" s="45">
        <f t="shared" si="6"/>
        <v>7.5319939484840503E-2</v>
      </c>
      <c r="L96" s="45">
        <f t="shared" si="7"/>
        <v>-0.53592921690224404</v>
      </c>
      <c r="O96" s="45">
        <f>P47</f>
        <v>-0.01</v>
      </c>
      <c r="P96" s="45">
        <f>O47</f>
        <v>-0.48368952529595055</v>
      </c>
    </row>
    <row r="97" spans="2:16">
      <c r="B97" s="45">
        <v>-0.9945218953682734</v>
      </c>
      <c r="C97" s="45">
        <v>0.10452846326765305</v>
      </c>
      <c r="E97" s="45">
        <f t="shared" si="4"/>
        <v>-5.657039667472899E-2</v>
      </c>
      <c r="F97" s="45">
        <f t="shared" si="5"/>
        <v>-0.53823137128331378</v>
      </c>
      <c r="J97" s="45">
        <v>174</v>
      </c>
      <c r="K97" s="45">
        <f t="shared" si="6"/>
        <v>5.6570396674729059E-2</v>
      </c>
      <c r="L97" s="45">
        <f t="shared" si="7"/>
        <v>-0.53823137128331366</v>
      </c>
    </row>
    <row r="98" spans="2:16">
      <c r="B98" s="45">
        <v>-0.99026806874157025</v>
      </c>
      <c r="C98" s="45">
        <v>0.13917310096006552</v>
      </c>
      <c r="E98" s="45">
        <f t="shared" si="4"/>
        <v>-7.5319939484840323E-2</v>
      </c>
      <c r="F98" s="45">
        <f t="shared" si="5"/>
        <v>-0.53592921690224404</v>
      </c>
      <c r="J98" s="45">
        <v>176</v>
      </c>
      <c r="K98" s="45">
        <f t="shared" si="6"/>
        <v>3.7751931550271282E-2</v>
      </c>
      <c r="L98" s="45">
        <f t="shared" si="7"/>
        <v>-0.53987777364666167</v>
      </c>
      <c r="O98" s="45">
        <f>P49</f>
        <v>0.01</v>
      </c>
      <c r="P98" s="45">
        <f>O49</f>
        <v>-0.36602540378443865</v>
      </c>
    </row>
    <row r="99" spans="2:16">
      <c r="B99" s="45">
        <v>-0.98480775301220802</v>
      </c>
      <c r="C99" s="45">
        <v>0.17364817766693047</v>
      </c>
      <c r="E99" s="45">
        <f t="shared" si="4"/>
        <v>-9.3977716550836629E-2</v>
      </c>
      <c r="F99" s="45">
        <f t="shared" si="5"/>
        <v>-0.53297411532394623</v>
      </c>
      <c r="J99" s="45">
        <v>178</v>
      </c>
      <c r="K99" s="45">
        <f t="shared" si="6"/>
        <v>1.8887471512458648E-2</v>
      </c>
      <c r="L99" s="45">
        <f t="shared" si="7"/>
        <v>-0.54086641810461722</v>
      </c>
      <c r="O99" s="45">
        <f>P50</f>
        <v>-0.01</v>
      </c>
      <c r="P99" s="45">
        <f>O50</f>
        <v>-0.36602540378443865</v>
      </c>
    </row>
    <row r="100" spans="2:16">
      <c r="B100" s="45">
        <v>-0.97814760073380569</v>
      </c>
      <c r="C100" s="45">
        <v>0.20791169081775907</v>
      </c>
      <c r="E100" s="45">
        <f t="shared" si="4"/>
        <v>-0.11252099624537311</v>
      </c>
      <c r="F100" s="45">
        <f t="shared" si="5"/>
        <v>-0.52936966688449505</v>
      </c>
      <c r="J100" s="45">
        <v>180</v>
      </c>
      <c r="K100" s="45">
        <f t="shared" si="6"/>
        <v>3.3152278294834206E-17</v>
      </c>
      <c r="L100" s="45">
        <f t="shared" si="7"/>
        <v>-0.54119610014619701</v>
      </c>
    </row>
    <row r="101" spans="2:16">
      <c r="B101" s="45">
        <v>-0.97029572627599647</v>
      </c>
      <c r="C101" s="45">
        <v>0.24192189559966751</v>
      </c>
      <c r="E101" s="45">
        <f t="shared" si="4"/>
        <v>-0.13092718643851564</v>
      </c>
      <c r="F101" s="45">
        <f t="shared" si="5"/>
        <v>-0.52512026304909121</v>
      </c>
      <c r="J101" s="45">
        <v>182</v>
      </c>
      <c r="K101" s="45">
        <f t="shared" si="6"/>
        <v>-1.8887471512458461E-2</v>
      </c>
      <c r="L101" s="45">
        <f t="shared" si="7"/>
        <v>-0.54086641810461722</v>
      </c>
      <c r="O101" s="45">
        <f>P52</f>
        <v>0.01</v>
      </c>
      <c r="P101" s="45">
        <f>O52</f>
        <v>-0.24557560793794569</v>
      </c>
    </row>
    <row r="102" spans="2:16">
      <c r="B102" s="45">
        <v>-0.96126169593831889</v>
      </c>
      <c r="C102" s="45">
        <v>0.275637355816999</v>
      </c>
      <c r="E102" s="45">
        <f t="shared" si="4"/>
        <v>-0.14917386202276955</v>
      </c>
      <c r="F102" s="45">
        <f t="shared" si="5"/>
        <v>-0.52023108106173765</v>
      </c>
      <c r="J102" s="45">
        <v>184</v>
      </c>
      <c r="K102" s="45">
        <f t="shared" si="6"/>
        <v>-3.7751931550271213E-2</v>
      </c>
      <c r="L102" s="45">
        <f t="shared" si="7"/>
        <v>-0.53987777364666167</v>
      </c>
      <c r="O102" s="45">
        <f>P53</f>
        <v>-0.01</v>
      </c>
      <c r="P102" s="45">
        <f>O53</f>
        <v>-0.24557560793794569</v>
      </c>
    </row>
    <row r="103" spans="2:16">
      <c r="B103" s="45">
        <v>-0.95105651629515353</v>
      </c>
      <c r="C103" s="45">
        <v>0.30901699437494773</v>
      </c>
      <c r="E103" s="45">
        <f t="shared" si="4"/>
        <v>-0.16723879223462079</v>
      </c>
      <c r="F103" s="45">
        <f t="shared" si="5"/>
        <v>-0.51470807763756521</v>
      </c>
      <c r="J103" s="45">
        <v>186</v>
      </c>
      <c r="K103" s="45">
        <f t="shared" si="6"/>
        <v>-5.657039667472899E-2</v>
      </c>
      <c r="L103" s="45">
        <f t="shared" si="7"/>
        <v>-0.53823137128331378</v>
      </c>
    </row>
    <row r="104" spans="2:16">
      <c r="B104" s="45">
        <v>-0.93969262078590843</v>
      </c>
      <c r="C104" s="45">
        <v>0.34202014332566866</v>
      </c>
      <c r="E104" s="45">
        <f t="shared" si="4"/>
        <v>-0.18509996773929527</v>
      </c>
      <c r="F104" s="45">
        <f t="shared" si="5"/>
        <v>-0.50855798170549293</v>
      </c>
      <c r="J104" s="45">
        <v>188</v>
      </c>
      <c r="K104" s="45">
        <f t="shared" si="6"/>
        <v>-7.5319939484840323E-2</v>
      </c>
      <c r="L104" s="45">
        <f t="shared" si="7"/>
        <v>-0.53592921690224404</v>
      </c>
      <c r="O104" s="45">
        <f>P55</f>
        <v>0.01</v>
      </c>
      <c r="P104" s="45">
        <f>O55</f>
        <v>-0.12325683343243871</v>
      </c>
    </row>
    <row r="105" spans="2:16">
      <c r="B105" s="45">
        <v>-0.92718385456678742</v>
      </c>
      <c r="C105" s="45">
        <v>0.37460659341591201</v>
      </c>
      <c r="E105" s="45">
        <f t="shared" si="4"/>
        <v>-0.20273562744574367</v>
      </c>
      <c r="F105" s="45">
        <f t="shared" si="5"/>
        <v>-0.50178828621006411</v>
      </c>
      <c r="J105" s="45">
        <v>190</v>
      </c>
      <c r="K105" s="45">
        <f t="shared" si="6"/>
        <v>-9.3977716550836629E-2</v>
      </c>
      <c r="L105" s="45">
        <f t="shared" si="7"/>
        <v>-0.53297411532394623</v>
      </c>
      <c r="O105" s="45">
        <f>P56</f>
        <v>-0.01</v>
      </c>
      <c r="P105" s="45">
        <f>O56</f>
        <v>-0.12325683343243871</v>
      </c>
    </row>
    <row r="106" spans="2:16">
      <c r="B106" s="45">
        <v>-0.91354545764260109</v>
      </c>
      <c r="C106" s="45">
        <v>0.40673664307579982</v>
      </c>
      <c r="E106" s="45">
        <f t="shared" si="4"/>
        <v>-0.22012428501917869</v>
      </c>
      <c r="F106" s="45">
        <f t="shared" si="5"/>
        <v>-0.49440723898244848</v>
      </c>
      <c r="J106" s="45">
        <v>192</v>
      </c>
      <c r="K106" s="45">
        <f t="shared" si="6"/>
        <v>-0.11252099624537311</v>
      </c>
      <c r="L106" s="45">
        <f t="shared" si="7"/>
        <v>-0.52936966688449505</v>
      </c>
    </row>
    <row r="107" spans="2:16">
      <c r="B107" s="45">
        <v>-0.89879404629916715</v>
      </c>
      <c r="C107" s="45">
        <v>0.43837114678907707</v>
      </c>
      <c r="E107" s="45">
        <f t="shared" si="4"/>
        <v>-0.23724475505886483</v>
      </c>
      <c r="F107" s="45">
        <f t="shared" si="5"/>
        <v>-0.48642383269172962</v>
      </c>
      <c r="J107" s="45">
        <v>194</v>
      </c>
      <c r="K107" s="45">
        <f t="shared" si="6"/>
        <v>-0.13092718643851564</v>
      </c>
      <c r="L107" s="45">
        <f t="shared" si="7"/>
        <v>-0.52512026304909121</v>
      </c>
    </row>
    <row r="108" spans="2:16">
      <c r="B108" s="45">
        <v>-0.88294759285892688</v>
      </c>
      <c r="C108" s="45">
        <v>0.46947156278589086</v>
      </c>
      <c r="E108" s="45">
        <f t="shared" si="4"/>
        <v>-0.25407617890926443</v>
      </c>
      <c r="F108" s="45">
        <f t="shared" si="5"/>
        <v>-0.4778477938887235</v>
      </c>
      <c r="J108" s="45">
        <v>196</v>
      </c>
      <c r="K108" s="45">
        <f t="shared" si="6"/>
        <v>-0.14917386202276955</v>
      </c>
      <c r="L108" s="45">
        <f t="shared" si="7"/>
        <v>-0.52023108106173765</v>
      </c>
    </row>
    <row r="109" spans="2:16">
      <c r="B109" s="45">
        <v>-0.8660254037844386</v>
      </c>
      <c r="C109" s="45">
        <v>0.5</v>
      </c>
      <c r="E109" s="45">
        <f t="shared" si="4"/>
        <v>-0.2705980500730984</v>
      </c>
      <c r="F109" s="45">
        <f t="shared" si="5"/>
        <v>-0.46868957115567378</v>
      </c>
      <c r="J109" s="45">
        <v>198</v>
      </c>
      <c r="K109" s="45">
        <f t="shared" si="6"/>
        <v>-0.16723879223462079</v>
      </c>
      <c r="L109" s="45">
        <f t="shared" si="7"/>
        <v>-0.51470807763756521</v>
      </c>
    </row>
    <row r="110" spans="2:16">
      <c r="B110" s="45">
        <v>-0.84804809615642607</v>
      </c>
      <c r="C110" s="45">
        <v>0.52991926423320479</v>
      </c>
      <c r="E110" s="45">
        <f t="shared" si="4"/>
        <v>-0.28679023919535257</v>
      </c>
      <c r="F110" s="45">
        <f t="shared" si="5"/>
        <v>-0.45896032237626488</v>
      </c>
      <c r="J110" s="45">
        <v>200</v>
      </c>
      <c r="K110" s="45">
        <f t="shared" si="6"/>
        <v>-0.18509996773929527</v>
      </c>
      <c r="L110" s="45">
        <f t="shared" si="7"/>
        <v>-0.50855798170549293</v>
      </c>
    </row>
    <row r="111" spans="2:16">
      <c r="B111" s="45">
        <v>-0.82903757255504185</v>
      </c>
      <c r="C111" s="45">
        <v>0.55919290347074668</v>
      </c>
      <c r="E111" s="45">
        <f t="shared" si="4"/>
        <v>-0.3026330185877969</v>
      </c>
      <c r="F111" s="45">
        <f t="shared" si="5"/>
        <v>-0.4486719011414585</v>
      </c>
      <c r="J111" s="45">
        <v>202</v>
      </c>
      <c r="K111" s="45">
        <f t="shared" si="6"/>
        <v>-0.20273562744574367</v>
      </c>
      <c r="L111" s="45">
        <f t="shared" si="7"/>
        <v>-0.50178828621006411</v>
      </c>
    </row>
    <row r="112" spans="2:16">
      <c r="B112" s="45">
        <v>-0.80901699437494756</v>
      </c>
      <c r="C112" s="45">
        <v>0.58778525229247303</v>
      </c>
      <c r="E112" s="45">
        <f t="shared" si="4"/>
        <v>-0.31810708626413492</v>
      </c>
      <c r="F112" s="45">
        <f t="shared" si="5"/>
        <v>-0.43783684230771941</v>
      </c>
      <c r="J112" s="45">
        <v>204</v>
      </c>
      <c r="K112" s="45">
        <f t="shared" si="6"/>
        <v>-0.22012428501917869</v>
      </c>
      <c r="L112" s="45">
        <f t="shared" si="7"/>
        <v>-0.49440723898244848</v>
      </c>
    </row>
    <row r="113" spans="2:12">
      <c r="B113" s="45">
        <v>-0.78801075360672224</v>
      </c>
      <c r="C113" s="45">
        <v>0.61566147532565785</v>
      </c>
      <c r="E113" s="45">
        <f t="shared" si="4"/>
        <v>-0.33319358945650041</v>
      </c>
      <c r="F113" s="45">
        <f t="shared" si="5"/>
        <v>-0.42646834672522371</v>
      </c>
      <c r="J113" s="45">
        <v>206</v>
      </c>
      <c r="K113" s="45">
        <f t="shared" si="6"/>
        <v>-0.23724475505886483</v>
      </c>
      <c r="L113" s="45">
        <f t="shared" si="7"/>
        <v>-0.48642383269172962</v>
      </c>
    </row>
    <row r="114" spans="2:12">
      <c r="B114" s="45">
        <v>-0.76604444311897801</v>
      </c>
      <c r="C114" s="45">
        <v>0.64278760968653925</v>
      </c>
      <c r="E114" s="45">
        <f t="shared" si="4"/>
        <v>-0.34787414758465096</v>
      </c>
      <c r="F114" s="45">
        <f t="shared" si="5"/>
        <v>-0.41458026515465618</v>
      </c>
      <c r="J114" s="45">
        <v>208</v>
      </c>
      <c r="K114" s="45">
        <f t="shared" si="6"/>
        <v>-0.25407617890926443</v>
      </c>
      <c r="L114" s="45">
        <f t="shared" si="7"/>
        <v>-0.4778477938887235</v>
      </c>
    </row>
    <row r="115" spans="2:12">
      <c r="B115" s="45">
        <v>-0.74314482547739424</v>
      </c>
      <c r="C115" s="45">
        <v>0.66913060635885824</v>
      </c>
      <c r="E115" s="45">
        <f t="shared" si="4"/>
        <v>-0.3621308746498742</v>
      </c>
      <c r="F115" s="45">
        <f t="shared" si="5"/>
        <v>-0.40218708139219195</v>
      </c>
      <c r="J115" s="45">
        <v>210</v>
      </c>
      <c r="K115" s="45">
        <f t="shared" si="6"/>
        <v>-0.2705980500730984</v>
      </c>
      <c r="L115" s="45">
        <f t="shared" si="7"/>
        <v>-0.46868957115567378</v>
      </c>
    </row>
    <row r="116" spans="2:12">
      <c r="B116" s="45">
        <v>-0.71933980033865108</v>
      </c>
      <c r="C116" s="45">
        <v>0.69465837045899737</v>
      </c>
      <c r="E116" s="45">
        <f t="shared" si="4"/>
        <v>-0.37594640102632143</v>
      </c>
      <c r="F116" s="45">
        <f t="shared" si="5"/>
        <v>-0.38930389462322218</v>
      </c>
      <c r="J116" s="45">
        <v>212</v>
      </c>
      <c r="K116" s="45">
        <f t="shared" si="6"/>
        <v>-0.28679023919535257</v>
      </c>
      <c r="L116" s="45">
        <f t="shared" si="7"/>
        <v>-0.45896032237626488</v>
      </c>
    </row>
    <row r="117" spans="2:12">
      <c r="B117" s="45">
        <v>-0.69465837045899759</v>
      </c>
      <c r="C117" s="45">
        <v>0.71933980033865086</v>
      </c>
      <c r="E117" s="45">
        <f t="shared" si="4"/>
        <v>-0.38930389462322207</v>
      </c>
      <c r="F117" s="45">
        <f t="shared" si="5"/>
        <v>-0.37594640102632149</v>
      </c>
      <c r="J117" s="45">
        <v>214</v>
      </c>
      <c r="K117" s="45">
        <f t="shared" si="6"/>
        <v>-0.3026330185877969</v>
      </c>
      <c r="L117" s="45">
        <f t="shared" si="7"/>
        <v>-0.4486719011414585</v>
      </c>
    </row>
    <row r="118" spans="2:12">
      <c r="B118" s="45">
        <v>-0.66913060635885846</v>
      </c>
      <c r="C118" s="45">
        <v>0.74314482547739402</v>
      </c>
      <c r="E118" s="45">
        <f t="shared" si="4"/>
        <v>-0.40218708139219189</v>
      </c>
      <c r="F118" s="45">
        <f t="shared" si="5"/>
        <v>-0.36213087464987426</v>
      </c>
      <c r="J118" s="45">
        <v>216</v>
      </c>
      <c r="K118" s="45">
        <f t="shared" si="6"/>
        <v>-0.31810708626413492</v>
      </c>
      <c r="L118" s="45">
        <f t="shared" si="7"/>
        <v>-0.43783684230771941</v>
      </c>
    </row>
    <row r="119" spans="2:12">
      <c r="B119" s="45">
        <v>-0.64278760968653947</v>
      </c>
      <c r="C119" s="45">
        <v>0.7660444431189779</v>
      </c>
      <c r="E119" s="45">
        <f t="shared" si="4"/>
        <v>-0.41458026515465607</v>
      </c>
      <c r="F119" s="45">
        <f t="shared" si="5"/>
        <v>-0.34787414758465102</v>
      </c>
      <c r="J119" s="45">
        <v>218</v>
      </c>
      <c r="K119" s="45">
        <f t="shared" si="6"/>
        <v>-0.33319358945650041</v>
      </c>
      <c r="L119" s="45">
        <f t="shared" si="7"/>
        <v>-0.42646834672522371</v>
      </c>
    </row>
    <row r="120" spans="2:12">
      <c r="B120" s="45">
        <v>-0.61566147532565807</v>
      </c>
      <c r="C120" s="45">
        <v>0.78801075360672213</v>
      </c>
      <c r="E120" s="45">
        <f t="shared" si="4"/>
        <v>-0.42646834672522366</v>
      </c>
      <c r="F120" s="45">
        <f t="shared" si="5"/>
        <v>-0.33319358945650041</v>
      </c>
      <c r="J120" s="45">
        <v>220</v>
      </c>
      <c r="K120" s="45">
        <f t="shared" si="6"/>
        <v>-0.34787414758465096</v>
      </c>
      <c r="L120" s="45">
        <f t="shared" si="7"/>
        <v>-0.41458026515465618</v>
      </c>
    </row>
    <row r="121" spans="2:12">
      <c r="B121" s="45">
        <v>-0.58778525229247325</v>
      </c>
      <c r="C121" s="45">
        <v>0.80901699437494734</v>
      </c>
      <c r="E121" s="45">
        <f t="shared" si="4"/>
        <v>-0.4378368423077193</v>
      </c>
      <c r="F121" s="45">
        <f t="shared" si="5"/>
        <v>-0.31810708626413503</v>
      </c>
      <c r="J121" s="45">
        <v>222</v>
      </c>
      <c r="K121" s="45">
        <f t="shared" si="6"/>
        <v>-0.3621308746498742</v>
      </c>
      <c r="L121" s="45">
        <f t="shared" si="7"/>
        <v>-0.40218708139219195</v>
      </c>
    </row>
    <row r="122" spans="2:12">
      <c r="B122" s="45">
        <v>-0.55919290347074724</v>
      </c>
      <c r="C122" s="45">
        <v>0.8290375725550414</v>
      </c>
      <c r="E122" s="45">
        <f t="shared" si="4"/>
        <v>-0.44867190114145838</v>
      </c>
      <c r="F122" s="45">
        <f t="shared" si="5"/>
        <v>-0.30263301858779701</v>
      </c>
      <c r="J122" s="45">
        <v>224</v>
      </c>
      <c r="K122" s="45">
        <f t="shared" si="6"/>
        <v>-0.37594640102632143</v>
      </c>
      <c r="L122" s="45">
        <f t="shared" si="7"/>
        <v>-0.38930389462322218</v>
      </c>
    </row>
    <row r="123" spans="2:12">
      <c r="B123" s="45">
        <v>-0.52991926423320501</v>
      </c>
      <c r="C123" s="45">
        <v>0.84804809615642596</v>
      </c>
      <c r="E123" s="45">
        <f t="shared" si="4"/>
        <v>-0.45896032237626483</v>
      </c>
      <c r="F123" s="45">
        <f t="shared" si="5"/>
        <v>-0.28679023919535263</v>
      </c>
      <c r="J123" s="45">
        <v>226</v>
      </c>
      <c r="K123" s="45">
        <f t="shared" si="6"/>
        <v>-0.38930389462322207</v>
      </c>
      <c r="L123" s="45">
        <f t="shared" si="7"/>
        <v>-0.37594640102632149</v>
      </c>
    </row>
    <row r="124" spans="2:12">
      <c r="B124" s="45">
        <v>-0.5</v>
      </c>
      <c r="C124" s="45">
        <v>0.86602540378443837</v>
      </c>
      <c r="E124" s="45">
        <f t="shared" si="4"/>
        <v>-0.46868957115567378</v>
      </c>
      <c r="F124" s="45">
        <f t="shared" si="5"/>
        <v>-0.27059805007309851</v>
      </c>
      <c r="J124" s="45">
        <v>228</v>
      </c>
      <c r="K124" s="45">
        <f t="shared" si="6"/>
        <v>-0.40218708139219189</v>
      </c>
      <c r="L124" s="45">
        <f t="shared" si="7"/>
        <v>-0.36213087464987426</v>
      </c>
    </row>
    <row r="125" spans="2:12">
      <c r="B125" s="45">
        <v>-0.46947156278589075</v>
      </c>
      <c r="C125" s="45">
        <v>0.88294759285892699</v>
      </c>
      <c r="E125" s="45">
        <f t="shared" si="4"/>
        <v>-0.47784779388872339</v>
      </c>
      <c r="F125" s="45">
        <f t="shared" si="5"/>
        <v>-0.25407617890926476</v>
      </c>
      <c r="J125" s="45">
        <v>230</v>
      </c>
      <c r="K125" s="45">
        <f t="shared" si="6"/>
        <v>-0.41458026515465607</v>
      </c>
      <c r="L125" s="45">
        <f t="shared" si="7"/>
        <v>-0.34787414758465102</v>
      </c>
    </row>
    <row r="126" spans="2:12">
      <c r="B126" s="45">
        <v>-0.43837114678907774</v>
      </c>
      <c r="C126" s="45">
        <v>0.89879404629916682</v>
      </c>
      <c r="E126" s="45">
        <f t="shared" si="4"/>
        <v>-0.48642383269172962</v>
      </c>
      <c r="F126" s="45">
        <f t="shared" si="5"/>
        <v>-0.23724475505886472</v>
      </c>
      <c r="J126" s="45">
        <v>232</v>
      </c>
      <c r="K126" s="45">
        <f t="shared" si="6"/>
        <v>-0.42646834672522366</v>
      </c>
      <c r="L126" s="45">
        <f t="shared" si="7"/>
        <v>-0.33319358945650041</v>
      </c>
    </row>
    <row r="127" spans="2:12">
      <c r="B127" s="45">
        <v>-0.4067366430758001</v>
      </c>
      <c r="C127" s="45">
        <v>0.91354545764260098</v>
      </c>
      <c r="E127" s="45">
        <f t="shared" si="4"/>
        <v>-0.49440723898244837</v>
      </c>
      <c r="F127" s="45">
        <f t="shared" si="5"/>
        <v>-0.22012428501917888</v>
      </c>
      <c r="J127" s="45">
        <v>234</v>
      </c>
      <c r="K127" s="45">
        <f t="shared" si="6"/>
        <v>-0.4378368423077193</v>
      </c>
      <c r="L127" s="45">
        <f t="shared" si="7"/>
        <v>-0.31810708626413503</v>
      </c>
    </row>
    <row r="128" spans="2:12">
      <c r="B128" s="45">
        <v>-0.37460659341591229</v>
      </c>
      <c r="C128" s="45">
        <v>0.92718385456678731</v>
      </c>
      <c r="E128" s="45">
        <f t="shared" si="4"/>
        <v>-0.50178828621006399</v>
      </c>
      <c r="F128" s="45">
        <f t="shared" si="5"/>
        <v>-0.20273562744574375</v>
      </c>
      <c r="J128" s="45">
        <v>236</v>
      </c>
      <c r="K128" s="45">
        <f t="shared" si="6"/>
        <v>-0.44867190114145838</v>
      </c>
      <c r="L128" s="45">
        <f t="shared" si="7"/>
        <v>-0.30263301858779701</v>
      </c>
    </row>
    <row r="129" spans="2:12">
      <c r="B129" s="45">
        <v>-0.34202014332566938</v>
      </c>
      <c r="C129" s="45">
        <v>0.93969262078590821</v>
      </c>
      <c r="E129" s="45">
        <f t="shared" si="4"/>
        <v>-0.50855798170549282</v>
      </c>
      <c r="F129" s="45">
        <f t="shared" si="5"/>
        <v>-0.18509996773929535</v>
      </c>
      <c r="J129" s="45">
        <v>238</v>
      </c>
      <c r="K129" s="45">
        <f t="shared" si="6"/>
        <v>-0.45896032237626483</v>
      </c>
      <c r="L129" s="45">
        <f t="shared" si="7"/>
        <v>-0.28679023919535263</v>
      </c>
    </row>
    <row r="130" spans="2:12">
      <c r="B130" s="45">
        <v>-0.30901699437494756</v>
      </c>
      <c r="C130" s="45">
        <v>0.95105651629515353</v>
      </c>
      <c r="E130" s="45">
        <f t="shared" si="4"/>
        <v>-0.51470807763756521</v>
      </c>
      <c r="F130" s="45">
        <f t="shared" si="5"/>
        <v>-0.1672387922346209</v>
      </c>
      <c r="J130" s="45">
        <v>240</v>
      </c>
      <c r="K130" s="45">
        <f t="shared" si="6"/>
        <v>-0.46868957115567378</v>
      </c>
      <c r="L130" s="45">
        <f t="shared" si="7"/>
        <v>-0.27059805007309851</v>
      </c>
    </row>
    <row r="131" spans="2:12">
      <c r="B131" s="45">
        <v>-0.27563735581699889</v>
      </c>
      <c r="C131" s="45">
        <v>0.96126169593831901</v>
      </c>
      <c r="E131" s="45">
        <f t="shared" si="4"/>
        <v>-0.52023108106173754</v>
      </c>
      <c r="F131" s="45">
        <f t="shared" si="5"/>
        <v>-0.14917386202276989</v>
      </c>
      <c r="J131" s="45">
        <v>242</v>
      </c>
      <c r="K131" s="45">
        <f t="shared" si="6"/>
        <v>-0.47784779388872339</v>
      </c>
      <c r="L131" s="45">
        <f t="shared" si="7"/>
        <v>-0.25407617890926476</v>
      </c>
    </row>
    <row r="132" spans="2:12">
      <c r="B132" s="45">
        <v>-0.24192189559966779</v>
      </c>
      <c r="C132" s="45">
        <v>0.97029572627599647</v>
      </c>
      <c r="E132" s="45">
        <f t="shared" si="4"/>
        <v>-0.52512026304909121</v>
      </c>
      <c r="F132" s="45">
        <f t="shared" si="5"/>
        <v>-0.13092718643851561</v>
      </c>
      <c r="J132" s="45">
        <v>244</v>
      </c>
      <c r="K132" s="45">
        <f t="shared" si="6"/>
        <v>-0.48642383269172962</v>
      </c>
      <c r="L132" s="45">
        <f t="shared" si="7"/>
        <v>-0.23724475505886472</v>
      </c>
    </row>
    <row r="133" spans="2:12">
      <c r="B133" s="45">
        <v>-0.20791169081775979</v>
      </c>
      <c r="C133" s="45">
        <v>0.97814760073380558</v>
      </c>
      <c r="E133" s="45">
        <f t="shared" ref="E133:E184" si="8">K139</f>
        <v>-0.52936966688449505</v>
      </c>
      <c r="F133" s="45">
        <f t="shared" ref="F133:F184" si="9">L139</f>
        <v>-0.11252099624537323</v>
      </c>
      <c r="J133" s="45">
        <v>246</v>
      </c>
      <c r="K133" s="45">
        <f t="shared" si="6"/>
        <v>-0.49440723898244837</v>
      </c>
      <c r="L133" s="45">
        <f t="shared" si="7"/>
        <v>-0.22012428501917888</v>
      </c>
    </row>
    <row r="134" spans="2:12">
      <c r="B134" s="45">
        <v>-0.17364817766693033</v>
      </c>
      <c r="C134" s="45">
        <v>0.98480775301220802</v>
      </c>
      <c r="E134" s="45">
        <f t="shared" si="8"/>
        <v>-0.53297411532394623</v>
      </c>
      <c r="F134" s="45">
        <f t="shared" si="9"/>
        <v>-9.3977716550836615E-2</v>
      </c>
      <c r="J134" s="45">
        <v>248</v>
      </c>
      <c r="K134" s="45">
        <f t="shared" si="6"/>
        <v>-0.50178828621006399</v>
      </c>
      <c r="L134" s="45">
        <f t="shared" si="7"/>
        <v>-0.20273562744574375</v>
      </c>
    </row>
    <row r="135" spans="2:12">
      <c r="B135" s="45">
        <v>-0.13917310096006494</v>
      </c>
      <c r="C135" s="45">
        <v>0.99026806874157036</v>
      </c>
      <c r="E135" s="45">
        <f t="shared" si="8"/>
        <v>-0.53592921690224404</v>
      </c>
      <c r="F135" s="45">
        <f t="shared" si="9"/>
        <v>-7.5319939484840531E-2</v>
      </c>
      <c r="J135" s="45">
        <v>250</v>
      </c>
      <c r="K135" s="45">
        <f t="shared" si="6"/>
        <v>-0.50855798170549282</v>
      </c>
      <c r="L135" s="45">
        <f t="shared" si="7"/>
        <v>-0.18509996773929535</v>
      </c>
    </row>
    <row r="136" spans="2:12">
      <c r="B136" s="45">
        <v>-0.10452846326765336</v>
      </c>
      <c r="C136" s="45">
        <v>0.9945218953682734</v>
      </c>
      <c r="E136" s="45">
        <f t="shared" si="8"/>
        <v>-0.53823137128331366</v>
      </c>
      <c r="F136" s="45">
        <f t="shared" si="9"/>
        <v>-5.6570396674729205E-2</v>
      </c>
      <c r="J136" s="45">
        <v>252</v>
      </c>
      <c r="K136" s="45">
        <f t="shared" si="6"/>
        <v>-0.51470807763756521</v>
      </c>
      <c r="L136" s="45">
        <f t="shared" si="7"/>
        <v>-0.1672387922346209</v>
      </c>
    </row>
    <row r="137" spans="2:12">
      <c r="B137" s="45">
        <v>-6.975647374412558E-2</v>
      </c>
      <c r="C137" s="45">
        <v>0.9975640502598242</v>
      </c>
      <c r="E137" s="45">
        <f t="shared" si="8"/>
        <v>-0.53987777364666167</v>
      </c>
      <c r="F137" s="45">
        <f t="shared" si="9"/>
        <v>-3.7751931550271324E-2</v>
      </c>
      <c r="J137" s="45">
        <v>254</v>
      </c>
      <c r="K137" s="45">
        <f t="shared" si="6"/>
        <v>-0.52023108106173754</v>
      </c>
      <c r="L137" s="45">
        <f t="shared" si="7"/>
        <v>-0.14917386202276989</v>
      </c>
    </row>
    <row r="138" spans="2:12">
      <c r="B138" s="45">
        <v>-3.4899496702501649E-2</v>
      </c>
      <c r="C138" s="45">
        <v>0.99939082701909565</v>
      </c>
      <c r="E138" s="45">
        <f t="shared" si="8"/>
        <v>-0.54086641810461722</v>
      </c>
      <c r="F138" s="45">
        <f t="shared" si="9"/>
        <v>-1.8887471512458443E-2</v>
      </c>
      <c r="J138" s="45">
        <v>256</v>
      </c>
      <c r="K138" s="45">
        <f t="shared" si="6"/>
        <v>-0.52512026304909121</v>
      </c>
      <c r="L138" s="45">
        <f t="shared" si="7"/>
        <v>-0.13092718643851561</v>
      </c>
    </row>
    <row r="139" spans="2:12">
      <c r="B139" s="45">
        <v>-1.83772268236293E-16</v>
      </c>
      <c r="C139" s="45">
        <v>1</v>
      </c>
      <c r="E139" s="45">
        <f t="shared" si="8"/>
        <v>-0.54119610014619701</v>
      </c>
      <c r="F139" s="45">
        <f t="shared" si="9"/>
        <v>-6.6304556589668412E-17</v>
      </c>
      <c r="J139" s="45">
        <v>258</v>
      </c>
      <c r="K139" s="45">
        <f t="shared" ref="K139:K190" si="10">COS((90-J139)*PI()/180)*SIN((90-J$8)/2*PI()/180)*2^0.5</f>
        <v>-0.52936966688449505</v>
      </c>
      <c r="L139" s="45">
        <f t="shared" ref="L139:L190" si="11">SIN((90-J139)*PI()/180)*SIN((90-J$8)/2*PI()/180)*2^0.5</f>
        <v>-0.11252099624537323</v>
      </c>
    </row>
    <row r="140" spans="2:12">
      <c r="B140" s="45">
        <v>3.4899496702501281E-2</v>
      </c>
      <c r="C140" s="45">
        <v>0.99939082701909576</v>
      </c>
      <c r="E140" s="45">
        <f t="shared" si="8"/>
        <v>-0.54086641810461722</v>
      </c>
      <c r="F140" s="45">
        <f t="shared" si="9"/>
        <v>1.8887471512458551E-2</v>
      </c>
      <c r="J140" s="45">
        <v>260</v>
      </c>
      <c r="K140" s="45">
        <f t="shared" si="10"/>
        <v>-0.53297411532394623</v>
      </c>
      <c r="L140" s="45">
        <f t="shared" si="11"/>
        <v>-9.3977716550836615E-2</v>
      </c>
    </row>
    <row r="141" spans="2:12">
      <c r="B141" s="45">
        <v>6.9756473744125219E-2</v>
      </c>
      <c r="C141" s="45">
        <v>0.99756405025982431</v>
      </c>
      <c r="E141" s="45">
        <f t="shared" si="8"/>
        <v>-0.53987777364666178</v>
      </c>
      <c r="F141" s="45">
        <f t="shared" si="9"/>
        <v>3.7751931550270942E-2</v>
      </c>
      <c r="J141" s="45">
        <v>262</v>
      </c>
      <c r="K141" s="45">
        <f t="shared" si="10"/>
        <v>-0.53592921690224404</v>
      </c>
      <c r="L141" s="45">
        <f t="shared" si="11"/>
        <v>-7.5319939484840531E-2</v>
      </c>
    </row>
    <row r="142" spans="2:12">
      <c r="B142" s="45">
        <v>0.10452846326765299</v>
      </c>
      <c r="C142" s="45">
        <v>0.9945218953682734</v>
      </c>
      <c r="E142" s="45">
        <f t="shared" si="8"/>
        <v>-0.53823137128331378</v>
      </c>
      <c r="F142" s="45">
        <f t="shared" si="9"/>
        <v>5.6570396674728844E-2</v>
      </c>
      <c r="J142" s="45">
        <v>264</v>
      </c>
      <c r="K142" s="45">
        <f t="shared" si="10"/>
        <v>-0.53823137128331366</v>
      </c>
      <c r="L142" s="45">
        <f t="shared" si="11"/>
        <v>-5.6570396674729205E-2</v>
      </c>
    </row>
    <row r="143" spans="2:12">
      <c r="B143" s="45">
        <v>0.13917310096006547</v>
      </c>
      <c r="C143" s="45">
        <v>0.99026806874157036</v>
      </c>
      <c r="E143" s="45">
        <f t="shared" si="8"/>
        <v>-0.53592921690224404</v>
      </c>
      <c r="F143" s="45">
        <f t="shared" si="9"/>
        <v>7.5319939484840406E-2</v>
      </c>
      <c r="J143" s="45">
        <v>266</v>
      </c>
      <c r="K143" s="45">
        <f t="shared" si="10"/>
        <v>-0.53987777364666167</v>
      </c>
      <c r="L143" s="45">
        <f t="shared" si="11"/>
        <v>-3.7751931550271324E-2</v>
      </c>
    </row>
    <row r="144" spans="2:12">
      <c r="B144" s="45">
        <v>0.17364817766692997</v>
      </c>
      <c r="C144" s="45">
        <v>0.98480775301220813</v>
      </c>
      <c r="E144" s="45">
        <f t="shared" si="8"/>
        <v>-0.53297411532394623</v>
      </c>
      <c r="F144" s="45">
        <f t="shared" si="9"/>
        <v>9.3977716550836712E-2</v>
      </c>
      <c r="J144" s="45">
        <v>268</v>
      </c>
      <c r="K144" s="45">
        <f t="shared" si="10"/>
        <v>-0.54086641810461722</v>
      </c>
      <c r="L144" s="45">
        <f t="shared" si="11"/>
        <v>-1.8887471512458443E-2</v>
      </c>
    </row>
    <row r="145" spans="2:12">
      <c r="B145" s="45">
        <v>0.20791169081775857</v>
      </c>
      <c r="C145" s="45">
        <v>0.9781476007338058</v>
      </c>
      <c r="E145" s="45">
        <f t="shared" si="8"/>
        <v>-0.52936966688449505</v>
      </c>
      <c r="F145" s="45">
        <f t="shared" si="9"/>
        <v>0.11252099624537309</v>
      </c>
      <c r="J145" s="45">
        <v>270</v>
      </c>
      <c r="K145" s="45">
        <f t="shared" si="10"/>
        <v>-0.54119610014619701</v>
      </c>
      <c r="L145" s="45">
        <f t="shared" si="11"/>
        <v>-6.6304556589668412E-17</v>
      </c>
    </row>
    <row r="146" spans="2:12">
      <c r="B146" s="45">
        <v>0.24192189559966745</v>
      </c>
      <c r="C146" s="45">
        <v>0.97029572627599658</v>
      </c>
      <c r="E146" s="45">
        <f t="shared" si="8"/>
        <v>-0.52512026304909121</v>
      </c>
      <c r="F146" s="45">
        <f t="shared" si="9"/>
        <v>0.13092718643851547</v>
      </c>
      <c r="J146" s="45">
        <v>272</v>
      </c>
      <c r="K146" s="45">
        <f t="shared" si="10"/>
        <v>-0.54086641810461722</v>
      </c>
      <c r="L146" s="45">
        <f t="shared" si="11"/>
        <v>1.8887471512458551E-2</v>
      </c>
    </row>
    <row r="147" spans="2:12">
      <c r="B147" s="45">
        <v>0.27563735581699939</v>
      </c>
      <c r="C147" s="45">
        <v>0.96126169593831878</v>
      </c>
      <c r="E147" s="45">
        <f t="shared" si="8"/>
        <v>-0.52023108106173765</v>
      </c>
      <c r="F147" s="45">
        <f t="shared" si="9"/>
        <v>0.14917386202276955</v>
      </c>
      <c r="J147" s="45">
        <v>274</v>
      </c>
      <c r="K147" s="45">
        <f t="shared" si="10"/>
        <v>-0.53987777364666178</v>
      </c>
      <c r="L147" s="45">
        <f t="shared" si="11"/>
        <v>3.7751931550270942E-2</v>
      </c>
    </row>
    <row r="148" spans="2:12">
      <c r="B148" s="45">
        <v>0.30901699437494723</v>
      </c>
      <c r="C148" s="45">
        <v>0.95105651629515364</v>
      </c>
      <c r="E148" s="45">
        <f t="shared" si="8"/>
        <v>-0.51470807763756521</v>
      </c>
      <c r="F148" s="45">
        <f t="shared" si="9"/>
        <v>0.16723879223462101</v>
      </c>
      <c r="J148" s="45">
        <v>276</v>
      </c>
      <c r="K148" s="45">
        <f t="shared" si="10"/>
        <v>-0.53823137128331378</v>
      </c>
      <c r="L148" s="45">
        <f t="shared" si="11"/>
        <v>5.6570396674728844E-2</v>
      </c>
    </row>
    <row r="149" spans="2:12">
      <c r="B149" s="45">
        <v>0.34202014332566816</v>
      </c>
      <c r="C149" s="45">
        <v>0.93969262078590854</v>
      </c>
      <c r="E149" s="45">
        <f t="shared" si="8"/>
        <v>-0.50855798170549293</v>
      </c>
      <c r="F149" s="45">
        <f t="shared" si="9"/>
        <v>0.18509996773929524</v>
      </c>
      <c r="J149" s="45">
        <v>278</v>
      </c>
      <c r="K149" s="45">
        <f t="shared" si="10"/>
        <v>-0.53592921690224404</v>
      </c>
      <c r="L149" s="45">
        <f t="shared" si="11"/>
        <v>7.5319939484840406E-2</v>
      </c>
    </row>
    <row r="150" spans="2:12">
      <c r="B150" s="45">
        <v>0.37460659341591196</v>
      </c>
      <c r="C150" s="45">
        <v>0.92718385456678742</v>
      </c>
      <c r="E150" s="45">
        <f t="shared" si="8"/>
        <v>-0.50178828621006411</v>
      </c>
      <c r="F150" s="45">
        <f t="shared" si="9"/>
        <v>0.20273562744574361</v>
      </c>
      <c r="J150" s="45">
        <v>280</v>
      </c>
      <c r="K150" s="45">
        <f t="shared" si="10"/>
        <v>-0.53297411532394623</v>
      </c>
      <c r="L150" s="45">
        <f t="shared" si="11"/>
        <v>9.3977716550836712E-2</v>
      </c>
    </row>
    <row r="151" spans="2:12">
      <c r="B151" s="45">
        <v>0.40673664307580054</v>
      </c>
      <c r="C151" s="45">
        <v>0.91354545764260076</v>
      </c>
      <c r="E151" s="45">
        <f t="shared" si="8"/>
        <v>-0.49440723898244854</v>
      </c>
      <c r="F151" s="45">
        <f t="shared" si="9"/>
        <v>0.22012428501917855</v>
      </c>
      <c r="J151" s="45">
        <v>282</v>
      </c>
      <c r="K151" s="45">
        <f t="shared" si="10"/>
        <v>-0.52936966688449505</v>
      </c>
      <c r="L151" s="45">
        <f t="shared" si="11"/>
        <v>0.11252099624537309</v>
      </c>
    </row>
    <row r="152" spans="2:12">
      <c r="B152" s="45">
        <v>0.4383711467890774</v>
      </c>
      <c r="C152" s="45">
        <v>0.89879404629916704</v>
      </c>
      <c r="E152" s="45">
        <f t="shared" si="8"/>
        <v>-0.48642383269172973</v>
      </c>
      <c r="F152" s="45">
        <f t="shared" si="9"/>
        <v>0.23724475505886461</v>
      </c>
      <c r="J152" s="45">
        <v>284</v>
      </c>
      <c r="K152" s="45">
        <f t="shared" si="10"/>
        <v>-0.52512026304909121</v>
      </c>
      <c r="L152" s="45">
        <f t="shared" si="11"/>
        <v>0.13092718643851547</v>
      </c>
    </row>
    <row r="153" spans="2:12">
      <c r="B153" s="45">
        <v>0.46947156278589042</v>
      </c>
      <c r="C153" s="45">
        <v>0.8829475928589271</v>
      </c>
      <c r="E153" s="45">
        <f t="shared" si="8"/>
        <v>-0.47784779388872339</v>
      </c>
      <c r="F153" s="45">
        <f t="shared" si="9"/>
        <v>0.25407617890926465</v>
      </c>
      <c r="J153" s="45">
        <v>286</v>
      </c>
      <c r="K153" s="45">
        <f t="shared" si="10"/>
        <v>-0.52023108106173765</v>
      </c>
      <c r="L153" s="45">
        <f t="shared" si="11"/>
        <v>0.14917386202276955</v>
      </c>
    </row>
    <row r="154" spans="2:12">
      <c r="B154" s="45">
        <v>0.5</v>
      </c>
      <c r="C154" s="45">
        <v>0.8660254037844386</v>
      </c>
      <c r="E154" s="45">
        <f t="shared" si="8"/>
        <v>-0.46868957115567378</v>
      </c>
      <c r="F154" s="45">
        <f t="shared" si="9"/>
        <v>0.27059805007309862</v>
      </c>
      <c r="J154" s="45">
        <v>288</v>
      </c>
      <c r="K154" s="45">
        <f t="shared" si="10"/>
        <v>-0.51470807763756521</v>
      </c>
      <c r="L154" s="45">
        <f t="shared" si="11"/>
        <v>0.16723879223462101</v>
      </c>
    </row>
    <row r="155" spans="2:12">
      <c r="B155" s="45">
        <v>0.52991926423320468</v>
      </c>
      <c r="C155" s="45">
        <v>0.84804809615642618</v>
      </c>
      <c r="E155" s="45">
        <f t="shared" si="8"/>
        <v>-0.45896032237626488</v>
      </c>
      <c r="F155" s="45">
        <f t="shared" si="9"/>
        <v>0.28679023919535257</v>
      </c>
      <c r="J155" s="45">
        <v>290</v>
      </c>
      <c r="K155" s="45">
        <f t="shared" si="10"/>
        <v>-0.50855798170549293</v>
      </c>
      <c r="L155" s="45">
        <f t="shared" si="11"/>
        <v>0.18509996773929524</v>
      </c>
    </row>
    <row r="156" spans="2:12">
      <c r="B156" s="45">
        <v>0.55919290347074624</v>
      </c>
      <c r="C156" s="45">
        <v>0.82903757255504207</v>
      </c>
      <c r="E156" s="45">
        <f t="shared" si="8"/>
        <v>-0.44867190114145855</v>
      </c>
      <c r="F156" s="45">
        <f t="shared" si="9"/>
        <v>0.3026330185877969</v>
      </c>
      <c r="J156" s="45">
        <v>292</v>
      </c>
      <c r="K156" s="45">
        <f t="shared" si="10"/>
        <v>-0.50178828621006411</v>
      </c>
      <c r="L156" s="45">
        <f t="shared" si="11"/>
        <v>0.20273562744574361</v>
      </c>
    </row>
    <row r="157" spans="2:12">
      <c r="B157" s="45">
        <v>0.58778525229247292</v>
      </c>
      <c r="C157" s="45">
        <v>0.80901699437494756</v>
      </c>
      <c r="E157" s="45">
        <f t="shared" si="8"/>
        <v>-0.43783684230771946</v>
      </c>
      <c r="F157" s="45">
        <f t="shared" si="9"/>
        <v>0.31810708626413492</v>
      </c>
      <c r="J157" s="45">
        <v>294</v>
      </c>
      <c r="K157" s="45">
        <f t="shared" si="10"/>
        <v>-0.49440723898244854</v>
      </c>
      <c r="L157" s="45">
        <f t="shared" si="11"/>
        <v>0.22012428501917855</v>
      </c>
    </row>
    <row r="158" spans="2:12">
      <c r="B158" s="45">
        <v>0.61566147532565851</v>
      </c>
      <c r="C158" s="45">
        <v>0.78801075360672179</v>
      </c>
      <c r="E158" s="45">
        <f t="shared" si="8"/>
        <v>-0.42646834672522388</v>
      </c>
      <c r="F158" s="45">
        <f t="shared" si="9"/>
        <v>0.33319358945650013</v>
      </c>
      <c r="J158" s="45">
        <v>296</v>
      </c>
      <c r="K158" s="45">
        <f t="shared" si="10"/>
        <v>-0.48642383269172973</v>
      </c>
      <c r="L158" s="45">
        <f t="shared" si="11"/>
        <v>0.23724475505886461</v>
      </c>
    </row>
    <row r="159" spans="2:12">
      <c r="B159" s="45">
        <v>0.64278760968653925</v>
      </c>
      <c r="C159" s="45">
        <v>0.76604444311897812</v>
      </c>
      <c r="E159" s="45">
        <f t="shared" si="8"/>
        <v>-0.41458026515465618</v>
      </c>
      <c r="F159" s="45">
        <f t="shared" si="9"/>
        <v>0.34787414758465091</v>
      </c>
      <c r="J159" s="45">
        <v>298</v>
      </c>
      <c r="K159" s="45">
        <f t="shared" si="10"/>
        <v>-0.47784779388872339</v>
      </c>
      <c r="L159" s="45">
        <f t="shared" si="11"/>
        <v>0.25407617890926465</v>
      </c>
    </row>
    <row r="160" spans="2:12">
      <c r="B160" s="45">
        <v>0.66913060635885779</v>
      </c>
      <c r="C160" s="45">
        <v>0.74314482547739458</v>
      </c>
      <c r="E160" s="45">
        <f t="shared" si="8"/>
        <v>-0.40218708139219195</v>
      </c>
      <c r="F160" s="45">
        <f t="shared" si="9"/>
        <v>0.3621308746498742</v>
      </c>
      <c r="J160" s="45">
        <v>300</v>
      </c>
      <c r="K160" s="45">
        <f t="shared" si="10"/>
        <v>-0.46868957115567378</v>
      </c>
      <c r="L160" s="45">
        <f t="shared" si="11"/>
        <v>0.27059805007309862</v>
      </c>
    </row>
    <row r="161" spans="2:12">
      <c r="B161" s="45">
        <v>0.69465837045899659</v>
      </c>
      <c r="C161" s="45">
        <v>0.71933980033865175</v>
      </c>
      <c r="E161" s="45">
        <f t="shared" si="8"/>
        <v>-0.38930389462322201</v>
      </c>
      <c r="F161" s="45">
        <f t="shared" si="9"/>
        <v>0.37594640102632154</v>
      </c>
      <c r="J161" s="45">
        <v>302</v>
      </c>
      <c r="K161" s="45">
        <f t="shared" si="10"/>
        <v>-0.45896032237626488</v>
      </c>
      <c r="L161" s="45">
        <f t="shared" si="11"/>
        <v>0.28679023919535257</v>
      </c>
    </row>
    <row r="162" spans="2:12">
      <c r="B162" s="45">
        <v>0.71933980033865086</v>
      </c>
      <c r="C162" s="45">
        <v>0.69465837045899759</v>
      </c>
      <c r="E162" s="45">
        <f t="shared" si="8"/>
        <v>-0.37594640102632171</v>
      </c>
      <c r="F162" s="45">
        <f t="shared" si="9"/>
        <v>0.38930389462322185</v>
      </c>
      <c r="J162" s="45">
        <v>304</v>
      </c>
      <c r="K162" s="45">
        <f t="shared" si="10"/>
        <v>-0.44867190114145855</v>
      </c>
      <c r="L162" s="45">
        <f t="shared" si="11"/>
        <v>0.3026330185877969</v>
      </c>
    </row>
    <row r="163" spans="2:12">
      <c r="B163" s="45">
        <v>0.74314482547739424</v>
      </c>
      <c r="C163" s="45">
        <v>0.66913060635885813</v>
      </c>
      <c r="E163" s="45">
        <f t="shared" si="8"/>
        <v>-0.36213087464987426</v>
      </c>
      <c r="F163" s="45">
        <f t="shared" si="9"/>
        <v>0.40218708139219189</v>
      </c>
      <c r="J163" s="45">
        <v>306</v>
      </c>
      <c r="K163" s="45">
        <f t="shared" si="10"/>
        <v>-0.43783684230771946</v>
      </c>
      <c r="L163" s="45">
        <f t="shared" si="11"/>
        <v>0.31810708626413492</v>
      </c>
    </row>
    <row r="164" spans="2:12">
      <c r="B164" s="45">
        <v>0.76604444311897779</v>
      </c>
      <c r="C164" s="45">
        <v>0.64278760968653958</v>
      </c>
      <c r="E164" s="45">
        <f t="shared" si="8"/>
        <v>-0.34787414758465102</v>
      </c>
      <c r="F164" s="45">
        <f t="shared" si="9"/>
        <v>0.41458026515465607</v>
      </c>
      <c r="J164" s="45">
        <v>308</v>
      </c>
      <c r="K164" s="45">
        <f t="shared" si="10"/>
        <v>-0.42646834672522388</v>
      </c>
      <c r="L164" s="45">
        <f t="shared" si="11"/>
        <v>0.33319358945650013</v>
      </c>
    </row>
    <row r="165" spans="2:12">
      <c r="B165" s="45">
        <v>0.78801075360672157</v>
      </c>
      <c r="C165" s="45">
        <v>0.61566147532565885</v>
      </c>
      <c r="E165" s="45">
        <f t="shared" si="8"/>
        <v>-0.33319358945650029</v>
      </c>
      <c r="F165" s="45">
        <f t="shared" si="9"/>
        <v>0.42646834672522377</v>
      </c>
      <c r="J165" s="45">
        <v>310</v>
      </c>
      <c r="K165" s="45">
        <f t="shared" si="10"/>
        <v>-0.41458026515465618</v>
      </c>
      <c r="L165" s="45">
        <f t="shared" si="11"/>
        <v>0.34787414758465091</v>
      </c>
    </row>
    <row r="166" spans="2:12">
      <c r="B166" s="45">
        <v>0.80901699437494734</v>
      </c>
      <c r="C166" s="45">
        <v>0.58778525229247336</v>
      </c>
      <c r="E166" s="45">
        <f t="shared" si="8"/>
        <v>-0.31810708626413503</v>
      </c>
      <c r="F166" s="45">
        <f t="shared" si="9"/>
        <v>0.4378368423077193</v>
      </c>
      <c r="J166" s="45">
        <v>312</v>
      </c>
      <c r="K166" s="45">
        <f t="shared" si="10"/>
        <v>-0.40218708139219195</v>
      </c>
      <c r="L166" s="45">
        <f t="shared" si="11"/>
        <v>0.3621308746498742</v>
      </c>
    </row>
    <row r="167" spans="2:12">
      <c r="B167" s="45">
        <v>0.8290375725550414</v>
      </c>
      <c r="C167" s="45">
        <v>0.55919290347074735</v>
      </c>
      <c r="E167" s="45">
        <f t="shared" si="8"/>
        <v>-0.30263301858779723</v>
      </c>
      <c r="F167" s="45">
        <f t="shared" si="9"/>
        <v>0.44867190114145822</v>
      </c>
      <c r="J167" s="45">
        <v>314</v>
      </c>
      <c r="K167" s="45">
        <f t="shared" si="10"/>
        <v>-0.38930389462322201</v>
      </c>
      <c r="L167" s="45">
        <f t="shared" si="11"/>
        <v>0.37594640102632154</v>
      </c>
    </row>
    <row r="168" spans="2:12">
      <c r="B168" s="45">
        <v>0.8480480961564254</v>
      </c>
      <c r="C168" s="45">
        <v>0.52991926423320579</v>
      </c>
      <c r="E168" s="45">
        <f t="shared" si="8"/>
        <v>-0.28679023919535268</v>
      </c>
      <c r="F168" s="45">
        <f t="shared" si="9"/>
        <v>0.45896032237626483</v>
      </c>
      <c r="J168" s="45">
        <v>316</v>
      </c>
      <c r="K168" s="45">
        <f t="shared" si="10"/>
        <v>-0.37594640102632171</v>
      </c>
      <c r="L168" s="45">
        <f t="shared" si="11"/>
        <v>0.38930389462322185</v>
      </c>
    </row>
    <row r="169" spans="2:12">
      <c r="B169" s="45">
        <v>0.86602540378443837</v>
      </c>
      <c r="C169" s="45">
        <v>0.5</v>
      </c>
      <c r="E169" s="45">
        <f t="shared" si="8"/>
        <v>-0.27059805007309873</v>
      </c>
      <c r="F169" s="45">
        <f t="shared" si="9"/>
        <v>0.46868957115567361</v>
      </c>
      <c r="J169" s="45">
        <v>318</v>
      </c>
      <c r="K169" s="45">
        <f t="shared" si="10"/>
        <v>-0.36213087464987426</v>
      </c>
      <c r="L169" s="45">
        <f t="shared" si="11"/>
        <v>0.40218708139219189</v>
      </c>
    </row>
    <row r="170" spans="2:12">
      <c r="B170" s="45">
        <v>0.88294759285892688</v>
      </c>
      <c r="C170" s="45">
        <v>0.46947156278589081</v>
      </c>
      <c r="E170" s="45">
        <f t="shared" si="8"/>
        <v>-0.25407617890926454</v>
      </c>
      <c r="F170" s="45">
        <f t="shared" si="9"/>
        <v>0.47784779388872345</v>
      </c>
      <c r="J170" s="45">
        <v>320</v>
      </c>
      <c r="K170" s="45">
        <f t="shared" si="10"/>
        <v>-0.34787414758465102</v>
      </c>
      <c r="L170" s="45">
        <f t="shared" si="11"/>
        <v>0.41458026515465607</v>
      </c>
    </row>
    <row r="171" spans="2:12">
      <c r="B171" s="45">
        <v>0.89879404629916715</v>
      </c>
      <c r="C171" s="45">
        <v>0.43837114678907702</v>
      </c>
      <c r="E171" s="45">
        <f t="shared" si="8"/>
        <v>-0.23724475505886497</v>
      </c>
      <c r="F171" s="45">
        <f t="shared" si="9"/>
        <v>0.48642383269172956</v>
      </c>
      <c r="J171" s="45">
        <v>322</v>
      </c>
      <c r="K171" s="45">
        <f t="shared" si="10"/>
        <v>-0.33319358945650029</v>
      </c>
      <c r="L171" s="45">
        <f t="shared" si="11"/>
        <v>0.42646834672522377</v>
      </c>
    </row>
    <row r="172" spans="2:12">
      <c r="B172" s="45">
        <v>0.91354545764260098</v>
      </c>
      <c r="C172" s="45">
        <v>0.40673664307580015</v>
      </c>
      <c r="E172" s="45">
        <f t="shared" si="8"/>
        <v>-0.22012428501917872</v>
      </c>
      <c r="F172" s="45">
        <f t="shared" si="9"/>
        <v>0.49440723898244848</v>
      </c>
      <c r="J172" s="45">
        <v>324</v>
      </c>
      <c r="K172" s="45">
        <f t="shared" si="10"/>
        <v>-0.31810708626413503</v>
      </c>
      <c r="L172" s="45">
        <f t="shared" si="11"/>
        <v>0.4378368423077193</v>
      </c>
    </row>
    <row r="173" spans="2:12">
      <c r="B173" s="45">
        <v>0.92718385456678731</v>
      </c>
      <c r="C173" s="45">
        <v>0.37460659341591235</v>
      </c>
      <c r="E173" s="45">
        <f t="shared" si="8"/>
        <v>-0.20273562744574378</v>
      </c>
      <c r="F173" s="45">
        <f t="shared" si="9"/>
        <v>0.50178828621006399</v>
      </c>
      <c r="J173" s="45">
        <v>326</v>
      </c>
      <c r="K173" s="45">
        <f t="shared" si="10"/>
        <v>-0.30263301858779723</v>
      </c>
      <c r="L173" s="45">
        <f t="shared" si="11"/>
        <v>0.44867190114145822</v>
      </c>
    </row>
    <row r="174" spans="2:12">
      <c r="B174" s="45">
        <v>0.93969262078590843</v>
      </c>
      <c r="C174" s="45">
        <v>0.3420201433256686</v>
      </c>
      <c r="E174" s="45">
        <f t="shared" si="8"/>
        <v>-0.18509996773929563</v>
      </c>
      <c r="F174" s="45">
        <f t="shared" si="9"/>
        <v>0.50855798170549271</v>
      </c>
      <c r="J174" s="45">
        <v>328</v>
      </c>
      <c r="K174" s="45">
        <f t="shared" si="10"/>
        <v>-0.28679023919535268</v>
      </c>
      <c r="L174" s="45">
        <f t="shared" si="11"/>
        <v>0.45896032237626483</v>
      </c>
    </row>
    <row r="175" spans="2:12">
      <c r="B175" s="45">
        <v>0.95105651629515353</v>
      </c>
      <c r="C175" s="45">
        <v>0.30901699437494762</v>
      </c>
      <c r="E175" s="45">
        <f t="shared" si="8"/>
        <v>-0.16723879223462093</v>
      </c>
      <c r="F175" s="45">
        <f t="shared" si="9"/>
        <v>0.51470807763756521</v>
      </c>
      <c r="J175" s="45">
        <v>330</v>
      </c>
      <c r="K175" s="45">
        <f t="shared" si="10"/>
        <v>-0.27059805007309873</v>
      </c>
      <c r="L175" s="45">
        <f t="shared" si="11"/>
        <v>0.46868957115567361</v>
      </c>
    </row>
    <row r="176" spans="2:12">
      <c r="B176" s="45">
        <v>0.96126169593831867</v>
      </c>
      <c r="C176" s="45">
        <v>0.27563735581699977</v>
      </c>
      <c r="E176" s="45">
        <f t="shared" si="8"/>
        <v>-0.14917386202276947</v>
      </c>
      <c r="F176" s="45">
        <f t="shared" si="9"/>
        <v>0.52023108106173765</v>
      </c>
      <c r="J176" s="45">
        <v>332</v>
      </c>
      <c r="K176" s="45">
        <f t="shared" si="10"/>
        <v>-0.25407617890926454</v>
      </c>
      <c r="L176" s="45">
        <f t="shared" si="11"/>
        <v>0.47784779388872345</v>
      </c>
    </row>
    <row r="177" spans="2:12">
      <c r="B177" s="45">
        <v>0.97029572627599647</v>
      </c>
      <c r="C177" s="45">
        <v>0.24192189559966787</v>
      </c>
      <c r="E177" s="45">
        <f t="shared" si="8"/>
        <v>-0.13092718643851564</v>
      </c>
      <c r="F177" s="45">
        <f t="shared" si="9"/>
        <v>0.52512026304909121</v>
      </c>
      <c r="J177" s="45">
        <v>334</v>
      </c>
      <c r="K177" s="45">
        <f t="shared" si="10"/>
        <v>-0.23724475505886497</v>
      </c>
      <c r="L177" s="45">
        <f t="shared" si="11"/>
        <v>0.48642383269172956</v>
      </c>
    </row>
    <row r="178" spans="2:12">
      <c r="B178" s="45">
        <v>0.97814760073380558</v>
      </c>
      <c r="C178" s="45">
        <v>0.20791169081775987</v>
      </c>
      <c r="E178" s="45">
        <f t="shared" si="8"/>
        <v>-0.11252099624537348</v>
      </c>
      <c r="F178" s="45">
        <f t="shared" si="9"/>
        <v>0.52936966688449494</v>
      </c>
      <c r="J178" s="45">
        <v>336</v>
      </c>
      <c r="K178" s="45">
        <f t="shared" si="10"/>
        <v>-0.22012428501917872</v>
      </c>
      <c r="L178" s="45">
        <f t="shared" si="11"/>
        <v>0.49440723898244848</v>
      </c>
    </row>
    <row r="179" spans="2:12">
      <c r="B179" s="45">
        <v>0.98480775301220791</v>
      </c>
      <c r="C179" s="45">
        <v>0.17364817766693127</v>
      </c>
      <c r="E179" s="45">
        <f t="shared" si="8"/>
        <v>-9.3977716550836629E-2</v>
      </c>
      <c r="F179" s="45">
        <f t="shared" si="9"/>
        <v>0.53297411532394623</v>
      </c>
      <c r="J179" s="45">
        <v>338</v>
      </c>
      <c r="K179" s="45">
        <f t="shared" si="10"/>
        <v>-0.20273562744574378</v>
      </c>
      <c r="L179" s="45">
        <f t="shared" si="11"/>
        <v>0.50178828621006399</v>
      </c>
    </row>
    <row r="180" spans="2:12">
      <c r="B180" s="45">
        <v>0.99026806874157025</v>
      </c>
      <c r="C180" s="45">
        <v>0.13917310096006588</v>
      </c>
      <c r="E180" s="45">
        <f t="shared" si="8"/>
        <v>-7.5319939484840101E-2</v>
      </c>
      <c r="F180" s="45">
        <f t="shared" si="9"/>
        <v>0.53592921690224404</v>
      </c>
      <c r="J180" s="45">
        <v>340</v>
      </c>
      <c r="K180" s="45">
        <f t="shared" si="10"/>
        <v>-0.18509996773929563</v>
      </c>
      <c r="L180" s="45">
        <f t="shared" si="11"/>
        <v>0.50855798170549271</v>
      </c>
    </row>
    <row r="181" spans="2:12">
      <c r="B181" s="45">
        <v>0.99452189536827329</v>
      </c>
      <c r="C181" s="45">
        <v>0.10452846326765342</v>
      </c>
      <c r="E181" s="45">
        <f t="shared" si="8"/>
        <v>-5.6570396674729004E-2</v>
      </c>
      <c r="F181" s="45">
        <f t="shared" si="9"/>
        <v>0.53823137128331378</v>
      </c>
      <c r="J181" s="45">
        <v>342</v>
      </c>
      <c r="K181" s="45">
        <f t="shared" si="10"/>
        <v>-0.16723879223462093</v>
      </c>
      <c r="L181" s="45">
        <f t="shared" si="11"/>
        <v>0.51470807763756521</v>
      </c>
    </row>
    <row r="182" spans="2:12">
      <c r="B182" s="45">
        <v>0.99756405025982431</v>
      </c>
      <c r="C182" s="45">
        <v>6.9756473744124761E-2</v>
      </c>
      <c r="E182" s="45">
        <f t="shared" si="8"/>
        <v>-3.7751931550271352E-2</v>
      </c>
      <c r="F182" s="45">
        <f t="shared" si="9"/>
        <v>0.53987777364666167</v>
      </c>
      <c r="J182" s="45">
        <v>344</v>
      </c>
      <c r="K182" s="45">
        <f t="shared" si="10"/>
        <v>-0.14917386202276947</v>
      </c>
      <c r="L182" s="45">
        <f t="shared" si="11"/>
        <v>0.52023108106173765</v>
      </c>
    </row>
    <row r="183" spans="2:12">
      <c r="B183" s="45">
        <v>0.99939082701909576</v>
      </c>
      <c r="C183" s="45">
        <v>3.4899496702500823E-2</v>
      </c>
      <c r="E183" s="45">
        <f t="shared" si="8"/>
        <v>-1.8887471512458957E-2</v>
      </c>
      <c r="F183" s="45">
        <f t="shared" si="9"/>
        <v>0.54086641810461711</v>
      </c>
      <c r="J183" s="45">
        <v>346</v>
      </c>
      <c r="K183" s="45">
        <f t="shared" si="10"/>
        <v>-0.13092718643851564</v>
      </c>
      <c r="L183" s="45">
        <f t="shared" si="11"/>
        <v>0.52512026304909121</v>
      </c>
    </row>
    <row r="184" spans="2:12">
      <c r="B184" s="45">
        <v>1</v>
      </c>
      <c r="C184" s="45">
        <v>2.45029690981724E-16</v>
      </c>
      <c r="E184" s="45">
        <f t="shared" si="8"/>
        <v>-9.9456834884502612E-17</v>
      </c>
      <c r="F184" s="45">
        <f t="shared" si="9"/>
        <v>0.54119610014619701</v>
      </c>
      <c r="J184" s="45">
        <v>348</v>
      </c>
      <c r="K184" s="45">
        <f t="shared" si="10"/>
        <v>-0.11252099624537348</v>
      </c>
      <c r="L184" s="45">
        <f t="shared" si="11"/>
        <v>0.52936966688449494</v>
      </c>
    </row>
    <row r="185" spans="2:12">
      <c r="J185" s="45">
        <v>350</v>
      </c>
      <c r="K185" s="45">
        <f t="shared" si="10"/>
        <v>-9.3977716550836629E-2</v>
      </c>
      <c r="L185" s="45">
        <f t="shared" si="11"/>
        <v>0.53297411532394623</v>
      </c>
    </row>
    <row r="186" spans="2:12">
      <c r="J186" s="45">
        <v>352</v>
      </c>
      <c r="K186" s="45">
        <f t="shared" si="10"/>
        <v>-7.5319939484840101E-2</v>
      </c>
      <c r="L186" s="45">
        <f t="shared" si="11"/>
        <v>0.53592921690224404</v>
      </c>
    </row>
    <row r="187" spans="2:12">
      <c r="J187" s="45">
        <v>354</v>
      </c>
      <c r="K187" s="45">
        <f t="shared" si="10"/>
        <v>-5.6570396674729004E-2</v>
      </c>
      <c r="L187" s="45">
        <f t="shared" si="11"/>
        <v>0.53823137128331378</v>
      </c>
    </row>
    <row r="188" spans="2:12">
      <c r="J188" s="45">
        <v>356</v>
      </c>
      <c r="K188" s="45">
        <f t="shared" si="10"/>
        <v>-3.7751931550271352E-2</v>
      </c>
      <c r="L188" s="45">
        <f t="shared" si="11"/>
        <v>0.53987777364666167</v>
      </c>
    </row>
    <row r="189" spans="2:12">
      <c r="J189" s="45">
        <v>358</v>
      </c>
      <c r="K189" s="45">
        <f t="shared" si="10"/>
        <v>-1.8887471512458957E-2</v>
      </c>
      <c r="L189" s="45">
        <f t="shared" si="11"/>
        <v>0.54086641810461711</v>
      </c>
    </row>
    <row r="190" spans="2:12">
      <c r="J190" s="45">
        <v>360</v>
      </c>
      <c r="K190" s="45">
        <f t="shared" si="10"/>
        <v>-9.9456834884502612E-17</v>
      </c>
      <c r="L190" s="45">
        <f t="shared" si="11"/>
        <v>0.54119610014619701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2</vt:i4>
      </vt:variant>
    </vt:vector>
  </HeadingPairs>
  <TitlesOfParts>
    <vt:vector size="2" baseType="lpstr">
      <vt:lpstr>Samplespace</vt:lpstr>
      <vt:lpstr>stereo_Cirklar_streck</vt:lpstr>
    </vt:vector>
  </TitlesOfParts>
  <Company>Svensk Kärnbränslehantering AB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Sample space stereogram</dc:title>
  <dc:subject>Geology</dc:subject>
  <dc:creator>Martin Stigsson</dc:creator>
  <cp:lastModifiedBy>Martin Stigsson</cp:lastModifiedBy>
  <cp:lastPrinted>2012-11-20T11:09:00Z</cp:lastPrinted>
  <dcterms:created xsi:type="dcterms:W3CDTF">2008-02-21T14:35:14Z</dcterms:created>
  <dcterms:modified xsi:type="dcterms:W3CDTF">2013-03-06T12:51:41Z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ate completed">
    <vt:filetime>2012-12-21T23:00:00Z</vt:filetime>
  </property>
  <property fmtid="{D5CDD505-2E9C-101B-9397-08002B2CF9AE}" pid="3" name="Telephone number">
    <vt:lpwstr>+46703721889</vt:lpwstr>
  </property>
  <property fmtid="{D5CDD505-2E9C-101B-9397-08002B2CF9AE}" pid="4" name="Reference">
    <vt:lpwstr>Martin Stigsson</vt:lpwstr>
  </property>
  <property fmtid="{D5CDD505-2E9C-101B-9397-08002B2CF9AE}" pid="5" name="Creator">
    <vt:lpwstr>Martin Stigsson</vt:lpwstr>
  </property>
  <property fmtid="{D5CDD505-2E9C-101B-9397-08002B2CF9AE}" pid="6" name="copyright">
    <vt:lpwstr>Martin Stigsson</vt:lpwstr>
  </property>
  <property fmtid="{D5CDD505-2E9C-101B-9397-08002B2CF9AE}" pid="7" name="e-mail">
    <vt:lpwstr>martin.stigsson@skb.se</vt:lpwstr>
  </property>
</Properties>
</file>